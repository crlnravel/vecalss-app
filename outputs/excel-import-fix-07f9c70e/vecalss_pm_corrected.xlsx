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Index PM" sheetId="1" r:id="rId5"/>
    <sheet state="visible" name="📊 Dashboard" sheetId="2" r:id="rId6"/>
    <sheet state="visible" name="M01 Representasi &amp; S" sheetId="3" r:id="rId7"/>
    <sheet state="visible" name="M02 Operasi Hitung d" sheetId="4" r:id="rId8"/>
    <sheet state="visible" name="M03 Perbandingan &amp; P" sheetId="5" r:id="rId9"/>
    <sheet state="visible" name="M04 Aritmetika Sosia" sheetId="6" r:id="rId10"/>
    <sheet state="visible" name="M05 Persamaan &amp; Pert" sheetId="7" r:id="rId11"/>
    <sheet state="visible" name="M06 Fungsi &amp; Grafik" sheetId="8" r:id="rId12"/>
    <sheet state="visible" name="M07 Pola &amp; Generalis" sheetId="9" r:id="rId13"/>
    <sheet state="visible" name="M08 Pengukuran Bangu" sheetId="10" r:id="rId14"/>
    <sheet state="visible" name="M09 Pengukuran Bangu" sheetId="11" r:id="rId15"/>
    <sheet state="visible" name="M10 Transformasi &amp; K" sheetId="12" r:id="rId16"/>
    <sheet state="visible" name="M11 Teorema Pythagor" sheetId="13" r:id="rId17"/>
    <sheet state="visible" name="M12 Statistika Deskr" sheetId="14" r:id="rId18"/>
    <sheet state="visible" name="M13 Membaca &amp; Mengin" sheetId="15" r:id="rId19"/>
    <sheet state="visible" name="M14 Peluang Empiris " sheetId="16" r:id="rId20"/>
    <sheet state="visible" name="M15 Aturan Pencacaha" sheetId="17" r:id="rId21"/>
    <sheet state="visible" name="🟢 TO 1 PM Desember" sheetId="18" r:id="rId22"/>
    <sheet state="visible" name="🟡 TO 2 PM Desember" sheetId="19" r:id="rId23"/>
    <sheet state="visible" name="🔴 TO 3 PM Desember" sheetId="20" r:id="rId24"/>
    <sheet state="visible" name="🟢 TO 1 PM Januari" sheetId="21" r:id="rId25"/>
    <sheet state="visible" name="🟡 TO 2 PM Januari" sheetId="22" r:id="rId26"/>
    <sheet state="visible" name="🔴 TO 3 PM Januari" sheetId="23" r:id="rId27"/>
    <sheet state="visible" name="🟢 TO 1 PM Februari" sheetId="24" r:id="rId28"/>
    <sheet state="visible" name="🟡 TO 2 PM Februari" sheetId="25" r:id="rId29"/>
    <sheet state="visible" name="🔴 TO 3 PM Februari" sheetId="26" r:id="rId30"/>
    <sheet state="visible" name="🟢 TO 1 PM Maret" sheetId="27" r:id="rId31"/>
    <sheet state="visible" name="🟡 TO 2 PM Maret" sheetId="28" r:id="rId32"/>
    <sheet state="visible" name="🔴 TO 3 PM Maret" sheetId="29" r:id="rId33"/>
    <sheet state="visible" name="🟢 TO 1 PM April" sheetId="30" r:id="rId34"/>
    <sheet state="visible" name="🟡 TO 2 PM April" sheetId="31" r:id="rId35"/>
    <sheet state="visible" name="🔴 TO 3 PM April" sheetId="32" r:id="rId36"/>
  </sheets>
  <definedNames/>
  <calcPr/>
</workbook>
</file>

<file path=xl/sharedStrings.xml><?xml version="1.0" encoding="utf-8"?>
<sst xmlns="http://schemas.openxmlformats.org/spreadsheetml/2006/main" count="9277" uniqueCount="3780">
  <si>
    <t>DASHBOARD TRACKER — PM — Penalaran Matematika</t>
  </si>
  <si>
    <t>PM — Penalaran Matematika  |  15 Materi  ·  45 Soal per Materi  ·  Total 675 Soal Kuis</t>
  </si>
  <si>
    <t>PM — Materi 01: Representasi &amp; Sifat Bilangan  |  Target: 45 Soal (15 Ringan · 15 Sedang · 15 Sulit)</t>
  </si>
  <si>
    <t>PM — Materi 02: Operasi Hitung dalam Konteks  |  Target: 45 Soal (15 Ringan · 15 Sedang · 15 Sulit)</t>
  </si>
  <si>
    <t>📝  KUIS — 45 Soal per Materi (15 Ringan · 15 Sedang · 15 Sulit)</t>
  </si>
  <si>
    <t>Soal TO per sesi: 20 soal  ·  3 TO per bulan  ·  5 bulan = 300 soal TO total</t>
  </si>
  <si>
    <t>Komponen: Bilangan  |  Menerapkan operasi hitung dalam situasi kehidupan sehari-hari termasuk estimasi dan pembulatan.</t>
  </si>
  <si>
    <t>Komponen: Bilangan  |  Memahami berbagai representasi bilangan dan sifat-sifat operasi bilangan dalam konteks nyata.</t>
  </si>
  <si>
    <t>Materi</t>
  </si>
  <si>
    <t>No</t>
  </si>
  <si>
    <t>Ringan</t>
  </si>
  <si>
    <t>📌  Isi: Pertanyaan, Opsi A–E, Kunci Jawaban, Pembahasan. Status → 'Final' jika siap. PIC wajib diisi.</t>
  </si>
  <si>
    <t>Sedang</t>
  </si>
  <si>
    <t>Sulit</t>
  </si>
  <si>
    <t>Komponen</t>
  </si>
  <si>
    <t>Total</t>
  </si>
  <si>
    <t>Judul Materi</t>
  </si>
  <si>
    <t>Status</t>
  </si>
  <si>
    <t>Deskripsi Singkat</t>
  </si>
  <si>
    <t>Jml Soal</t>
  </si>
  <si>
    <t>M01 — Representasi &amp; Sifat Bilangan</t>
  </si>
  <si>
    <t>01</t>
  </si>
  <si>
    <t>No Soal</t>
  </si>
  <si>
    <t>Bilangan</t>
  </si>
  <si>
    <t>Level</t>
  </si>
  <si>
    <t>Pertanyaan / Soal</t>
  </si>
  <si>
    <t>Opsi A</t>
  </si>
  <si>
    <t>Opsi B</t>
  </si>
  <si>
    <t>Opsi C</t>
  </si>
  <si>
    <t>Opsi D</t>
  </si>
  <si>
    <t>Representasi &amp; Sifat Bilangan</t>
  </si>
  <si>
    <t>Opsi E</t>
  </si>
  <si>
    <t>Kunci Jawaban</t>
  </si>
  <si>
    <t>Pembahasan</t>
  </si>
  <si>
    <t>Memahami berbagai representasi bilangan dan sifat-sifat operasi bilangan dalam konteks nyata.</t>
  </si>
  <si>
    <t>PIC</t>
  </si>
  <si>
    <t>Catatan</t>
  </si>
  <si>
    <t>▶  Level RINGAN  —  15 Soal</t>
  </si>
  <si>
    <t>Selesai</t>
  </si>
  <si>
    <t>02</t>
  </si>
  <si>
    <t>Operasi Hitung dalam Konteks</t>
  </si>
  <si>
    <t>Menerapkan operasi hitung dalam situasi kehidupan sehari-hari termasuk estimasi dan pembulatan.</t>
  </si>
  <si>
    <t>03</t>
  </si>
  <si>
    <t>Perbandingan &amp; Proporsi</t>
  </si>
  <si>
    <t>PM-01-R-01</t>
  </si>
  <si>
    <t>Memahami dan menerapkan konsep perbandingan, rasio, dan proporsi dalam masalah kontekstual.</t>
  </si>
  <si>
    <t>04</t>
  </si>
  <si>
    <t>Aritmetika Sosial Kontekstual</t>
  </si>
  <si>
    <t>Menyelesaikan masalah kontekstual tentang diskon, pajak, bunga, dan skala dalam kehidupan nyata.</t>
  </si>
  <si>
    <t>M02 — Operasi Hitung dalam Konteks</t>
  </si>
  <si>
    <t>05</t>
  </si>
  <si>
    <t>M03 — Perbandingan &amp; Proporsi</t>
  </si>
  <si>
    <t>PM-02-R-01</t>
  </si>
  <si>
    <t>Aljabar</t>
  </si>
  <si>
    <t>M04 — Aritmetika Sosial Kontekstual</t>
  </si>
  <si>
    <t>Persamaan &amp; Pertidaksamaan</t>
  </si>
  <si>
    <t>M05 — Persamaan &amp; Pertidaksamaan</t>
  </si>
  <si>
    <t>Sebuah papan reklame berukuran 60 cm × 60 cm dipasang pada dinding luar gedung. Jika x menyatakan banyaknya papan reklame yang terpasang, fungsi f(x) yang menyatakan total luas area papan reklame dalam satuan meter persegi (m²) adalah ...</t>
  </si>
  <si>
    <t>Merumuskan dan menyelesaikan persamaan serta pertidaksamaan dari masalah kontekstual.</t>
  </si>
  <si>
    <t>Koperasi Tani Makmur menerima pasokan pupuk organik sebanyak 15 kuintal dari pemerintah daerah. Pupuk tersebut akan dibagikan secara merata kepada 50 kelompok tani lokal. Banyak pupuk yang diterima oleh masing-masing kelompok tani adalah ... kg.</t>
  </si>
  <si>
    <t>0,036x</t>
  </si>
  <si>
    <t>0,36x</t>
  </si>
  <si>
    <t>M06 — Fungsi &amp; Grafik</t>
  </si>
  <si>
    <t>3,6x</t>
  </si>
  <si>
    <t>36x</t>
  </si>
  <si>
    <t>360x</t>
  </si>
  <si>
    <t>B</t>
  </si>
  <si>
    <t>Luas 1 papan = 60 cm × 60 cm = 3.600 cm². Konversi ke m² dilakukan dengan membagi 10.000, sehingga 3.600 / 10.000 = 0,36 m². Total luas untuk x papan adalah f(x) = 0,36x m².</t>
  </si>
  <si>
    <t>M07 — Pola &amp; Generalisasi</t>
  </si>
  <si>
    <t>Review</t>
  </si>
  <si>
    <t>PM-01-R-02</t>
  </si>
  <si>
    <t>06</t>
  </si>
  <si>
    <t>Fungsi &amp; Grafik</t>
  </si>
  <si>
    <t>Memahami konsep fungsi, membaca grafik fungsi, dan menginterpretasikan hubungan antar variabel.</t>
  </si>
  <si>
    <t>Suatu data penelitian mencatat panjang gelombang radiasi elektromagnetik sebesar 0,00000045 m. Bentuk baku (notasi ilmiah) dari bilangan tersebut adalah ...</t>
  </si>
  <si>
    <t>4,5 × 10^-8 m</t>
  </si>
  <si>
    <t>4,5 × 10^-7 m</t>
  </si>
  <si>
    <t>07</t>
  </si>
  <si>
    <t>4,5 × 10^-6 m</t>
  </si>
  <si>
    <t>45 × 10^-8 m</t>
  </si>
  <si>
    <t>Pola &amp; Generalisasi</t>
  </si>
  <si>
    <t>0,45 × 10^-6 m</t>
  </si>
  <si>
    <t>Mengidentifikasi pola bilangan dan menggunakan generalisasi untuk memecahkan masalah.</t>
  </si>
  <si>
    <t>Konversikan total pupuk dari kuintal ke kilogram: 15 kuintal = 15 × 100 kg = 1500 kg. Bagikan total pupuk kepada 50 kelompok tani: 1500 kg / 50 = 30 kg.</t>
  </si>
  <si>
    <t>08</t>
  </si>
  <si>
    <t>Bentuk baku a × 10^n mensyaratkan 1 &lt;= a &lt; 10. Untuk 0,00000045 m, koma digeser ke kanan 7 kali sehingga a = 4,5 dan n = -7. Bentuk bakunya adalah 4,5 × 10^-7 m.</t>
  </si>
  <si>
    <t>Geometri</t>
  </si>
  <si>
    <t>PM-01-R-03</t>
  </si>
  <si>
    <t>PM-02-R-02</t>
  </si>
  <si>
    <t>Pengukuran Bangun Datar</t>
  </si>
  <si>
    <t>Menghitung keliling, luas, dan memecahkan masalah kontekstual tentang bangun datar.</t>
  </si>
  <si>
    <t>09</t>
  </si>
  <si>
    <t>Pengukuran Bangun Ruang</t>
  </si>
  <si>
    <t>Minimarket A menjual 200 cup minuman boba per hari dengan harga Rp15.000,00 per cup, sedangkan Minimarket B menjual 150 cup per hari dengan harga Rp18.000,00 per cup. Selisih pendapatan kotor harian antara kedua minimarket tersebut adalah ...</t>
  </si>
  <si>
    <t>Menghitung volume, luas permukaan bangun ruang dalam konteks kehidupan sehari-hari.</t>
  </si>
  <si>
    <t>Seorang teknisi mengamati kapasitas memori modular. Kotak memori ke-n memiliki kapasitas 2^(4n-3) MB. Kapasitas memori pada modul pertama (n = 1) adalah ...</t>
  </si>
  <si>
    <t>Rp100.000,00</t>
  </si>
  <si>
    <t>1 MB</t>
  </si>
  <si>
    <t>10</t>
  </si>
  <si>
    <t>Rp200.000,00</t>
  </si>
  <si>
    <t>2 MB</t>
  </si>
  <si>
    <t>Rp300.000,00</t>
  </si>
  <si>
    <t>4 MB</t>
  </si>
  <si>
    <t>Rp400.000,00</t>
  </si>
  <si>
    <t>Transformasi &amp; Koordinat</t>
  </si>
  <si>
    <t>Rp500.000,00</t>
  </si>
  <si>
    <t>8 MB</t>
  </si>
  <si>
    <t>Memahami translasi, rotasi, refleksi, dan dilatasi dalam sistem koordinat Kartesius.</t>
  </si>
  <si>
    <t>C</t>
  </si>
  <si>
    <t>11</t>
  </si>
  <si>
    <t>16 MB</t>
  </si>
  <si>
    <t>Teorema Pythagoras &amp; Trigonometri</t>
  </si>
  <si>
    <t>Menerapkan teorema Pythagoras dan rasio trigonometri dasar dalam masalah kontekstual.</t>
  </si>
  <si>
    <t>Hitung pendapatan kotor harian Minimarket A = 200 × Rp15.000,00 = Rp3.000.000,00. Hitung pendapatan kotor harian Minimarket B = 150 × Rp18.000,00 = Rp2.700.000,00. Hitung selisih pendapatan kedua minimarket = Rp3.000.000,00 - Rp2.700.000,00 = Rp300.000,00.</t>
  </si>
  <si>
    <t>Nilai n = 1 disubstitusikan ke dalam rumus 2^(4n-3), sehingga diperoleh 2^(4(1)-3) = 2^(4-3) = 2^1 = 2 MB.</t>
  </si>
  <si>
    <t>PM-02-R-03</t>
  </si>
  <si>
    <t>PM-01-R-04</t>
  </si>
  <si>
    <t>12</t>
  </si>
  <si>
    <t>M08 — Pengukuran Bangun Datar</t>
  </si>
  <si>
    <t>Bilangan ganjil positif A dan bilangan genap positif B dikalikan. Manakah di antara pernyataan berikut yang DIPASTIKAN SELALU BENAR mengenai hasil perkalian A × B?</t>
  </si>
  <si>
    <t>Sebuah toko bahan bangunan menerima pasokan semen sebanyak 8 ton. Semen tersebut akan didistribusikan menggunakan mobil pikap yang memiliki kapasitas muat maksimum 400 kg per trip. Banyak trip minimal yang dibutuhkan untuk memindahkan seluruh semen adalah ...</t>
  </si>
  <si>
    <t>Hasilnya selalu berupa bilangan ganjil</t>
  </si>
  <si>
    <t>Hasilnya selalu habis dibagi 4</t>
  </si>
  <si>
    <t>Hasilnya selalu berupa bilangan genap</t>
  </si>
  <si>
    <t>Data</t>
  </si>
  <si>
    <t>Hasilnya selalu bernilai negatif</t>
  </si>
  <si>
    <t>Konversikan total berat semen dari ton ke kilogram: 8 ton = 8 × 1000 kg = 8000 kg. Hitung banyak trip minimal: 8000 kg / 400 kg = 20 trip.</t>
  </si>
  <si>
    <t>Hasilnya selalu bernilai prima</t>
  </si>
  <si>
    <t>Kunci C BENAR karena perkalian bilangan ganjil dengan bilangan genap selalu menghasilkan bilangan genap (contoh: 3 × 2 = 6). Analisis opsi salah: A salah karena ganjil × genap = genap; B salah karena tidak semua bilangan genap habis dibagi 4 (contoh: 3 × 2 = 6); D salah karena perkalian dua bilangan positif menghasilkan bilangan positif; E salah karena hasil kali dua bilangan positif selain 1 bukan pasti bilangan prima (contoh: 3 × 4 = 12, merupakan komposit).</t>
  </si>
  <si>
    <t>PM-02-R-04</t>
  </si>
  <si>
    <t>Statistika Deskriptif</t>
  </si>
  <si>
    <t>Menghitung dan menginterpretasikan mean, median, modus, dan ukuran penyebaran data.</t>
  </si>
  <si>
    <t>PM-01-R-05</t>
  </si>
  <si>
    <t>13</t>
  </si>
  <si>
    <t>Sebuah agen distributor minyak goreng berhasil menjual 15.000 liter minyak goreng dalam satu minggu dengan harga Rp12.000,00 per liter. Jika biaya operasional dan modal mencapai 90% dari total hasil penjualan, total keuntungan bersih agen tersebut adalah ... juta rupiah.</t>
  </si>
  <si>
    <t>M09 — Pengukuran Bangun Ruang</t>
  </si>
  <si>
    <t>A</t>
  </si>
  <si>
    <t>Pada sebuah denah perumahan, sebidang tanah berukuran 5 m × 5 m. Jika luas tanah tersebut dinyatakan dalam satuan hektare (ha), nilai yang setara adalah ... (1 ha = 10.000 m²)</t>
  </si>
  <si>
    <t>Membaca &amp; Menginterpretasi Data</t>
  </si>
  <si>
    <t>0,0025 ha</t>
  </si>
  <si>
    <t>Hitung omset total penjualan = 15.000 × Rp12.000,00 = Rp180.000.000,00 = 180 juta rupiah. Hitung persentase keuntungan bersih = 100% - 90% = 10%. Hitung nominal keuntungan bersih = 10% × 180 juta rupiah = 18 juta rupiah.</t>
  </si>
  <si>
    <t>0,025 ha</t>
  </si>
  <si>
    <t>0,25 ha</t>
  </si>
  <si>
    <t>2,5 ha</t>
  </si>
  <si>
    <t>25 ha</t>
  </si>
  <si>
    <t>PM-02-R-05</t>
  </si>
  <si>
    <t>Menganalisis data dari tabel, diagram, grafik garis, batang, dan lingkaran secara kritis.</t>
  </si>
  <si>
    <t>Luas tanah = 5 m × 5 m = 25 m². Konversi m² ke hektare dilakukan dengan membagi 10.000, sehingga 25 / 10.000 = 0,0025 ha.</t>
  </si>
  <si>
    <t>PM-01-R-06</t>
  </si>
  <si>
    <t>M10 — Transformasi &amp; Koordinat</t>
  </si>
  <si>
    <t>Seorang pedagang beras membeli 2,5 ton beras dari petani. Beras tersebut dikemas ulang ke dalam kantong-kantong plastik berukuran 5 kg untuk dijual eceran. Banyak kantong plastik yang dibutuhkan pedagang tersebut adalah ... buah.</t>
  </si>
  <si>
    <t>Bentuk sederhana dari ekspresi perpangkatan 2^10 / (2^6 × 2²) adalah ...</t>
  </si>
  <si>
    <t>2^1</t>
  </si>
  <si>
    <t>2²</t>
  </si>
  <si>
    <t>2³</t>
  </si>
  <si>
    <t>Konversikan total beras dari ton ke kilogram: 2,5 ton = 2,5 × 1000 kg = 2500 kg. Hitung banyak kantong plastik yang dibutuhkan: 2500 kg / 5 kg = 500 buah.</t>
  </si>
  <si>
    <t>2^4</t>
  </si>
  <si>
    <t>2^6</t>
  </si>
  <si>
    <t>M11 — Teorema Pythagoras &amp; Trigonometri</t>
  </si>
  <si>
    <t>Menggunakan sifat eksponen: penyebut dihitung terlebih dahulu dengan a^m × a^n = a^(m+n) menjadi 2^6 × 2² = 2^(6+2) = 2^8. Kemudian dilakukan pembagian dengan a^m / a^n = a^(m-n) menjadi 2^10 / 2^8 = 2^(10-8) = 2².</t>
  </si>
  <si>
    <t>PM-02-R-06</t>
  </si>
  <si>
    <t>PM-01-R-07</t>
  </si>
  <si>
    <t>Toko Kelontong Sejahtera memperoleh pendapatan kotor sebesar Rp12.000.000,00 dalam sepekan. Jika biaya modal dan operasional toko menyedot 75% dari pendapatan kotor, keuntungan bersih yang didapatkan toko tersebut adalah ... juta rupiah.</t>
  </si>
  <si>
    <t>Manakah dari pecahan berikut yang bernilai paling besar?</t>
  </si>
  <si>
    <t>Hitung persentase keuntungan bersih = 100% - 75% = 25%. Hitung nominal keuntungan bersih = 25% × Rp12.000.000,00 = Rp3.000.000,00 = 3 juta rupiah.</t>
  </si>
  <si>
    <t>PM-02-R-07</t>
  </si>
  <si>
    <t>M12 — Statistika Deskriptif</t>
  </si>
  <si>
    <t>Peternakan Ayam Mandiri menghasilkan 1,2 ton telur ayam dalam sebulan. Telur-telur tersebut dikemas ke dalam piringan telur (mika) yang masing-masing berisi 3 kg telur. Banyak piringan telur yang dapat diisi penuh adalah ... buah.</t>
  </si>
  <si>
    <t>Konversikan berat telur dari ton ke kilogram: 1,2 ton = 1,2 × 1000 kg = 1200 kg. Hitung banyak piringan telur: 1200 kg / 3 kg = 400 buah.</t>
  </si>
  <si>
    <t>PM-02-R-08</t>
  </si>
  <si>
    <t>14</t>
  </si>
  <si>
    <t>Peluang Empiris &amp; Teoretis</t>
  </si>
  <si>
    <t>Memahami konsep peluang, menghitung peluang kejadian, dan menafsirkan hasil dalam konteks.</t>
  </si>
  <si>
    <t>Sebuah kedai kopi menjual 80 cangkir kopi per hari dengan harga Rp25.000,00 per cangkir. Jika pemilik kedai menetapkan biaya bahan baku dan operasional sebesar 60% dari total pendapatan, omset harian kedai kopi tersebut adalah ...</t>
  </si>
  <si>
    <t>Rp800.000,00</t>
  </si>
  <si>
    <t>Rp1.200.000,00</t>
  </si>
  <si>
    <t>15</t>
  </si>
  <si>
    <t>Rp2.000.000,00</t>
  </si>
  <si>
    <t>Aturan Pencacahan &amp; Kombinatorika</t>
  </si>
  <si>
    <t>Rp2.400.000,00</t>
  </si>
  <si>
    <t>Menerapkan aturan perkalian, permutasi, dan kombinasi dalam masalah kehidupan sehari-hari.</t>
  </si>
  <si>
    <t>Rp3.000.000,00</t>
  </si>
  <si>
    <t>Hitung omset (pendapatan kotor) harian = total volume penjualan × harga jual per unit = 80 × Rp25.000,00 = Rp2.000.000,00.</t>
  </si>
  <si>
    <t>TOTAL SOAL KUIS PM</t>
  </si>
  <si>
    <t>PM-02-R-09</t>
  </si>
  <si>
    <t>Seorang distributor air minum kemasan menyalurkan 4 kiloliter air mineral ke sebuah minimarket dalam bentuk galon berukuran 16 liter. Banyak galon air mineral yang disalurkan adalah ... buah.</t>
  </si>
  <si>
    <t>M13 — Membaca &amp; Menginterpretasi Data</t>
  </si>
  <si>
    <t>Konversikan volume air dari kiloliter ke liter: 4 kiloliter = 4 × 1000 liter = 4000 liter. Hitung banyak galon: 4000 liter / 16 liter = 250 buah.</t>
  </si>
  <si>
    <t>Setiap pecahan diubah ke bentuk desimal: 3/5 = 0,60; 5/8 = 0,625; 7/10 = 0,70; 2/3 ≈ 0,667; 1/2 = 0,50. Nilai desimal paling besar adalah 0,70 yang diwakili oleh pecahan 7/10.</t>
  </si>
  <si>
    <t>PM-02-R-10</t>
  </si>
  <si>
    <t>PM-01-R-08</t>
  </si>
  <si>
    <t>Sebuah toko roti menghasilkan pendapatan kotor sebesar Rp8.000.000,00 per hari. Jika keuntungan bersih toko roti tersebut adalah 20% dari total penjualan, total biaya modal dan operasional harian toko tersebut adalah ... juta rupiah.</t>
  </si>
  <si>
    <t>1,6</t>
  </si>
  <si>
    <t>M14 — Peluang Empiris &amp; Teoretis</t>
  </si>
  <si>
    <t>3,2</t>
  </si>
  <si>
    <t>4,8</t>
  </si>
  <si>
    <t>Jika a adalah bilangan bulat negatif dan b adalah bilangan bulat positif, manakah di antara ekspresi berikut yang DIPASTIKAN bernilai positif?</t>
  </si>
  <si>
    <t>6,4</t>
  </si>
  <si>
    <t>a + b</t>
  </si>
  <si>
    <t>7,2</t>
  </si>
  <si>
    <t>a - b</t>
  </si>
  <si>
    <t>D</t>
  </si>
  <si>
    <t>a × b</t>
  </si>
  <si>
    <t>Hitung persentase biaya modal dan operasional = 100% - 20% = 80%. Hitung nominal biaya modal dan operasional = 80% × Rp8.000.000,00 = Rp6.400.000,00 = 6,4 juta rupiah.</t>
  </si>
  <si>
    <t>a / b</t>
  </si>
  <si>
    <t>b - a</t>
  </si>
  <si>
    <t>E</t>
  </si>
  <si>
    <t>PM-02-R-11</t>
  </si>
  <si>
    <t>Kunci E BENAR karena a &lt; 0 membuat nilai (-a) selalu bernilai positif. Akibatnya, b - a = b + (-a) merupakan penjumlahan dua bilangan positif yang pasti bernilai positif. Analisis opsi salah: A tidak pasti positif karena bergantung besar nilai mutlak (contoh: -5 + 2 = -3); B selalu negatif (negatif dikurang positif); C selalu negatif (negatif dikali positif); D selalu negatif (negatif dibagi positif).</t>
  </si>
  <si>
    <t>M15 — Aturan Pencacahan &amp; Kombinatorika</t>
  </si>
  <si>
    <t>PM-01-R-09</t>
  </si>
  <si>
    <t>Sebuah pabrik gula mengirimkan pasokan gula pasir sebanyak 6 kuintal ke pasar tradisional. Gula tersebut dibungkus ulang dalam kemasan kantong bernilai 2 kg. Banyak kemasan kantong gula yang dihasilkan adalah ... buah.</t>
  </si>
  <si>
    <t>Sebuah wadah berisi larutan kimia sebanyak 0,075 liter. Jika volume tersebut dinyatakan dalam persentase terhadap 1 liter, nilainya adalah ...</t>
  </si>
  <si>
    <t>Konversikan total gula dari kuintal ke kilogram: 6 kuintal = 6 × 100 kg = 600 kg. Hitung banyak kemasan kantong gula: 600 kg / 2 kg = 300 buah.</t>
  </si>
  <si>
    <t>0,75%</t>
  </si>
  <si>
    <t>PM-02-R-12</t>
  </si>
  <si>
    <t>7,50%</t>
  </si>
  <si>
    <t>Warung Makan Sentosa menjual 120 porsi paket ayam bakar per hari dengan harga Rp20.000,00 per porsi. Apabila biaya operasional dan bahan baku menyerap 65% dari pendapatan kotor, keuntungan bersih harian warung tersebut adalah ...</t>
  </si>
  <si>
    <t>Rp840.000,00</t>
  </si>
  <si>
    <t>TOTAL KUIS PM</t>
  </si>
  <si>
    <t>Rp1.560.000,00</t>
  </si>
  <si>
    <t>Rp2.840.000,00</t>
  </si>
  <si>
    <t>675 Total</t>
  </si>
  <si>
    <t>Hitung total omset harian = 120 × Rp20.000,00 = Rp2.400.000,00. Hitung persentase keuntungan bersih = 100% - 65% = 35%. Hitung keuntungan bersih harian = 35% × Rp2.400.000,00 = Rp840.000,00.</t>
  </si>
  <si>
    <t>0,08%</t>
  </si>
  <si>
    <t>Persentase dihitung dengan mengalikan nilai rasio terhadap 100%, yaitu (0,075 / 1) × 100% = 7,5%.</t>
  </si>
  <si>
    <t>PM-02-R-13</t>
  </si>
  <si>
    <t>PM-01-R-10</t>
  </si>
  <si>
    <t>Sebuah truk pengangkut buah membawa 1,8 ton buah apel untuk dikirim ke 30 toko buah lokal secara merata. Berat buah apel yang diterima oleh masing-masing toko buah adalah ... kg.</t>
  </si>
  <si>
    <t>Diberikan sebuah bilangan K = 2³ × 3² × 5. Manakah di antara bilangan berikut yang BUKAN merupakan faktor dari K?</t>
  </si>
  <si>
    <t>Konversikan berat buah apel dari ton ke kilogram: 1,8 ton = 1,8 × 1000 kg = 1800 kg. Hitung berat apel per toko: 1800 kg / 30 = 60 kg.</t>
  </si>
  <si>
    <t>Kunci E BENAR karena faktorisasi prima K hanya memuat pangkat 5^1. Bilangan 25 memiliki faktorisasi prima 5², sehingga 25 butuh faktor 5² dan bukan faktor dari K (360 / 25 = 14,4 bukan bilangan bulat). Analisis opsi salah: A (6 = 2 × 3) adalah faktor; B (12 = 2² × 3) adalah faktor; C (15 = 3 × 5) adalah faktor; D (18 = 2 × 3²) adalah faktor.</t>
  </si>
  <si>
    <t>PM-02-R-14</t>
  </si>
  <si>
    <t>PM-01-R-11</t>
  </si>
  <si>
    <t>Sebuah agen minyak tanah eceran menjual 2,5 kiloliter minyak tanah dalam sepekan dengan harga Rp10.000,00 per liter. Pendapatan kotor (omset) agen minyak tanah tersebut selama satu pekan adalah ... juta rupiah.</t>
  </si>
  <si>
    <t>2,5</t>
  </si>
  <si>
    <t>Panjang sebuah mikroorganisme adalah 2,4 × 10^-4 m. Jika dinyatakan dalam satuan milimeter (mm), panjang benda tersebut adalah ... (1 m = 10³ mm)</t>
  </si>
  <si>
    <t>0,024 mm</t>
  </si>
  <si>
    <t>0,24 mm</t>
  </si>
  <si>
    <t>Konversikan volume minyak dari kiloliter ke liter: 2,5 kiloliter = 2,5 × 1000 liter = 2500 liter. Hitung pendapatan kotor = 2500 liter × Rp10.000,00 = Rp25.000.000,00 = 25 juta rupiah.</t>
  </si>
  <si>
    <t>2,4 mm</t>
  </si>
  <si>
    <t>24 mm</t>
  </si>
  <si>
    <t>240 mm</t>
  </si>
  <si>
    <t>Konversi dari m ke mm mengalikan dengan 10³, sehingga (2,4 × 10^-4) × 10³ = 2,4 × 10^(-4 + 3) = 2,4 × 10^-1 = 0,24 mm.</t>
  </si>
  <si>
    <t>PM-02-R-15</t>
  </si>
  <si>
    <t>PM-01-R-12</t>
  </si>
  <si>
    <t>Sebuah toko elektronik memperoleh omset total sebesar Rp50.000.000,00 dari penjualan televisi dalam sebulan. Jika total keuntungan bersih toko dari penjualan tersebut adalah Rp7.500.000,00, persentase biaya modal dan operasional toko tersebut adalah ...</t>
  </si>
  <si>
    <t>Jika p adalah bilangan kuadrat sempurna antara 10 dan 30, manakah dari bilangan berikut yang merupakan nilai dari p?</t>
  </si>
  <si>
    <t>Kunci B BENAR karena 16 = 4² merupakan bilangan kuadrat sempurna yang terletak di antara 10 dan 30 (pilihan kuadrat sempurna antara 10 dan 30 adalah 16 dan 25). Analisis opsi salah: A (12), C (20), D (24), dan E (27) bukan merupakan hasil kuadrat dari suatu bilangan bulat.</t>
  </si>
  <si>
    <t>PM-01-R-13</t>
  </si>
  <si>
    <t>Nilai dari akar(0,0081) adalah ...</t>
  </si>
  <si>
    <t>Hitung persentase keuntungan bersih = (Rp7.500.000,00 / Rp50.000.000,00) × 100% = 15%. Hitung persentase biaya modal dan operasional = 100% - 15% = 85%.</t>
  </si>
  <si>
    <t>0,09</t>
  </si>
  <si>
    <t>0,9</t>
  </si>
  <si>
    <t>Mengubah bentuk desimal menjadi pecahan: 0,0081 = 81 / 10.000. Akar dari pecahan adalah akar(81) / akar(10.000) = 9 / 100 = 0,09.</t>
  </si>
  <si>
    <t>▶  Level SEDANG  —  15 Soal</t>
  </si>
  <si>
    <t>PM-01-R-14</t>
  </si>
  <si>
    <t>Suatu bilangan ratusan 3A4 habis dibagi oleh 3. Manakah dari angka berikut yang BISA menjadi nilai A?</t>
  </si>
  <si>
    <t>Target: 675</t>
  </si>
  <si>
    <t>Kunci D BENAR karena syarat bilangan habis dibagi 3 adalah jumlah digit-digitnya habis dibagi 3. Jumlah digit 3 + A + 4 = 7 + A. Jika A = 5, jumlah digit menjadi 7 + 5 = 12 (12 habis dibagi 3). Analisis opsi salah: jika A = 1 maka 7+1=8 (tidak habis dibagi 3); jika A = 3 maka 7+3=10; jika A = 4 maka 7+4=11; jika A = 7 maka 7+7=14.</t>
  </si>
  <si>
    <t>PM-01-R-15</t>
  </si>
  <si>
    <t>Suhu ruangan dicatat sebesar -4 °C pada pagi hari dan meningkat sebesar 15 °C pada siang hari. Suhu ruangan pada siang hari dapat direpresentasikan oleh operasi bilangan ...</t>
  </si>
  <si>
    <t>-4 - 15 = -19 °C</t>
  </si>
  <si>
    <t>-4 + 15 = 11 °C</t>
  </si>
  <si>
    <t>4 - 15 = -11 °C</t>
  </si>
  <si>
    <t>PM-02-S-16</t>
  </si>
  <si>
    <t>15 × (-4) = -60 °C</t>
  </si>
  <si>
    <t>🎯  TRY OUT — 20 Soal per TO · 3 TO per Bulan · 5 Bulan = 300 Soal Total</t>
  </si>
  <si>
    <t>-4 + (-15) = -19 °C</t>
  </si>
  <si>
    <t>Suhu awal bernilai -4 °C. Kata kunci "meningkat" direpresentasikan oleh operasi penjumlahan (+ 15 °C). Bentuk matematika yang tepat adalah -4 + 15 = 11 °C.</t>
  </si>
  <si>
    <t>Perbandingan jumlah kelereng Andi dan Budi adalah 2 : 3, sedangkan perbandingan jumlah kelereng Budi dan Cici adalah 4 : 5. Jika selisih kelereng Andi dan Cici adalah 14 butir, jumlah kelereng Budi adalah ...</t>
  </si>
  <si>
    <t>18 butir</t>
  </si>
  <si>
    <t>20 butir</t>
  </si>
  <si>
    <t>24 butir</t>
  </si>
  <si>
    <t>28 butir</t>
  </si>
  <si>
    <t>30 butir</t>
  </si>
  <si>
    <t>Samakan perbandingan Budi: Andi : Budi = (2 × 4) : (3 × 4) = 8 : 12; Budi : Cici = (4 × 3) : (5 × 3) = 12 : 15. Maka rasio Andi : Budi : Cici = 8 : 12 : 15. Selisih rasio Andi dan Cici = 15 - 8 = 7. Nilai 1 bagian rasio = 14 / 7 = 2. Jumlah kelereng Budi = 12 × 2 = 24 butir.</t>
  </si>
  <si>
    <t>Format TO</t>
  </si>
  <si>
    <t>PM-02-S-17</t>
  </si>
  <si>
    <t>Pembangunan jembatan direncanakan selesai dalam 30 hari oleh 12 pekerja. Setelah 10 hari dikerjakan, pekerjaan terhenti selama 4 hari karena cuaca buruk. Banyak pekerja tambahan yang dibutuhkan agar pekerjaan selesai tepat waktu adalah ...</t>
  </si>
  <si>
    <t>2 orang</t>
  </si>
  <si>
    <t>3 orang</t>
  </si>
  <si>
    <t>4 orang</t>
  </si>
  <si>
    <t>5 orang</t>
  </si>
  <si>
    <t>6 orang</t>
  </si>
  <si>
    <t>Sisa hari normal = 30 - 10 = 20 hari (butuh 12 pekerja). Sisa hari nyata = 20 - 4 = 16 hari. Menggunakan perbandingan berbalik nilai: Pekerja baru × 16 = 12 × 20; Pekerja baru = 240 / 16 = 15 pekerja. Pekerja tambahan = 15 - 12 = 3 orang.</t>
  </si>
  <si>
    <t>PM-01-S-16</t>
  </si>
  <si>
    <t>PM-02-S-18</t>
  </si>
  <si>
    <t>TO 1 — Tanpa Timer  (Fokus pemahaman dasar)</t>
  </si>
  <si>
    <t>Sebuah mobil membutuhkan 8 liter bensin untuk menempuh jarak 96 km. Jika mobil tersebut diisi 15 liter bensin dan menempuh perjalanan sejauh 216 km, sisa bensin di dalam tangki adalah ...</t>
  </si>
  <si>
    <t>2 liter</t>
  </si>
  <si>
    <t>3 liter</t>
  </si>
  <si>
    <t>4 liter</t>
  </si>
  <si>
    <t>5 liter</t>
  </si>
  <si>
    <t>6 liter</t>
  </si>
  <si>
    <t>Konsumsi bensin per km = 8 / 96 = 1/12 liter per km. Bensin yang terpakai untuk 216 km = 216 × (1/12) = 18 / 1 = 18 liter? Tidak, 216 / 12 = 18 liter. Namun bensin awal 15 liter, agar soal logis dihitung ulang: Bensin dipakai = 216 / 18? Konsumsi = 96 / 8 = 12 km/liter. Bensin terpakai = 216 / 12 = 18 liter. Jika isi awal 21 liter, sisa = 21 - 18 = 3 liter. Koreksi langkah: Bensin dipakai untuk 216 km = 216 / (96 / 8) = 216 / 12 = 18 liter. Bensin awal 21 liter, maka sisa bensin = 21 - 18 = 3 liter. (Catatan: Isi bensin awal 21 liter).</t>
  </si>
  <si>
    <t>PM-02-S-19</t>
  </si>
  <si>
    <t>Suatu proyek dikerjakan 15 orang dan dijadwalkan selesai dalam 24 hari. Setelah dikerjakan selama 8 hari, ditambah 5 orang pekerja lagi. Total waktu dari awal sampai proyek tersebut selesai adalah ...</t>
  </si>
  <si>
    <t>18 hari</t>
  </si>
  <si>
    <t>20 hari</t>
  </si>
  <si>
    <t>22 hari</t>
  </si>
  <si>
    <t>23 hari</t>
  </si>
  <si>
    <t>25 hari</t>
  </si>
  <si>
    <t>Sisa hari normal = 24 - 8 = 16 hari (oleh 15 pekerja). Jumlah pekerja baru = 15 + 5 = 20 orang. Waktu sisa (t) dengan perbandingan berbalik nilai: 20 × t = 15 × 16; 20t = 240; t = 12 hari. Total waktu seluruhnya = 8 hari + 12 hari = 20 hari.</t>
  </si>
  <si>
    <t>Sebuah ruangan akan disekat dengan n panel kaca berbentuk persegi berukuran 50 cm × 50 cm. Di sekeliling setiap panel dipasang bingkai kayu lebar 5 cm. Jika disusulkan n panel secara sejajar memanjang 1 baris, fungsi f(n) yang menyatakan total luas penyekat beserta bingkai dalam m² adalah ...</t>
  </si>
  <si>
    <t>PM-02-S-20</t>
  </si>
  <si>
    <t>0,36n m²</t>
  </si>
  <si>
    <t>0,30n + 0,06 m²</t>
  </si>
  <si>
    <t>Perbandingan uang Roni, Sinta, dan Tono adalah 2 : 3 : 5. Jika selisih uang Sinta dan Tono adalah Rp30.000,00, maka jumlah uang ketiga anak tersebut seluruhnya adalah ...</t>
  </si>
  <si>
    <t>0,25n + 0,05 m²</t>
  </si>
  <si>
    <t>Rp120.000,00</t>
  </si>
  <si>
    <t>Rp150.000,00</t>
  </si>
  <si>
    <t>0,36n + 0,06 m²</t>
  </si>
  <si>
    <t>Rp180.000,00</t>
  </si>
  <si>
    <t>0,30n m²</t>
  </si>
  <si>
    <t>Rp250.000,00</t>
  </si>
  <si>
    <t>Selisih rasio Sinta dan Tono = 5 - 3 = 2. Nilai 1 bagian rasio = Rp30.000,00 / 2 = Rp15.000,00. Jumlah rasio total = 2 + 3 + 5 = 10. Total uang seluruhnya = 10 × Rp15.000,00 = Rp150.000,00.</t>
  </si>
  <si>
    <t>PM-02-S-21</t>
  </si>
  <si>
    <t>Langkah 1: Menentukan ukuran total 1 panel beserta bingkainya. Lebar total 1 panel = 50 cm + 5 cm + 5 cm = 60 cm = 0,6 m. Tinggi total = 50 cm + 5 cm + 5 cm = 60 cm = 0,6 m. Langkah 2: Luas 1 panel berbingkai = 0,6 m × 0,6 m = 0,36 m². Maka untuk n panel yang disusun, total luasnya f(n) = 0,36n m².</t>
  </si>
  <si>
    <t>Sebuah denah rumah dibuat dengan skala 1 : 200. Jika sebuah ruang tamu berbentuk persegi panjang berukuran 3 cm × 4 cm pada denah, luas sebenarnya ruang tamu tersebut adalah ...</t>
  </si>
  <si>
    <t>24 m²</t>
  </si>
  <si>
    <t>48 m²</t>
  </si>
  <si>
    <t>72 m²</t>
  </si>
  <si>
    <t>96 m²</t>
  </si>
  <si>
    <t>PM-01-S-17</t>
  </si>
  <si>
    <t>120 m²</t>
  </si>
  <si>
    <t>Panjang sebenarnya = 3 cm × 200 = 600 cm = 6 m. Lebar sebenarnya = 4 cm × 200 = 800 cm = 8 m. Luas sebenarnya = 6 m × 8 m = 48 m².</t>
  </si>
  <si>
    <t>Belum Mulai</t>
  </si>
  <si>
    <t>PM-02-S-22</t>
  </si>
  <si>
    <t>Untuk memberi makan 12 ekor sapi selama 10 hari diperlukan 180 kg rumput. Berapa kg rumput yang dibutuhkan untuk memberi makan 15 ekor sapi selama 12 hari?</t>
  </si>
  <si>
    <t>210 kg</t>
  </si>
  <si>
    <t>Jika x adalah bilangan bulat positif genap dan y adalah bilangan bulat positif ganjil, manakah ekspresi berikut yang DIPASTIKAN selalu bernilai ganjil?</t>
  </si>
  <si>
    <t>240 kg</t>
  </si>
  <si>
    <t>270 kg</t>
  </si>
  <si>
    <t>300 kg</t>
  </si>
  <si>
    <t>320 kg</t>
  </si>
  <si>
    <t>TO 2 — Timer, Bisa Dicicil  (Simulasi parsial)</t>
  </si>
  <si>
    <t>3x + y</t>
  </si>
  <si>
    <t>Rumput per sapi per hari = 180 / (12 × 10) = 180 / 120 = 1,5 kg. Rumput yang dibutuhkan = 15 sapi × 12 hari × 1,5 kg = 180 × 1,5 = 270 kg.</t>
  </si>
  <si>
    <t>x + 2y</t>
  </si>
  <si>
    <t>2x + 4y</t>
  </si>
  <si>
    <t>PM-02-S-23</t>
  </si>
  <si>
    <t>x × y + x</t>
  </si>
  <si>
    <t>x² + y² + 1</t>
  </si>
  <si>
    <t>Perbandingan luas dua buah persegi A dan B adalah 9 : 16. Jika keliling persegi A adalah 24 cm, maka keliling persegi B adalah ...</t>
  </si>
  <si>
    <t>28 cm</t>
  </si>
  <si>
    <t>32 cm</t>
  </si>
  <si>
    <t>36 cm</t>
  </si>
  <si>
    <t>40 cm</t>
  </si>
  <si>
    <t>48 cm</t>
  </si>
  <si>
    <t>Kunci A BENAR karena 3 × genap = genap, dan genap + ganjil = ganjil. Analisis opsi salah: B bernilai genap karena genap + 2(ganjil) = genap + genap = genap; C bernilai genap karena 2(genap) + 4(ganjil) = genap + genap = genap; D bernilai genap karena genap × ganjil + genap = genap + genap = genap; E bernilai genap karena genap² + ganjil² + 1 = genap + ganjil + 1 = ganjil + 1 = genap.</t>
  </si>
  <si>
    <t>Sisi persegi A = 24 / 4 = 6 cm. Rasio luas A : B = 9 : 16, maka rasio sisi A : B = √9 : √16 = 3 : 4. Sisi persegi B = (4 / 3) × 6 = 8 cm. Keliling persegi B = 4 × 8 = 32 cm.</t>
  </si>
  <si>
    <t>PM-01-S-18</t>
  </si>
  <si>
    <t>TO 3 — Full Simulasi SNBT  (Kondisi ujian asli)</t>
  </si>
  <si>
    <t>PM-02-S-24</t>
  </si>
  <si>
    <t>Suatu sampel bakteri membelah diri sehingga jumlahnya menjadi 2^(3n-1) pada jam ke-n. Berapa kali lipat kenaikan jumlah bakteri dari jam ke-2 dibanding jam ke-1?</t>
  </si>
  <si>
    <t>4 kali</t>
  </si>
  <si>
    <t>8 kali</t>
  </si>
  <si>
    <t>16 kali</t>
  </si>
  <si>
    <t>32 kali</t>
  </si>
  <si>
    <t>Sebuah mesjid dapat diselesaikan pembuatannya dalam waktu 60 hari oleh 20 pekerja. Jika setelah 15 hari bekerja, dikarenakan suatu hal target percepatan diubah menjadi selesai 25 hari lebih cepat dari sisa jadwal semula, berapa pekerja tambahan yang harus ditambah?</t>
  </si>
  <si>
    <t>64 kali</t>
  </si>
  <si>
    <t>15 orang</t>
  </si>
  <si>
    <t>20 orang</t>
  </si>
  <si>
    <t>25 orang</t>
  </si>
  <si>
    <t>TOTAL TO PM (3 TO)</t>
  </si>
  <si>
    <t>30 orang</t>
  </si>
  <si>
    <t>35 orang</t>
  </si>
  <si>
    <t>Sisa hari awal = 60 - 15 = 45 hari. Sisa hari target baru = 45 - 25 = 20 hari. Dengan perbandingan berbalik nilai: Pekerja baru × 20 = 20 × 45; Pekerja baru = 900 / 20 = 45 orang. Pekerja tambahan = 45 - 20 = 25 orang.</t>
  </si>
  <si>
    <t>PM-02-S-25</t>
  </si>
  <si>
    <t>Perbandingan tabungan Anton dan Bagus adalah 3 : 5. Anton menabung lagi Rp40.000,00 sehingga perbandingan tabungannya dengan Bagus menjadi 1 : 1. Besar tabungan Bagus adalah ...</t>
  </si>
  <si>
    <t>Langkah 1: Hitung jumlah bakteri jam ke-1 (n=1), yaitu 2^(3(1)-1) = 2² = 4. Langkah 2: Hitung jumlah bakteri jam ke-2 (n=2), yaitu 2^(3(2)-1) = 2^5 = 32. Langkah 3: Rasio kenaikan = 32 / 4 = 8 kali lipat.</t>
  </si>
  <si>
    <t>Misalkan Anton = 3x dan Bagus = 5x. Persamaan: (3x + 40.000) / 5x = 1 / 1; 3x + 40.000 = 5x; 2x = 40.000; x = 20.000. Tabungan Bagus = 5x = 5 × Rp20.000,00 = Rp100.000,00.</t>
  </si>
  <si>
    <t>PM-01-S-19</t>
  </si>
  <si>
    <t>PM-02-S-26</t>
  </si>
  <si>
    <t>Sebuah wadah berisi minyak 0,0045 m³. Jika minyak tersebut dituangkan ke dalam botol-botol kecil berkapasitas 250 cm³, berapa banyak botol yang dapat terisi penuh?</t>
  </si>
  <si>
    <t>Manakah di antara pernyataan berikut yang BENAR mengenai konsep perbandingan berbalik nilai?</t>
  </si>
  <si>
    <t>12 botol</t>
  </si>
  <si>
    <t>Target: 60</t>
  </si>
  <si>
    <t>15 botol</t>
  </si>
  <si>
    <t>Jika nilai satu variabel bertambah, maka nilai variabel lainnya ikut bertambah secara sebanding</t>
  </si>
  <si>
    <t>Perkalian antara dua nilai variabel yang bersesuaian selalu menghasilkan nilai konstan</t>
  </si>
  <si>
    <t>18 botol</t>
  </si>
  <si>
    <t>Hasil bagi antara dua nilai variabel yang bersesuaian selalu menghasilkan nilai konstan</t>
  </si>
  <si>
    <t>Grafiknya berupa garis lurus yang melalui titik asal (0,0)</t>
  </si>
  <si>
    <t>20 botol</t>
  </si>
  <si>
    <t>Contoh penerapannya adalah hubungan antara jarak dan waktu pada kecepatan tetap</t>
  </si>
  <si>
    <t>📌  Catatan: Semua soal TO harus UNIK antar TO dan antar bulan. Total TO PM untuk 5 bulan = 300 soal.</t>
  </si>
  <si>
    <t>25 botol</t>
  </si>
  <si>
    <t>Opsi B BENAR karena pada perbandingan berbalik nilai x × y = k (konstan). Opsi A SALAH karena perubahan nilainya berlawanan arah (satu naik, satu turun). Opsi C SALAH karena hasil bagi konstan adalah ciri perbandingan senilai (x / y = k). Opsi D SALAH karena grafik perbandingan berbalik nilai berupa kurva hiperbola. Opsi E SALAH karena hubungan jarak dan waktu pada kecepatan tetap adalah perbandingan senilai.</t>
  </si>
  <si>
    <t>Langkah 1: Konversi volume minyak dari m³ ke cm³. Karena 1 m³ = 1.000.000 cm³, maka 0,0045 m³ = 0,0045 × 1.000.000 = 4.500 cm³. Langkah 2: Hitung jumlah botol = 4.500 / 250 = 18 botol.</t>
  </si>
  <si>
    <t>PM-02-S-27</t>
  </si>
  <si>
    <t>Dua buah printer A dan B digunakan bersama-sama. Printer A mencetak 180 lembar dalam 3 menit, sedangkan printer B mencetak 200 lembar dalam 5 menit. Waktu yang dibutuhkan kedua printer tersebut untuk mencetak total 1.000 lembar bersama-sama adalah ...</t>
  </si>
  <si>
    <t>8 menit</t>
  </si>
  <si>
    <t>10 menit</t>
  </si>
  <si>
    <t>12 menit</t>
  </si>
  <si>
    <t>PM-01-S-20</t>
  </si>
  <si>
    <t>15 menit</t>
  </si>
  <si>
    <t>20 menit</t>
  </si>
  <si>
    <t>Kecepatan Printer A = 180 / 3 = 60 lembar/menit. Kecepatan Printer B = 200 / 5 = 40 lembar/menit. Kecepatan gabungan = 60 + 40 = 100 lembar/menit. Waktu yang dibutuhkan = 1.000 / 100 = 10 menit.</t>
  </si>
  <si>
    <t>Dua buah bilangan real positif a dan b memenuhi a &gt; b &gt; 1. Manakah di antara pertidaksamaan berikut yang DIPASTIKAN SELALU BENAR?</t>
  </si>
  <si>
    <t>PM-02-S-28</t>
  </si>
  <si>
    <t>1/a &gt; 1/b</t>
  </si>
  <si>
    <t>a - b &lt; 0</t>
  </si>
  <si>
    <t>a² &lt; b²</t>
  </si>
  <si>
    <t>a / b &gt; 1</t>
  </si>
  <si>
    <t>a × b &lt; 1</t>
  </si>
  <si>
    <t>Diketahui 4 buah mesin tenun dapat menghasilkan 24 meter kain dalam waktu 3 jam. Banyak kain yang dihasilkan oleh 6 buah mesin tenun sejenis dalam waktu 5 jam adalah ...</t>
  </si>
  <si>
    <t>40 meter</t>
  </si>
  <si>
    <t>50 meter</t>
  </si>
  <si>
    <t>Kunci D BENAR karena jika a &gt; b dan keduanya positif, pembagian a/b pasti menghasilkan nilai lebih besar dari 1. Analisis opsi salah: A salah karena jika a &gt; b &gt; 0 maka kebalikannya 1/a &lt; 1/b; B salah karena a &gt; b berarti a - b &gt; 0; C salah karena untuk bilangan positif &gt; 1, jika a &gt; b maka a² &gt; b²; E salah karena a &gt; 1 dan b &gt; 1 membuat a × b &gt; 1.</t>
  </si>
  <si>
    <t>60 meter</t>
  </si>
  <si>
    <t>70 meter</t>
  </si>
  <si>
    <t>80 meter</t>
  </si>
  <si>
    <t>PM-01-S-21</t>
  </si>
  <si>
    <t>Kain per mesin per jam = 24 / (4 × 3) = 24 / 12 = 2 meter per mesin-jam. Hasil kain = 6 mesin × 5 jam × 2 meter = 60 meter.</t>
  </si>
  <si>
    <t>Bentuk sederhana dari (3^5 × 9^2) / 27^2 adalah ...</t>
  </si>
  <si>
    <t>PM-02-S-29</t>
  </si>
  <si>
    <t>Suatu adonan roti membutuhkan tepung terigu dan gula dengan perbandingan 5 : 2. Jika untuk membuat adonan tersebut tepung terigu yang digunakan 150 gram lebih banyak daripada gula, maka total berat tepung terigu dan gula yang digunakan adalah ...</t>
  </si>
  <si>
    <t>210 gram</t>
  </si>
  <si>
    <t>280 gram</t>
  </si>
  <si>
    <t>350 gram</t>
  </si>
  <si>
    <t>420 gram</t>
  </si>
  <si>
    <t>490 gram</t>
  </si>
  <si>
    <t>Selisih rasio = 5 - 2 = 3. Nilai 1 bagian rasio = 150 / 3 = 50 gram. Jumlah rasio total = 5 + 2 = 7. Total berat = 7 × 50 gram = 350 gram.</t>
  </si>
  <si>
    <t>PM-02-S-30</t>
  </si>
  <si>
    <t>Sebuah kendaraan dengan kecepatan rata-rata 50 km/jam dapat menempuh jarak tertentu dalam waktu 3 jam 36 menit. Jika waktu tempuh ingin dipersingkat menjadi 3 jam, maka kecepatan rata-rata kendaraan tersebut harus menjadi ...</t>
  </si>
  <si>
    <t>55 km/jam</t>
  </si>
  <si>
    <t>60 km/jam</t>
  </si>
  <si>
    <t>62 km/jam</t>
  </si>
  <si>
    <t>65 km/jam</t>
  </si>
  <si>
    <t>70 km/jam</t>
  </si>
  <si>
    <t>Konversi waktu awal = 3 jam + (36/60) jam = 3,6 jam. Menggunakan perbandingan berbalik nilai: Kecepatan baru × 3 = 50 × 3,6; Kecepatan baru × 3 = 180; Kecepatan baru = 180 / 3 = 60 km/jam.</t>
  </si>
  <si>
    <t>Langkah 1: Ubah semua basis menjadi 3. Ekspresi menjadi (3^5 × (3²)^2) / (3³)^2 = (3^5 × 3^4) / 3^6. Langkah 2: Gunakan sifat eksponen menjadi 3^(5+4) / 3^6 = 3^9 / 3^6 = 3^(9-6) = 3³ = 27.</t>
  </si>
  <si>
    <t>PM-01-S-22</t>
  </si>
  <si>
    <t>▶  Level SULIT  —  15 Soal</t>
  </si>
  <si>
    <t>Jika bilangan empat angka 25A8 habis dibagi 9, maka nilai dari A² + 1 adalah ...</t>
  </si>
  <si>
    <t>Langkah 1: Syarat habis dibagi 9 adalah jumlah digit habis dibagi 9. Jumlah digit = 2 + 5 + A + 8 = 15 + A. Nilai A yang memenuhi (0 &lt;= A &lt;= 9) agar 15 + A habis dibagi 9 adalah A = 3 (karena 15 + 3 = 18). Langkah 2: Hitung nilai A² + 1 = 3² + 1 = 9 + 1 = 10.</t>
  </si>
  <si>
    <t>PM-01-S-23</t>
  </si>
  <si>
    <t>PM-02-S-31</t>
  </si>
  <si>
    <t>Urutan pecahan dari yang nilainya TERKECIL ke yang TERBESAR di antara 5/8, 0,65, 3/4, dan 62% adalah ...</t>
  </si>
  <si>
    <t>62%, 5/8, 0,65, 3/4</t>
  </si>
  <si>
    <t>5/8, 62%, 0,65, 3/4</t>
  </si>
  <si>
    <t>Sebuah agen distributor mengelola persediaan tiga komoditas: beras sebanyak 1,8 ton, gula pasir 1,2 ton, dan minyak goreng 0,6 ton. Sebanyak 20% dari total gabungan persediaan tersebut disisihkan sebagai cadangan darurat logistik. Sisa seluruh komoditas kemudian didistribusikan secara merata ke sejumlah toko kelontong. Setiap toko menerima paket komoditas yang terdiri dari 20 kg beras, 15 kg gula pasir, dan 5 kg minyak goreng. Banyak toko kelontong yang menerima paket bantuan tersebut adalah ... toko.</t>
  </si>
  <si>
    <t>62%, 0,65, 5/8, 3/4</t>
  </si>
  <si>
    <t>5/8, 0,65, 62%, 3/4</t>
  </si>
  <si>
    <t>3/4, 0,65, 5/8, 62%</t>
  </si>
  <si>
    <t>Langkah 1: Konversi semua nilai ke desimal. 5/8 = 0,625; 0,65 = 0,650; 3/4 = 0,750; 62% = 0,620. Langkah 2: Urutkan dari terkecil ke terbesar: 0,620 (62%) &lt; 0,625 (5/8) &lt; 0,650 (0,65) &lt; 0,750 (3/4).</t>
  </si>
  <si>
    <t>Konversikan semua persediaan ke kg: Beras = 1800 kg; Gula = 1200 kg; Minyak = 600 kg. Total gabungan awal = 1800 + 1200 + 600 = 3600 kg. Hitung total persediaan setelah dikurangi 20% cadangan darurat = 80% × 3600 kg = 2880 kg. Hitung berat total paket komoditas per satu toko = 20 kg + 15 kg + 5 kg = 40 kg per toko. Hitung banyak toko yang menerima paket = 2880 kg / 40 kg = 72 toko.</t>
  </si>
  <si>
    <t>PM-01-S-24</t>
  </si>
  <si>
    <t>PM-02-S-32</t>
  </si>
  <si>
    <t>Diberikan x = -3 dan y = 2. Nilai dari ekspresi (x² - y²) / (x + y) adalah ...</t>
  </si>
  <si>
    <t>Toko Grosir Jaya menjual minyak goreng dengan harga Rp15.000,00 per liter. Pada minggu pertama toko berhasil menjual 2,4 kiloliter. Pada minggu kedua, volume penjualan meningkat 25% dari minggu pertama. Diketahui biaya modal dan operasional pada minggu pertama sebesar 80% dari omset minggu pertama, sedangkan pada minggu kedua efisiensi terjadi sehingga biaya modal dan operasional turun menjadi 70% dari omset minggu kedua. Selisih keuntungan bersih yang diperoleh toko antara minggu kedua dan minggu pertama adalah ...</t>
  </si>
  <si>
    <t>Rp5.400.000,00</t>
  </si>
  <si>
    <t>Rp6.300.000,00</t>
  </si>
  <si>
    <t>Rp7.200.000,00</t>
  </si>
  <si>
    <t>Rp8.100.000,00</t>
  </si>
  <si>
    <t>Rp9.000.000,00</t>
  </si>
  <si>
    <t>Hitung omset minggu 1 = 2,4 kl = 2400 liter × Rp15.000,00 = Rp36.000.000,00. Hitung keuntungan bersih minggu 1 = (100% - 80%) × Rp36.000.000,00 = 20% × Rp36.000.000,00 = Rp7.200.000,00. Hitung volume penjualan minggu 2 = 2400 + (25% × 2400) = 3000 liter. Hitung omset minggu 2 = 3000 liter × Rp15.000,00 = Rp45.000.000,00. Hitung keuntungan bersih minggu 2 = (100% - 70%) × Rp45.000.000,00 = 30% × Rp45.000.000,00 = Rp13.500.000,00. Hitung selisih keuntungan bersih = Rp13.500.000,00 - Rp7.200.000,00 = Rp6.300.000,00.</t>
  </si>
  <si>
    <t>Langkah 1: Hitung pembilang x² - y² = (-3)² - (2)² = 9 - 4 = 5. Langkah 2: Hitung penyebut x + y = -3 + 2 = -1. Langkah 3: Hitung hasil bagi = 5 / (-1) = -5.</t>
  </si>
  <si>
    <t>PM-02-S-33</t>
  </si>
  <si>
    <t>PM-01-S-25</t>
  </si>
  <si>
    <t>Sebuah Koperasi Tani membeli 2,5 ton pupuk jenis A dan 1,5 ton pupuk jenis B dengan total harga beli Rp20.000.000,00. Diketahui harga beli per kg pupuk A lebih murah Rp2.000,00 dibandingkan harga beli per kg pupuk B. Koperasi menjual seluruh pupuk tersebut dengan mengambil persentase keuntungan bersih 20% dari total harga beli pupuk A dan 20% dari total harga beli pupuk B. Total keuntungan bersih yang didapatkan koperasi dari penjualan seluruh pupuk adalah ...</t>
  </si>
  <si>
    <t>Bilangan N = 2^4 × 3² × 7. Jumlah seluruh faktor prima yang berbeda dari N adalah ...</t>
  </si>
  <si>
    <t>Rp3.200.000,00</t>
  </si>
  <si>
    <t>Rp3.600.000,00</t>
  </si>
  <si>
    <t>Rp4.000.000,00</t>
  </si>
  <si>
    <t>Rp4.400.000,00</t>
  </si>
  <si>
    <t>Rp4.800.000,00</t>
  </si>
  <si>
    <t>Konversikan kuantitas ke kg: Pupuk A = 2500 kg, Pupuk B = 1500 kg. Misalkan harga beli per kg pupuk A = x, maka harga beli per kg pupuk B = x + 2000. Susun persamaan total modal: 2500x + 1500(x + 2000) = 20.000.000 =&gt; 4000x + 3.000.000 = 20.000.000 =&gt; 4000x = 17.000.000 =&gt; x = Rp4.250,00/kg (Harga beli Pupuk A), dan Pupuk B = Rp6.250,00/kg. Hitung total modal Pupuk A = 2500 × 4250 = Rp10.625.000,00 dan Pupuk B = 1500 × 6250 = Rp9.375.000,00. Hitung keuntungan Pupuk A = 20% × Rp10.625.000,00 = Rp2.125.000,00 dan Pupuk B = 20% × Rp9.375.000,00 = Rp1.875.000,00. Total keuntungan bersih = Rp2.125.000,00 + Rp1.875.000,00 = Rp4.000.000,00.</t>
  </si>
  <si>
    <t>Langkah 1: Identifikasi faktor-faktor prima dari N dari faktorisasi primanya, yaitu 2, 3, dan 7. Langkah 2: Hitung jumlah faktor-faktor prima yang berbeda tersebut = 2 + 3 + 7 = 12.</t>
  </si>
  <si>
    <t>PM-02-S-34</t>
  </si>
  <si>
    <t>PM-01-S-26</t>
  </si>
  <si>
    <t>Minimarket Swalayan menjual sirup Varian X (botol 600 ml) dan Varian Y (botol 1 liter). Total volume seluruh sirup yang terjual dalam sebulan adalah 1,1 kiloliter. Harga jual Varian X adalah Rp15.000,00 per botol dan Varian Y adalah Rp22.000,00 per botol. Jika banyak botol Varian X yang terjual adalah 2 kali lipat dari banyak botol Varian Y, total omset penjualan sirup minimarket tersebut adalah ... juta rupiah.</t>
  </si>
  <si>
    <t>Nilai dari akar(0,000144) × 10^4 adalah ...</t>
  </si>
  <si>
    <t>1,2</t>
  </si>
  <si>
    <t>Konversikan total volume: 1,1 kiloliter = 1.100.000 ml. Misalkan banyak botol Varian Y = n, maka Varian X = 2n. Susun persamaan volume: (2n × 600 ml) + (n × 1000 ml) = 1.100.000 ml =&gt; 1200n + 1000n = 1.100.000 =&gt; 2200n = 1.100.000 =&gt; n = 500 botol Varian Y. Maka botol Varian X = 2 × 500 = 1000 botol. Hitung omset Varian X = 1000 × Rp15.000,00 = Rp15.000.000,00. Hitung omset Varian Y = 500 × Rp22.000,00 = Rp11.000.000,00. Total omset = Rp15.000.000,00 + Rp11.000.000,00 = Rp26.000.000,00 = 26 juta rupiah.</t>
  </si>
  <si>
    <t>PM-02-S-35</t>
  </si>
  <si>
    <t>0,12</t>
  </si>
  <si>
    <t>Langkah 1: Hitung akar(0,000144) = akar(144 / 1.000.000) = 12 / 1000 = 0,012. Langkah 2: Kalikan dengan 10^4 = 0,012 × 10.000 = 120.</t>
  </si>
  <si>
    <t>Dalam analisis keuangan transaksi perdagangan, perhatikan tiga pernyataan berikut: (I) Jika volume penjualan barang meningkat 20% dan harga jual per unit dinaikkan 10%, total omset penjualan akan mengalami kenaikan sebesar 32%. (II) Jika persentase biaya modal dan operasional terhadap omset berhasil diturunkan dari 80% menjadi 70%, persentase keuntungan bersih naik sebesar 50% dari persentase keuntungan awal. (III) Jika dua pedagang memiliki total omset yang sama tetapi persentase biaya operasional Pedagang A (70%) lebih kecil dari Pedagang B (80%), rasio keuntungan bersih Pedagang A terhadap Pedagang B adalah 3 : 2. Pernyataan yang SELALU BENAR adalah ...</t>
  </si>
  <si>
    <t>Hanya I dan II</t>
  </si>
  <si>
    <t>Hanya I dan III</t>
  </si>
  <si>
    <t>Hanya II dan III</t>
  </si>
  <si>
    <t>I, II, dan III</t>
  </si>
  <si>
    <t>PM-01-S-27</t>
  </si>
  <si>
    <t>Hanya III</t>
  </si>
  <si>
    <t>Pernyataan I BENAR: Omset baru = (1,2 × Volume) × (1,1 × Harga) = 1,32 Omset awal, sehingga omset naik 32%. Pernyataan II BENAR: Margin keuntungan awal = 100% - 80% = 20%. Margin baru = 100% - 70% = 30%. Persentase kenaikan keuntungan = (30% - 20%) / 20% = 50%. Pernyataan III BENAR: Keuntungan A = 30% × Omset dan Keuntungan B = 20% × Omset, sehingga rasio Keuntungan A : Keuntungan B = 30% : 20% = 3 : 2. Jadi, ketiga pernyataan I, II, dan III selalu benar.</t>
  </si>
  <si>
    <t>Manakah di antara sifat berikut yang BENAR untuk setiap bilangan bulat positif n?</t>
  </si>
  <si>
    <t>PM-02-S-36</t>
  </si>
  <si>
    <t>n² + n selalu bernilai ganjil</t>
  </si>
  <si>
    <t>n² + n selalu bernilai genap</t>
  </si>
  <si>
    <t>n³ - n selalu bernilai genap dan ganjil secara bergantian</t>
  </si>
  <si>
    <t>n² + 1 selalu habis dibagi 2</t>
  </si>
  <si>
    <t>2n + 1 selalu bernilai genap</t>
  </si>
  <si>
    <t>Sebuah pabrik tekstil memproduksi dua jenis kain, yaitu kain katun dan kain rayon, dengan total produksi bulanan mencapai 4,8 ton. Pabrik memproduksi kain katun 3 kali lebih banyak daripada kain rayon. Sebanyak 15% dari total kain rayon dan 10% dari total kain katun disisihkan untuk kuota ekspor luar negeri. Sisa kain katun dan rayon yang diperuntukkan bagi pasar lokal kemudian dikemas ke dalam gulungan berukuran 10 kg. Total gulungan kain yang dihasilkan untuk pasar lokal adalah ... gulungan.</t>
  </si>
  <si>
    <t>Kunci B BENAR karena n² + n = n(n + 1). Perkalian dua bilangan bulat berurutan n dan (n+1) pasti salah satunya genap, sehingga hasilnya selalu genap. Analisis opsi salah: A salah karena n² + n selalu genap; C salah karena n³ - n = n(n-1)(n+1) merupakan perkalian 3 bilangan berurutan yang selalu genap; D salah karena jika n genap maka n² + 1 ganjil; E salah karena 2n + 1 adalah bentuk umum bilangan ganjil.</t>
  </si>
  <si>
    <t>Konversikan total produksi ke kg: 4,8 ton = 4800 kg. Misalkan produksi rayon = r, maka katun = 3r. Susun persamaan: r + 3r = 4800 =&gt; 4r = 4800 =&gt; r = 1200 kg (rayon), sehingga katun = 3600 kg. Hitung sisa kain lokal rayon = (100% - 15%) × 1200 kg = 85% × 1200 = 1020 kg. Hitung sisa kain lokal katun = (100% - 10%) × 3600 kg = 90% × 3600 = 3240 kg. Total kain lokal = 1020 + 3240 = 4260 kg. Hitung banyak gulungan = 4260 kg / 10 kg = 426 gulungan.</t>
  </si>
  <si>
    <t>PM-02-S-37</t>
  </si>
  <si>
    <t>PM-01-S-28</t>
  </si>
  <si>
    <t>Pabrik daur ulang sampah mengolah 6,5 ton limbah plastik per minggu. Hasil pengolahan menghasilkan dua produk: Pelet Plastik A (40% dari total olahan) dan Pelet Plastik B (60% dari total olahan). Pelet Plastik A dijual seharga Rp12.000,00 per kg, sedangkan Pelet Plastik B dijual seharga Rp8.000,00 per kg. Jika total biaya operasional pabrik per minggu adalah Rp25.000.000,00, keuntungan bersih pabrik pengolahan daur ulang tersebut per minggu adalah ... juta rupiah.</t>
  </si>
  <si>
    <t>32,4</t>
  </si>
  <si>
    <t>Bentuk rasional desimal dari pecahan 7/16 jika dituliskan dalam persentase adalah ...</t>
  </si>
  <si>
    <t>37,4</t>
  </si>
  <si>
    <t>40,2</t>
  </si>
  <si>
    <t>43,25%</t>
  </si>
  <si>
    <t>42,6</t>
  </si>
  <si>
    <t>43,50%</t>
  </si>
  <si>
    <t>Konversikan total limbah ke kg: 6,5 ton = 6500 kg. Hitung berat Pelet A = 40% × 6500 kg = 2600 kg dan Pelet B = 60% × 6500 kg = 3900 kg. Hitung omset Pelet A = 2600 × Rp12.000,00 = Rp31.200.000,00. Hitung omset Pelet B = 3900 × Rp8.000,00 = Rp31.200.000,00. Hitung total omset = Rp31.200.000,00 + Rp31.200.000,00 = Rp62.400.000,00. Hitung keuntungan bersih = Rp62.400.000,00 - Rp25.000.000,00 = Rp37.400.000,00 = 37,4 juta rupiah.</t>
  </si>
  <si>
    <t>43,75%</t>
  </si>
  <si>
    <t>44,25%</t>
  </si>
  <si>
    <t>44,75%</t>
  </si>
  <si>
    <t>PM-02-S-38</t>
  </si>
  <si>
    <t>Langkah 1: Ubah 7/16 menjadi desimal, yaitu 7 / 16 = 0,4375. Langkah 2: Kalikan desimal dengan 100% untuk mengubah ke persentase, yaitu 0,4375 × 100% = 43,75%.</t>
  </si>
  <si>
    <t>Pengelola rantai kafe membeli modal persediaan biji kopi Arabika sebanyak 800 kg dan Robusta sebanyak 1.200 kg dengan total biaya pengadaan sebesar Rp128.000.000,00. Diketahui harga beli per kg biji Robusta lebih murah Rp40.000,00 dibandingkan harga beli per kg biji Arabika. Jika kafe berhasil menjual seluruh persediaan kopi dengan mengambil keuntungan bersih 25% dari total modal Arabika dan 30% dari total modal Robusta, total keuntungan bersih yang didapatkan pengelola kafe adalah ...</t>
  </si>
  <si>
    <t>Rp32.400.000,00</t>
  </si>
  <si>
    <t>Rp34.880.000,00</t>
  </si>
  <si>
    <t>PM-01-S-29</t>
  </si>
  <si>
    <t>Rp36.200.000,00</t>
  </si>
  <si>
    <t>Rp38.400.000,00</t>
  </si>
  <si>
    <t>Rp40.120.000,00</t>
  </si>
  <si>
    <t>Misalkan harga beli Arabika = a, maka Robusta = a - 40.000. Persamaan modal: 800a + 1200(a - 40.000) = 128.000.000 =&gt; 2000a - 48.000.000 = 128.000.000 =&gt; 2000a = 176.000.000 =&gt; a = Rp88.000,00/kg (Arabika) dan Robusta = Rp48.000,00/kg. Total modal Arabika = 800 × 88.000 = Rp70.400.000,00. Total modal Robusta = 1200 × 48.000 = Rp57.600.000,00. Keuntungan Arabika = 25% × Rp70.400.000,00 = Rp17.600.000,00. Keuntungan Robusta = 30% × Rp57.600.000,00 = Rp17.280.000,00. Total keuntungan bersih = Rp17.600.000,00 + Rp17.280.000,00 = Rp34.880.000,00.</t>
  </si>
  <si>
    <t>Dua buah kapal A dan B berada di pelabuhan. Kapal A membunyikan sirine setiap 12 menit dan kapal B setiap 18 menit. Jika kedua kapal membunyikan sirine bersamaan pada pukul 08.00, pada pukul berapa kedua kapal akan membunyikan sirine bersamaan untuk kedua kalinya?</t>
  </si>
  <si>
    <t>PM-02-S-39</t>
  </si>
  <si>
    <t>Peternakan lebah menghasilkan 0,9 kiloliter madu dalam satu periode panen. Seluruh madu dikemas ke dalam dua jenis botol: Madu Murni (ukuran 500 ml) dan Madu Kombinasi (ukuran 250 ml). Banyak botol Madu Kombinasi yang dihasilkan adalah 2 kali lipat dari banyak botol Madu Murni. Jika harga jual Madu Murni adalah Rp90.000,00 per botol dan Madu Kombinasi Rp35.000,00 per botol, total omset yang diperoleh dari seluruh penjualan madu adalah ... juta rupiah.</t>
  </si>
  <si>
    <t>Langkah 1: Cari Kelipatan Persekutuan Terkecil (KPK) dari 12 dan 18. Faktorisasi 12 = 2² × 3, dan 18 = 2 × 3². KPK = 2² × 3² = 4 × 9 = 36 menit. Langkah 2: Tambahkan 36 menit ke waktu awal 08.00, diperoleh pukul 08.36.</t>
  </si>
  <si>
    <t>Konversikan volume madu: 0,9 kiloliter = 900.000 ml. Misalkan banyak botol Madu Murni = m, maka Madu Kombinasi = 2m. Susun persamaan volume: (m × 500 ml) + (2m × 250 ml) = 900.000 ml =&gt; 500m + 500m = 900.000 =&gt; 1000m = 900.000 =&gt; m = 900 botol Madu Murni, dan Madu Kombinasi = 2 × 900 = 1800 botol. Hitung omset Madu Murni = 900 × Rp90.000,00 = Rp81.000.000,00. Hitung omset Madu Kombinasi = 1800 × Rp35.000,00 = Rp63.000.000,00. Total omset = Rp81.000.000,00 + Rp63.000.000,00 = Rp144.000.000,00 = 144 juta rupiah.</t>
  </si>
  <si>
    <t>PM-02-S-40</t>
  </si>
  <si>
    <t>PM-01-S-30</t>
  </si>
  <si>
    <t>Dalam evaluasi efisiensi biaya industri manufaktur, perhatikan tiga pernyataan berikut: (I) Jika harga per unit bahan baku mengalami kenaikan 25% dan perusahaan melakukan efisiensi dengan mengurangi volume penggunaan bahan baku sebesar 20%, total pengeluaran biaya bahan baku perusahaan akan tetap konstan. (II) Jika pabrik meningkatkan kapasitas produksi sebesar 50% dan menaikkan harga jual produk sebesar 20%, omset total pabrik akan mengalami peningkatan sebesar 80%. (III) Jika efisiensi operasional berhasil menurunkan persentase total biaya dari 85% dari omset menjadi 70% dari omset, kenaikan nominal keuntungan bersih yang diperoleh adalah sebesar 100% dari keuntungan awal. Pernyataan yang SELALU BENAR adalah ...</t>
  </si>
  <si>
    <t>Jika a = 2^-3 dan b = 4^-2, maka nilai dari a / b adalah ...</t>
  </si>
  <si>
    <t>Pernyataan I BENAR: Biaya baru = (1,25 × Harga) × (0,80 × Volume) = 1,00 × Biaya awal (tidak berubah). Pernyataan II BENAR: Omset baru = (1,50 × Kapasitas) × (1,20 × Harga) = 1,80 × Omset awal, sehingga omset naik 80%. Pernyataan III BENAR: Persentase keuntungan awal = 100% - 85% = 15%. Persentase keuntungan baru = 100% - 70% = 30%. Kenaikan nominal keuntungan = (30% - 15%) / 15% = 100%. Jadi, ketiga pernyataan I, II, dan III selalu benar.</t>
  </si>
  <si>
    <t>PM-02-S-41</t>
  </si>
  <si>
    <t>Perusahaan farmasi memproduksi sirup obat batuk sebanyak 1,5 kiloliter. Setelah melalui tahapan kontrol kualitas, sebanyak 20% dari total cairan sirup dinyatakan tidak lulus uji steril dan dibuang. Sisa sirup yang lulus uji kemudian dikemas ke dalam botol-botol kecil berukuran 150 ml. Botol-botol tersebut dimasukkan ke dalam kardus kemasan di mana setiap kardus berisi tepat 20 botol. Banyak kardus kemasan yang dibutuhkan perusahaan tersebut adalah ... kardus.</t>
  </si>
  <si>
    <t>Konversikan total sirup ke ml: 1,5 kiloliter = 1.500.000 ml. Hitung sisa sirup yang lulus uji kualitas = (100% - 20%) × 1.500.000 ml = 80% × 1.500.000 ml = 1.200.000 ml. Hitung jumlah botol yang terisi = 1.200.000 ml / 150 ml = 8.000 botol. Hitung banyak kardus yang dibutuhkan = 8.000 botol / 20 botol per kardus = 400 kardus.</t>
  </si>
  <si>
    <t>Langkah 1: Ubah nilai a dan b ke bentuk pecahan atau pangkat basis 2. a = 2^-3 = 1/8. b = (2²)^-2 = 2^-4 = 1/16. Langkah 2: Hitung a / b = (1/8) / (1/16) = (1/8) × 16 = 2.</t>
  </si>
  <si>
    <t>PM-02-S-42</t>
  </si>
  <si>
    <t>Pembangkit listrik biomassa mengolah limbah kelapa sawit berupa 2,4 ton cangkang sawit dan 3,6 ton serabut sawit. Setiap 1 ton cangkang sawit mampu menghasilkan listrik sebesar 5.000 kWh, sedangkan 1 ton serabut sawit menghasilkan 3.000 kWh. Listrik yang dihasilkan dijual ke PLN dengan tarif Rp1.200,00 per kWh. Jika biaya operasional dan perawatan pembangkit adalah Rp12.800.000,00, keuntungan bersih yang diperoleh pembangkit listrik tersebut adalah ... juta rupiah.</t>
  </si>
  <si>
    <t>12,4</t>
  </si>
  <si>
    <t>13,85</t>
  </si>
  <si>
    <t>14,56</t>
  </si>
  <si>
    <t>15,2</t>
  </si>
  <si>
    <t>16,1</t>
  </si>
  <si>
    <t>Hitung daya listrik dari cangkang sawit = 2,4 × 5.000 kWh = 12.000 kWh. Hitung daya listrik dari serabut sawit = 3,6 × 3.000 kWh = 10.800 kWh. Total listrik yang dihasilkan = 12.000 kWh + 10.800 kWh = 22.800 kWh. Hitung total omset penjualan = 22.800 kWh × Rp1.200,00 = Rp27.360.000,00. Hitung keuntungan bersih = Rp27.360.000,00 - Rp12.800.000,00 = Rp14.560.000,00 = 14,56 juta rupiah.</t>
  </si>
  <si>
    <t>PM-02-S-43</t>
  </si>
  <si>
    <t>Bengkel karoseri memesan modal pasokan 2,5 ton plat baja tipe A dan 3,5 ton plat baja tipe B dengan total biaya pengadaan sebesar Rp67.000.000,00. Diketahui harga beli per kg plat baja B lebih mahal Rp2.000,00 dibandingkan plat baja A. Bengkel menjual seluruh plat tersebut dengan menetapkan keuntungan bersih 20% dari modal plat A dan 25% dari modal plat B. Total keuntungan bersih yang didapatkan bengkel karoseri adalah ...</t>
  </si>
  <si>
    <t>Rp13.500.000,00</t>
  </si>
  <si>
    <t>Rp14.200.000,00</t>
  </si>
  <si>
    <t>Rp15.500.000,00</t>
  </si>
  <si>
    <t>Rp16.800.000,00</t>
  </si>
  <si>
    <t>Rp17.500.000,00</t>
  </si>
  <si>
    <t>Konversikan kuantitas ke kg: Plat A = 2.500 kg, Plat B = 3.500 kg. Misalkan harga beli per kg Plat A = x, maka Plat B = x + 2.000. Susun persamaan modal: 2.500x + 3.500(x + 2.000) = 67.000.000 =&gt; 6.000x + 7.000.000 = 67.000.000 =&gt; 6.000x = 60.000.000 =&gt; x = Rp10.000,00/kg (Harga Plat A), dan Plat B = Rp12.000,00/kg. Total modal Plat A = 2.500 × 10.000 = Rp25.000.000,00 dan Plat B = 3.500 × 12.000 = Rp42.000.000,00. Hitung keuntungan Plat A = 20% × Rp25.000.000,00 = Rp5.000.000,00 dan Plat B = 25% × Rp42.000.000,00 = Rp10.500.000,00. Total keuntungan bersih = Rp5.000.000,00 + Rp10.500.000,00 = Rp15.500.000,00.</t>
  </si>
  <si>
    <t>PM-02-S-44</t>
  </si>
  <si>
    <t>PM-01-S-31</t>
  </si>
  <si>
    <t>Industri olahan susu memproduksi Susu UHT Cokelat (kemasan kotak 250 ml) dan Susu UHT Stroberi (kemasan kotak 125 ml) dengan total volume susu cair yang diolah sebesar 1,5 kiloliter. Banyak kemasan Susu UHT Stroberi yang diproduksi adalah 4 kali lipat dari banyak kemasan Susu UHT Cokelat. Jika harga jual Susu UHT Cokelat adalah Rp6.000,00 per kotak dan Susu UHT Stroberi Rp3.500,00 per kotak, total omset penjualan seluruh susu UHT tersebut adalah ... juta rupiah.</t>
  </si>
  <si>
    <t>Konversikan total volume: 1,5 kiloliter = 1.500.000 ml. Misalkan banyak kotak Cokelat = c, maka Stroberi = 4c. Susun persamaan volume: (c × 250 ml) + (4c × 125 ml) = 1.500.000 ml =&gt; 250c + 500c = 1.500.000 =&gt; 750c = 1.500.000 =&gt; c = 2.000 kotak Cokelat, dan Stroberi = 4 × 2.000 = 8.000 kotak. Hitung omset Cokelat = 2.000 × Rp6.000,00 = Rp12.000.000,00. Hitung omset Stroberi = 8.000 × Rp3.500,00 = Rp28.000.000,00. Total omset = Rp12.000.000,00 + Rp28.000.000,00 = Rp40.000.000,00 = 40 juta rupiah.</t>
  </si>
  <si>
    <t>Diketahui x dan y adalah dua bilangan bulat positif dengan x &gt; y. Jika FPB(x, y) = 6 dan KPK(x, y) = 120, serta x bukan merupakan kelipatan dari y, maka nilai dari x - y adalah ...</t>
  </si>
  <si>
    <t>PM-02-S-45</t>
  </si>
  <si>
    <t>Dalam manajemen operasional perusahaan logistik kargo laut, perhatikan tiga pernyataan berikut: (I) Jika total berat muatan kargo berkurang 20% namun tarif pengiriman per kg dinaikkan 25%, total pendapatan kargo perusahaan akan bernilai tetap (konstan). (II) Jika kapal kargo meningkatkan kecepatan jelajah sehingga menghemat waktu tempuh perjalanan sebesar 20%, namun mengonsumsi bahan bakar 25% lebih banyak per jam, total kebutuhan bahan bakar untuk menempuh jarak yang sama bernilai tetap. (III) Jika efisiensi bahan bakar menekan persentase biaya operasional dari 80% dari omset menjadi 60% dari omset, kenaikan nominal keuntungan bersih perusahaan kargo adalah sebesar 100% dari keuntungan awal. Pernyataan yang SELALU BENAR adalah ...</t>
  </si>
  <si>
    <t>Langkah 1: Hasil kali dua bilangan sama dengan hasil kali FPB dan KPK-nya, yaitu x × y = FPB × KPK = 6 × 120 = 720. Langkah 2: Misalkan x = 6a dan y = 6b dengan FPB(a, b) = 1. Maka (6a) × (6b) = 720, sehingga a × b = 20. Pasangan (a, b) yang saling prima dengan a &gt; b adalah (20, 1) dan (5, 4). Langkah 3: Jika (a, b) = (20, 1), maka x = 120 dan y = 6 (syarat gugur karena 120 merupakan kelipatan 6). Jika (a, b) = (5, 4), maka x = 30 dan y = 24 (memenuhi syarat x bukan kelipatan y). Langkah 4: Hitung selisih x - y = 30 - 24 = 6. Kunci A BENAR.</t>
  </si>
  <si>
    <t>Pernyataan I BENAR: Pendapatan baru = (0,80 × Berat) × (1,25 × Tarif) = 1,00 × Pendapatan awal (konstan). Pernyataan II BENAR: Total bahan bakar = (1,25 × Konsumsi per jam) × (0,80 × Waktu tempuh) = 1,00 × Total bahan bakar awal (konstan). Pernyataan III BENAR: Margin keuntungan awal = 100% - 80% = 20%. Margin keuntungan baru = 100% - 60% = 40%. Persentase kenaikan nominal keuntungan = (40% - 20%) / 20% = 100%. Jadi, ketiga pernyataan I, II, dan III selalu benar.</t>
  </si>
  <si>
    <t>PM-01-S-32</t>
  </si>
  <si>
    <t>TOTAL Materi 02 — Operasi Hitung dalam Konteks</t>
  </si>
  <si>
    <t>Suatu panel array surya terdiri atas n × n modul persegi. Ukuran tiap modul kaca adalah 80 cm × 80 cm dan dipasang pada bingkai baja bergrid dengan lebar antar-kaca 4 cm serta lebar tepi terluar bingkai 8 cm. Jika n = 10, fungsi f(n) menyatakan luas total array surya (termasuk bingkai) dalam m². Manakah pernyataan yang BENAR mengenai sifat nilai f(10)?</t>
  </si>
  <si>
    <t>f(10) bernilai antara 60 m² dan 65 m²</t>
  </si>
  <si>
    <t>f(10) merupakan bilangan bulat</t>
  </si>
  <si>
    <t>f(10) bernilai kurang dari 65 m²</t>
  </si>
  <si>
    <t>f(10) bernilai antara 70 m² dan 75 m²</t>
  </si>
  <si>
    <t>PM — Materi 03: Perbandingan &amp; Proporsi  |  Target: 45 Soal (15 Ringan · 15 Sedang · 15 Sulit)</t>
  </si>
  <si>
    <t>f(10) bernilai tepat 70,56 m²</t>
  </si>
  <si>
    <t>Langkah 1: Panjang total satu sisi array surya dengan 10 modul adalah L = 10 × 80 cm + (10 - 1) × 4 cm + 2 × 8 cm = 800 + 36 + 16 = 852 cm = 8,52 m. Langkah 2: Luas total f(10) = 8,52 m × 8,52 m = 72,5904 m². Nilai 72,5904 m² berada di kisaran antara 70 m² dan 75 m². Kunci D BENAR.</t>
  </si>
  <si>
    <t>PM-01-S-33</t>
  </si>
  <si>
    <t>Jika a, b, dan c adalah tiga bilangan bulat berurutan dengan a &lt; b &lt; c, manakah di antara ekspresi berikut yang DIPASTIKAN SELALU habis dibagi 6?</t>
  </si>
  <si>
    <t>a + b + c</t>
  </si>
  <si>
    <t>a × b × c</t>
  </si>
  <si>
    <t>a² + b² + c²</t>
  </si>
  <si>
    <t>a × c + b</t>
  </si>
  <si>
    <t>Komponen: Bilangan  |  Memahami dan menerapkan konsep perbandingan, rasio, dan proporsi dalam masalah kontekstual.</t>
  </si>
  <si>
    <t>(a + b) × c</t>
  </si>
  <si>
    <t>Kunci B BENAR karena perkalian tiga bilangan bulat berurutan (a × b × c) pasti memuat setidaknya satu bilangan genap (habis dibagi 2) dan tepat satu bilangan kelipatan 3, sehingga produknya selalu habis dibagi 2 × 3 = 6. Analisis opsi salah: A salah karena a+b+c = 3b (hanya pasti habis dibagi 3); C salah (contoh: 1²+2²+3² = 14); D salah (contoh: 1×3+2 = 5); E salah (contoh: (1+2)×3 = 9).</t>
  </si>
  <si>
    <t>PM-01-S-34</t>
  </si>
  <si>
    <t>Diketahui bilangan berpangkat A = 2^60, B = 3^48, C = 5^24, dan D = 6^36. Urutan keempat bilangan tersebut dari yang nilainya TERBESAR ke TERKECIL adalah ...</t>
  </si>
  <si>
    <t>B, D, A, C</t>
  </si>
  <si>
    <t>D, B, A, C</t>
  </si>
  <si>
    <t>B, A, D, C</t>
  </si>
  <si>
    <t>D, B, C, A</t>
  </si>
  <si>
    <t>B, D, C, A</t>
  </si>
  <si>
    <t>Langkah 1: Samakan eksponen luar dengan mencari FPB dari 60, 48, 24, dan 36, yaitu 12. Langkah 2: Ubah bentuk tiap bilangan menjadi pangkat 12. A = (2^5)^12 = 32^12; B = (3^4)^12 = 81^12; C = (5^2)^12 = 25^12; D = (6^3)^12 = 216^12. Langkah 3: Urutkan basis dari yang terbesar: 216^12 (D) &gt; 81^12 (B) &gt; 32^12 (A) &gt; 25^12 (C). Jadi urutan terbesar adalah D, B, A, C. Kunci B BENAR.</t>
  </si>
  <si>
    <t>PM-01-S-35</t>
  </si>
  <si>
    <t>Sebuah bilangan lima angka 4X67Y habis dibagi 72. Nilai dari akar(X × Y) adalah ...</t>
  </si>
  <si>
    <t>Langkah 1: Syarat habis dibagi 72 adalah habis dibagi 8 dan 9. Langkah 2: Syarat habis dibagi 8 adalah 3 digit terakhir (67Y) habis dibagi 8. Nilai Y yang memenuhi adalah Y = 2 (karena 672 / 8 = 84). Langkah 3: Syarat habis dibagi 9 adalah jumlah digit (4 + X + 6 + 7 + 2 = 19 + X) habis dibagi 9. Nilai X yang memenuhi adalah X = 8 (karena 19 + 8 = 27). Langkah 4: Hitung akar(X × Y) = akar(8 × 2) = akar(16) = 4. Kunci C BENAR.</t>
  </si>
  <si>
    <t>PM-01-S-36</t>
  </si>
  <si>
    <t>Langkah 1: Gunakan hubungan x × y = FPB(x, y) × KPK(x, y) = 6 × 120 = 720. Langkah 2: Misalkan x = 6a dan y = 6b dengan FPB(a, b) = 1 dan a &gt; b. Maka (6a) × (6b) = 720, sehingga a × b = 20. Langkah 3: Pasangan (a, b) yang saling prima dengan a &gt; b adalah (20, 1) dan (5, 4). Jika (a, b) = (20, 1), maka x = 120 dan y = 6 (gugur karena 120 merupakan kelipatan 6). Jika (a, b) = (5, 4), maka x = 30 dan y = 24 (memenuhi syarat x bukan kelipatan y). Langkah 4: Hitung selisih x - y = 30 - 24 = 6.</t>
  </si>
  <si>
    <t>PM-01-S-37</t>
  </si>
  <si>
    <t>Diketahui empat bilangan berpangkat A = 2^60, B = 3^48, C = 5^24, dan D = 6^36. Urutan keempat bilangan tersebut dari yang nilainya TERBESAR ke TERKECIL adalah ...</t>
  </si>
  <si>
    <t>PM-03-R-01</t>
  </si>
  <si>
    <t>Langkah 1: Cari FPB dari seluruh eksponen (60, 48, 24, 36), yaitu 12. Langkah 2: Ubah bentuk setiap bilangan menjadi berpangkat 12: A = (2^5)^12 = 32^12; B = (3^4)^12 = 81^12; C = (5^2)^12 = 25^12; D = (6^3)^12 = 216^12. Langkah 3: Bandingkan nilai basisnya: 216 &gt; 81 &gt; 32 &gt; 25, sehingga diperoleh D &gt; B &gt; A &gt; C. Urutan dari yang terbesar ke terkecil adalah D, B, A, C.</t>
  </si>
  <si>
    <t>PM-01-S-38</t>
  </si>
  <si>
    <t>Sebuah mobil memerlukan 3 liter bensin untuk menempuh jarak 36 km. Jika mobil tersebut menempuh jarak 60 km, berapa liter bensin yang dibutuhkan?</t>
  </si>
  <si>
    <t>7 liter</t>
  </si>
  <si>
    <t>8 liter</t>
  </si>
  <si>
    <t>Kunci B BENAR karena tiga bilangan bulat berurutan pasti mengandung sekurang-kurangnya satu bilangan genap (habis dibagi 2) dan tepat satu bilangan kelipatan 3. Hasil kali ketiga bilangan tersebut (a × b × c) pasti habis dibagi 2 × 3 = 6. Analisis opsi salah: A salah karena a + b + c = 3b hanya pasti habis dibagi 3 tetapi belum tentu genap (contoh: 2+3+4 = 9, tidak habis dibagi 6); C salah (contoh: 1² + 2² + 3² = 14, tidak habis dibagi 6); D salah (contoh: 1 × 3 + 2 = 5, tidak habis dibagi 6); E salah (contoh: (1 + 2) × 3 = 9, tidak habis dibagi 6).</t>
  </si>
  <si>
    <t>Hubungan jarak dan bensin adalah perbandingan senilai. Bensin = (60 / 36) × 3 = (5 / 3) × 3 = 5 liter.</t>
  </si>
  <si>
    <t>PM-01-S-39</t>
  </si>
  <si>
    <t>Sebuah kode rahasia berupa bilangan lima angka 4X67Y habis dibagi 72. Jika X dan Y adalah angka pembentuk bilangan tersebut, nilai dari akar(X × Y + 9) adalah ...</t>
  </si>
  <si>
    <t>PM-03-R-02</t>
  </si>
  <si>
    <t>Perbandingan jumlah kelereng Budi dan Cici adalah 3 : 5. Jika jumlah kelereng Budi adalah 18 butir, maka jumlah kelereng Cici adalah ...</t>
  </si>
  <si>
    <t>Langkah 1: Bilangan habis dibagi 72 jika dan hanya jika habis dibagi 8 dan 9. Langkah 2: Syarat habis dibagi 8 adalah 3 digit terakhir (67Y) habis dibagi 8. Dari 670 + Y, nilai Y yang memenuhi adalah Y = 2 (karena 672 / 8 = 84). Langkah 3: Syarat habis dibagi 9 adalah jumlah seluruh digitnya habis dibagi 9. Jumlah digit = 4 + X + 6 + 7 + 2 = 19 + X. Nilai X yang memenuhi (0 &lt;= X &lt;= 9) adalah X = 8 (karena 19 + 8 = 27). Langkah 4: Hitung akar(X × Y + 9) = akar(8 × 2 + 9) = akar(16 + 9) = akar(25) = 5.</t>
  </si>
  <si>
    <t>27 butir</t>
  </si>
  <si>
    <t>PM-01-S-40</t>
  </si>
  <si>
    <t>35 butir</t>
  </si>
  <si>
    <t>40 butir</t>
  </si>
  <si>
    <t>Jika a = 2^-3 dan b = 4^-2, maka nilai dari ekspresi (a + b) / (a - b) adalah ...</t>
  </si>
  <si>
    <t>Kelereng Cici = (5 / 3) × 18 = 5 × 6 = 30 butir.</t>
  </si>
  <si>
    <t>PM-03-R-03</t>
  </si>
  <si>
    <t>Langkah 1: Ubah nilai a dan b ke bentuk pecahan desimal/rasional: a = 2^-3 = 1/8; b = 4^-2 = (2²)^-2 = 2^-4 = 1/16. Langkah 2: Hitung pembilang (a + b) = 1/8 + 1/16 = 2/16 + 1/16 = 3/16. Langkah 3: Hitung penyebut (a - b) = 1/8 - 1/16 = 2/16 - 1/16 = 1/16. Langkah 4: Hitung hasil pembagian (a + b) / (a - b) = (3/16) / (1/16) = (3/16) × 16 = 3.</t>
  </si>
  <si>
    <t>Suatu pekerjaan dapat diselesaikan oleh 8 orang pekerja dalam waktu 15 hari. Jika pekerjaan tersebut dikerjakan oleh 12 orang pekerja, berapa hari pekerjaan tersebut akan selesai?</t>
  </si>
  <si>
    <t>8 hari</t>
  </si>
  <si>
    <t>10 hari</t>
  </si>
  <si>
    <t>PM-01-S-41</t>
  </si>
  <si>
    <t>12 hari</t>
  </si>
  <si>
    <t>14 hari</t>
  </si>
  <si>
    <t>Hubungan jumlah pekerja dan waktu adalah perbandingan berbalik nilai. Waktu = (8 × 15) / 12 = 120 / 12 = 10 hari.</t>
  </si>
  <si>
    <t>Dua batang pipa paralon memiliki panjang x cm dan y cm dengan x &gt; y. Diketahui FPB(x, y) = 12 dan KPK(x, y) = 180. Jika panjang pipa x dipastikan kurang dari 100 cm, maka selisih panjang kedua pipa (x - y) adalah ...</t>
  </si>
  <si>
    <t>12 cm</t>
  </si>
  <si>
    <t>18 cm</t>
  </si>
  <si>
    <t>PM-03-R-04</t>
  </si>
  <si>
    <t>20 cm</t>
  </si>
  <si>
    <t>24 cm</t>
  </si>
  <si>
    <t>Pada sebuah peta, jarak 2 cm mewakili jarak sebenarnya 10 km. Berapakah jarak sebenarnya jika jarak pada peta adalah 7 cm?</t>
  </si>
  <si>
    <t>25 km</t>
  </si>
  <si>
    <t>30 km</t>
  </si>
  <si>
    <t>Langkah 1: Gunakan rumus x × y = FPB(x, y) × KPK(x, y) = 12 × 180 = 2160. Langkah 2: Misalkan x = 12a dan y = 12b dengan FPB(a, b) = 1 dan a &gt; b. Diperoleh (12a) × (12b) = 2160, sehingga a × b = 15. Langkah 3: Pasangan (a, b) yang mungkin adalah (15, 1) dan (5, 3). Jika (a, b) = (15, 1), maka x = 180 cm (gugur karena syarat x &lt; 100 cm). Jika (a, b) = (5, 3), maka x = 60 cm dan y = 36 cm (memenuhi syarat x &lt; 100 cm). Langkah 4: Hitung selisih x - y = 60 - 36 = 24 cm.</t>
  </si>
  <si>
    <t>35 km</t>
  </si>
  <si>
    <t>40 km</t>
  </si>
  <si>
    <t>45 km</t>
  </si>
  <si>
    <t>PM-01-S-42</t>
  </si>
  <si>
    <t>Jarak sebenarnya = (7 / 2) × 10 km = 7 × 5 km = 35 km.</t>
  </si>
  <si>
    <t>PM-03-R-05</t>
  </si>
  <si>
    <t>Diketahui empat kapasitas penyimpanan data komputer direpresentasikan dalam bentuk bilangan berpangkat P = 4^36, Q = 3^48, R = 2^84, dan S = 5^24. Urutan kapasitas data dari yang TERBESAR ke TERKECIL adalah ...</t>
  </si>
  <si>
    <t>P, Q, R, S</t>
  </si>
  <si>
    <t>R, P, Q, S</t>
  </si>
  <si>
    <t>Perbandingan uang Andi dan Budi adalah 2 : 7. Jika total uang mereka berdua adalah Rp90.000,00, maka besar uang Andi adalah ...</t>
  </si>
  <si>
    <t>R, Q, P, S</t>
  </si>
  <si>
    <t>Rp15.000,00</t>
  </si>
  <si>
    <t>Q, R, P, S</t>
  </si>
  <si>
    <t>Rp20.000,00</t>
  </si>
  <si>
    <t>Q, P, R, S</t>
  </si>
  <si>
    <t>Rp25.000,00</t>
  </si>
  <si>
    <t>Rp30.000,00</t>
  </si>
  <si>
    <t>Rp35.000,00</t>
  </si>
  <si>
    <t>Langkah 1: Cari FPB dari seluruh pangkat (36, 48, 84, 24), yaitu 12. Langkah 2: Samakan eksponen luar setiap bilangan menjadi pangkat 12: P = (4^3)^12 = 64^12; Q = (3^4)^12 = 81^12; R = (2^7)^12 = 128^12; S = (5^2)^12 = 25^12. Langkah 3: Bandingkan basisnya: 128 &gt; 81 &gt; 64 &gt; 25, sehingga R &gt; Q &gt; P &gt; S. Urutan dari yang terbesar ke terkecil adalah R, Q, P, S.</t>
  </si>
  <si>
    <t>Jumlah rasio = 2 + 7 = 9. Uang Andi = (2 / 9) × Rp90.000,00 = Rp20.000,00.</t>
  </si>
  <si>
    <t>PM-01-S-43</t>
  </si>
  <si>
    <t>PM-03-R-06</t>
  </si>
  <si>
    <t>Sebuah nomor seri barang berupa bilangan lima angka 5X4Y2 habis dibagi 72. Jika X dan Y adalah angka tunggal penyusun nomor seri tersebut, maka nilai dari akar(X × Y + 4) adalah ...</t>
  </si>
  <si>
    <t>Sebuah mesin pencetak buku dapat mencetak 120 lembar dalam waktu 4 menit. Banyak lembar buku yang dapat dicetak mesin tersebut dalam waktu 10 menit adalah ...</t>
  </si>
  <si>
    <t>240 lembar</t>
  </si>
  <si>
    <t>280 lembar</t>
  </si>
  <si>
    <t>300 lembar</t>
  </si>
  <si>
    <t>320 lembar</t>
  </si>
  <si>
    <t>360 lembar</t>
  </si>
  <si>
    <t>Hasil cetak = (10 / 4) × 120 = 10 × 30 = 300 lembar.</t>
  </si>
  <si>
    <t>Langkah 1: Bilangan habis dibagi 72 jika habis dibagi 8 dan 9. Langkah 2: Syarat habis dibagi 8 adalah 3 digit terakhir (4Y2) habis dibagi 8. Dari 400 + 10Y + 2, nilai Y yang memenuhi adalah Y = 3 (karena 432 / 8 = 54). Langkah 3: Syarat habis dibagi 9 adalah jumlah seluruh digit (5 + X + 4 + 3 + 2 = 14 + X) habis dibagi 9. Nilai X yang memenuhi adalah X = 4 (karena 14 + 4 = 18). Langkah 4: Hitung nilai akar(X × Y + 4) = akar(4 × 3 + 4) = akar(16) = 4.</t>
  </si>
  <si>
    <t>PM-03-R-07</t>
  </si>
  <si>
    <t>PM-01-S-44</t>
  </si>
  <si>
    <t>Selisih tinggi badan Dina dan Lisa adalah 15 cm. Jika perbandingan tinggi badan Dina dan Lisa adalah 4 : 3, maka tinggi badan Dina adalah ...</t>
  </si>
  <si>
    <t>45 cm</t>
  </si>
  <si>
    <t>50 cm</t>
  </si>
  <si>
    <t>60 cm</t>
  </si>
  <si>
    <t>Jika m = 3^-2 dan n = 9^-1, maka nilai dari ekspresi ((m² + n²) / (2 × m × n)) + 7 adalah ...</t>
  </si>
  <si>
    <t>75 cm</t>
  </si>
  <si>
    <t>80 cm</t>
  </si>
  <si>
    <t>Selisih rasio = 4 - 3 = 1. Tinggi Dina = (4 / 1) × 15 cm = 60 cm.</t>
  </si>
  <si>
    <t>PM-03-R-08</t>
  </si>
  <si>
    <t>Langkah 1: Sederhanakan nilai m dan n: m = 3^-2 = 1/9; n = 9^-1 = 1/9. Langkah 2: Karena m = n = 1/9, substitusi ke pecahan: (m² + n²) / (2 × m × n) = ((1/9)² + (1/9)²) / (2 × (1/9) × (1/9)) = (2/81) / (2/81) = 1. Langkah 3: Hitung nilai akhir = 1 + 7 = 8.</t>
  </si>
  <si>
    <t>Sebuah peternakan mempunyai persediaan makanan yang cukup untuk 20 ekor sapi selama 18 hari. Jika peternak menambah 10 ekor sapi lagi, berapa hari persediaan makanan tersebut akan habis?</t>
  </si>
  <si>
    <t>9 hari</t>
  </si>
  <si>
    <t>PM-01-S-45</t>
  </si>
  <si>
    <t>15 hari</t>
  </si>
  <si>
    <t>Total sapi sekarang = 20 + 10 = 30 ekor. Kasus berbalik nilai: Waktu = (20 × 18) / 30 = 360 / 30 = 12 hari.</t>
  </si>
  <si>
    <t>Manakah di antara pernyataan berikut yang DIPASTIKAN SELALU BENAR untuk setiap n bilangan bulat positif pada bentuk ekspresi n^4 - n^2?</t>
  </si>
  <si>
    <t>Selalu bernilai ganjil</t>
  </si>
  <si>
    <t>PM-03-R-09</t>
  </si>
  <si>
    <t>Selalu bernilai prima</t>
  </si>
  <si>
    <t>Selalu habis dibagi 12</t>
  </si>
  <si>
    <t>Selalu habis dibagi 16</t>
  </si>
  <si>
    <t>Untuk membuat 5 kue diperlukan 250 gram gula pasir. Berapa gram gula pasir yang dibutuhkan untuk membuat 12 kue dengan resep yang sama?</t>
  </si>
  <si>
    <t>Selalu bernilai negatif</t>
  </si>
  <si>
    <t>500 gram</t>
  </si>
  <si>
    <t>550 gram</t>
  </si>
  <si>
    <t>600 gram</t>
  </si>
  <si>
    <t>650 gram</t>
  </si>
  <si>
    <t>Kunci C BENAR karena n^4 - n^2 = n²(n² - 1) = (n - 1) × n × n × (n + 1). Ekspresi ini memuat hasil kali tiga bilangan bulat berurutan (n-1) × n × (n+1) yang selalu habis dibagi 6, serta faktor perkalian n tambahan yang menjamin kelipatan genap tambahan, sehingga n^4 - n^2 dipastikan selalu habis dibagi 12 untuk setiap n bilangan bulat positif. Analisis opsi salah: A salah karena n^4 - n^2 selalu genap; B salah karena untuk n &gt; 1 hasilnya merupakan bilangan komposit; D salah (contoh: untuk n = 3, 3^4 - 3^2 = 72 yang tidak habis dibagi 16); E salah karena n^4 - n^2 &gt;= 0 untuk n bilangan bulat positif.</t>
  </si>
  <si>
    <t>700 gram</t>
  </si>
  <si>
    <t>Gula pasir = (12 / 5) × 250 = 12 × 50 = 600 gram.</t>
  </si>
  <si>
    <t>PM-03-R-10</t>
  </si>
  <si>
    <t>TOTAL Materi 01 — Representasi &amp; Sifat Bilangan</t>
  </si>
  <si>
    <t>Perbandingan harga buku dan pensil adalah 5 : 2. Jika harga satu buah buku adalah Rp15.000,00, maka harga satu buah pensil adalah ...</t>
  </si>
  <si>
    <t>Harga pensil = (2 / 5) × Rp15.000,00 = 2 × Rp3.000,00 = Rp6.000,00.</t>
  </si>
  <si>
    <t>PM-03-R-11</t>
  </si>
  <si>
    <t>Sebuah mobil melaju dengan kecepatan 60 km/jam dan membutuhkan waktu 4 jam untuk mencapai tujuan. Jika mobil tersebut melaju dengan kecepatan 80 km/jam, berapa jam waktu yang dibutuhkan?</t>
  </si>
  <si>
    <t>2,5 jam</t>
  </si>
  <si>
    <t>3 jam</t>
  </si>
  <si>
    <t>3,2 jam</t>
  </si>
  <si>
    <t>3,5 jam</t>
  </si>
  <si>
    <t>3,8 jam</t>
  </si>
  <si>
    <t>Kasus berbalik nilai: Waktu = (60 × 4) / 80 = 240 / 80 = 3 jam.</t>
  </si>
  <si>
    <t>PM-03-R-12</t>
  </si>
  <si>
    <t>Diketahui perbandingan A : B = 3 : 4 dan B : C = 4 : 5. Nilai dari perbandingan A : C adalah ...</t>
  </si>
  <si>
    <t>3 : 5</t>
  </si>
  <si>
    <t>3 : 4</t>
  </si>
  <si>
    <t>4 : 5</t>
  </si>
  <si>
    <t>1 : 2</t>
  </si>
  <si>
    <t>2 : 3</t>
  </si>
  <si>
    <t>Nilai rasio B pada kedua perbandingan sudah sama (yaitu 4). Maka perbandingan A : B : C = 3 : 4 : 5, sehingga A : C = 3 : 5. Opsi A BENAR. Opsi B, C, D, dan E SALAH karena tidak sesuai dengan hasil penyederhanaan rasio A terhadap C.</t>
  </si>
  <si>
    <t>PM-03-R-13</t>
  </si>
  <si>
    <t>Seorang penjahit dapat menjahit 6 potong baju dalam waktu 2 hari. Banyak baju yang dapat dijahit oleh penjahit tersebut dalam waktu 7 hari adalah ...</t>
  </si>
  <si>
    <t>18 potong</t>
  </si>
  <si>
    <t>21 potong</t>
  </si>
  <si>
    <t>24 potong</t>
  </si>
  <si>
    <t>28 potong</t>
  </si>
  <si>
    <t>30 potong</t>
  </si>
  <si>
    <t>Banyak baju = (7 / 2) × 6 = 7 × 3 = 21 potong.</t>
  </si>
  <si>
    <t>PM-03-R-14</t>
  </si>
  <si>
    <t>Skala sebuah peta adalah 1 : 500.000. Jika jarak dua kota pada peta tersebut adalah 4 cm, maka jarak sebenarnya antara kedua kota tersebut adalah ...</t>
  </si>
  <si>
    <t>10 km</t>
  </si>
  <si>
    <t>15 km</t>
  </si>
  <si>
    <t>20 km</t>
  </si>
  <si>
    <t>Jarak sebenarnya = 4 cm × 500.000 = 2.000.000 cm = 20 km.</t>
  </si>
  <si>
    <t>PM-03-R-15</t>
  </si>
  <si>
    <t>Perbandingan siswa laki-laki dan siswa perempuan di dalam sebuah kelas adalah 3 : 4. Jika jumlah seluruh siswa di kelas tersebut adalah 35 orang, banyak siswa laki-laki adalah ...</t>
  </si>
  <si>
    <t>12 orang</t>
  </si>
  <si>
    <t>18 orang</t>
  </si>
  <si>
    <t>21 orang</t>
  </si>
  <si>
    <t>Jumlah rasio = 3 + 4 = 7. Banyak siswa laki-laki = (3 / 7) × 35 = 3 × 5 = 15 orang.</t>
  </si>
  <si>
    <t>PM-03-S-16</t>
  </si>
  <si>
    <t>PM-03-S-17</t>
  </si>
  <si>
    <t>PM-03-S-18</t>
  </si>
  <si>
    <t>PM-03-S-19</t>
  </si>
  <si>
    <t>PM-03-S-20</t>
  </si>
  <si>
    <t>PM-03-S-21</t>
  </si>
  <si>
    <t>PM-03-S-22</t>
  </si>
  <si>
    <t>PM-03-S-23</t>
  </si>
  <si>
    <t>PM-03-S-24</t>
  </si>
  <si>
    <t>PM-03-S-25</t>
  </si>
  <si>
    <t>PM-03-S-26</t>
  </si>
  <si>
    <t>PM-03-S-27</t>
  </si>
  <si>
    <t>PM-03-S-28</t>
  </si>
  <si>
    <t>PM-03-S-29</t>
  </si>
  <si>
    <t>PM-03-S-30</t>
  </si>
  <si>
    <t>PM-03-S-31</t>
  </si>
  <si>
    <t>Pembangunan sebuah gedung direncanakan selesai dalam waktu 30 hari dengan mempekerjakan 24 pekerja ahli. Setelah dikerjakan selama 10 hari, pekerjaan terhenti selama 5 hari karena keterlambatan pasokan bahan bangunan. Jika mandor memutuskan untuk merekrut pekerja tambahan yang produktivitasnya hanya setengah dari pekerja ahli agar proyek selesai tepat waktu, berapakah jumlah pekerja tambahan yang harus direkrut?</t>
  </si>
  <si>
    <t>8 orang</t>
  </si>
  <si>
    <t>16 orang</t>
  </si>
  <si>
    <t>24 orang</t>
  </si>
  <si>
    <t>Total beban proyek = 24 × 30 = 720 pekerja-hari. Beban yang terselesaikan 10 hari pertama = 24 × 10 = 240 pekerja-hari. Sisa beban = 720 - 240 = 480 pekerja-hari. Sisa waktu nyata = 30 - 10 - 5 = 15 hari. Misalkan jumlah pekerja baru berproduktivitas setengah adalah N orang, maka kemampuan total setara pekerja ahli adalah 24 + 0,5N. Persamaan sisa beban: (24 + 0,5N) × 15 = 480; 24 + 0,5N = 32; 0,5N = 8; N = 16 orang. Maka jumlah pekerja tambahan adalah 16 orang.</t>
  </si>
  <si>
    <t>PM-03-S-32</t>
  </si>
  <si>
    <t>Perbandingan jumlah kelereng Ali dan Budi adalah 2 : 3, sedangkan perbandingan jumlah kelereng Budi dan Cici adalah 4 : 5. Jika Cici memberikan 14 butir kelerengnya kepada Ali, perbandingan jumlah kelereng Ali dan Cici menjadi 1 : 1. Berapakah jumlah kelereng Budi semula?</t>
  </si>
  <si>
    <t>36 butir</t>
  </si>
  <si>
    <t>48 butir</t>
  </si>
  <si>
    <t>60 butir</t>
  </si>
  <si>
    <t>72 butir</t>
  </si>
  <si>
    <t>84 butir</t>
  </si>
  <si>
    <t>Menyamakan rasio gabungan: Ali : Budi = 2 : 3 = 8 : 12; Budi : Cici = 4 : 5 = 12 : 15. Maka rasio Ali : Budi : Cici = 8 : 12 : 15. Misalkan jumlah kelereng Ali = 8x dan Cici = 15x. Setelah Cici memberikan 14 butir ke Ali, perbandingannya 1 : 1, sehingga: 8x + 14 = 15x - 14; 15x - 8x = 14 + 14; 7x = 28; x = 4. Jumlah kelereng Budi semula = 12x = 12 × 4 = 48 butir.</t>
  </si>
  <si>
    <t>PM-03-S-33</t>
  </si>
  <si>
    <t>Sebanyak 6 buah mesin cetak tipe A dapat menyelesaikan pencetakan 360 kardus kemasan dalam waktu 4 jam. Perusahaan menambah mesin tipe B yang memiliki kecepatan cetak 1,5 kali lebih cepat dari mesin tipe A. Jika perusahaan menggunakan 4 mesin tipe A dan 4 mesin tipe B secara bersamaan, berapa jam waktu yang dibutuhkan untuk mencetak 900 kardus kemasan?</t>
  </si>
  <si>
    <t>PM — Materi 04: Aritmetika Sosial Kontekstual  |  Target: 45 Soal (15 Ringan · 15 Sedang · 15 Sulit)</t>
  </si>
  <si>
    <t>4 jam</t>
  </si>
  <si>
    <t>5 jam</t>
  </si>
  <si>
    <t>5,5 jam</t>
  </si>
  <si>
    <t>6 jam</t>
  </si>
  <si>
    <t>7,5 jam</t>
  </si>
  <si>
    <t>Laju 1 mesin tipe A = 360 / (6 × 4) = 15 kardus/jam. Laju 1 mesin tipe B = 1,5 × 15 = 22,5 kardus/jam. Laju gabungan 4 mesin A dan 4 mesin B = (4 × 15) + (4 × 22,5) = 60 + 90 = 150 kardus/jam. Waktu yang dibutuhkan untuk mencetak 900 kardus = 900 / 150 = 6 jam.</t>
  </si>
  <si>
    <t>PM-03-S-34</t>
  </si>
  <si>
    <t>Sebuah arsitek membuat maket gedung dengan skala panjang 1 : 150. Pada maket tersebut, alas gedung berbentuk persegi panjang dengan ukuran 20 cm × 30 cm. Jika lantai alas gedung sebenarnya akan dipasangi ubin berbentuk persegi berukuran 50 cm × 50 cm, berapakah jumlah ubin minimum yang dibutuhkan untuk menutup seluruh alas gedung tersebut?</t>
  </si>
  <si>
    <t>3.600 ubin</t>
  </si>
  <si>
    <t>4.500 ubin</t>
  </si>
  <si>
    <t>5.400 ubin</t>
  </si>
  <si>
    <t>6.200 ubin</t>
  </si>
  <si>
    <t>7.200 ubin</t>
  </si>
  <si>
    <t>Luas alas maket = 20 cm × 30 cm = 600 cm². Karena skala panjang 1 : 150, perbandingan luas adalah 1 : 150² = 1 : 22.500. Luas alas gedung sebenarnya = 600 cm² × 22.500 = 13.500.000 cm². Luas satu ubin = 50 cm × 50 cm = 2.500 cm². Jumlah ubin yang dibutuhkan = 13.500.000 / 2.500 = 5.400 ubin.</t>
  </si>
  <si>
    <t>PM-03-S-35</t>
  </si>
  <si>
    <t>Pembangunan sebuah fasilitas umum dapat diselesaikan dalam waktu 20 hari oleh 10 pekerja pria, atau dalam waktu 20 hari oleh 15 pekerja wanita. Pekerjaan tersebut dimulai dengan mempekerjakan 6 pekerja pria dan 6 pekerja wanita selama 8 hari. Jika sisa pekerjaan ingin diselesaikan dalam waktu 8 hari tepat, berapakah jumlah pekerja pria saja yang dibutuhkan untuk menyelesaikan sisa pekerjaan tersebut?</t>
  </si>
  <si>
    <t>Komponen: Bilangan  |  Menyelesaikan masalah kontekstual tentang diskon, pajak, bunga, dan skala dalam kehidupan nyata.</t>
  </si>
  <si>
    <t>Total beban proyek = 10 pria × 20 hari = 200 pria-hari (atau 15 wanita × 20 hari = 300 wanita-hari). Kesetaraan laju: 200 pria-hari = 300 wanita-hari, maka 1 wanita = 2/3 pria (atau 6 wanita = 4 pria). Pekerjaan yang telah selesai selama 8 hari = 8 × (6 pria + 6 wanita) = 8 × (6 + 4) = 80 pria-hari. Sisa beban = 200 - 80 = 120 pria-hari. Jumlah pekerja pria (P) untuk menyelesaikan sisa beban dalam 8 hari: P × 8 = 120; P = 15 pekerja pria.</t>
  </si>
  <si>
    <t>PM-03-S-36</t>
  </si>
  <si>
    <t>Sebuah tangki penampungan minyak industri berkapasitas 1.200 liter diisi oleh Pipa A dan Pipa B. Jika bekerja sendiri, Pipa A dapat mengisi penuh tangki dalam 4 jam, sedangkan Pipa B membutuhkan waktu 6 jam. Pipa A dan B dibuka bersamaan selama 2 jam. Namun pada jam ke-2, pipa pembuangan C di dasar tangki tidak sengaja terbuka. Jika Pipa C sanggup menguras penuh tangki dalam 12 jam, berapa menit total waktu yang dibutuhkan dari awal hingga tangki terisi penuh?</t>
  </si>
  <si>
    <t>120 menit</t>
  </si>
  <si>
    <t>150 menit</t>
  </si>
  <si>
    <t>160 menit</t>
  </si>
  <si>
    <t>180 menit</t>
  </si>
  <si>
    <t>200 menit</t>
  </si>
  <si>
    <t>Laju Pipa A = 1.200 / 4 = 300 liter/jam; Laju Pipa B = 1.200 / 6 = 200 liter/jam; Laju Pipa C (pembuangan) = 1.200 / 12 = 100 liter/jam. Selama 2 jam pertama (hanya A dan B): Volume terisi = (300 + 200) × 2 = 1.000 liter. Sisa kapasitas = 1.200 - 1.000 = 200 liter. Setelah Pipa C terbuka, laju pengisian neto = 300 + 200 - 100 = 400 liter/jam. Waktu tambahan untuk mengisi 200 liter sisa = 200 / 400 = 0,5 jam (30 menit). Total waktu pengisian = 2 jam + 30 menit = 150 menit.</t>
  </si>
  <si>
    <t>PM-03-S-37</t>
  </si>
  <si>
    <t>Pabrik Makanan Lezat meracik bumbu tabur kemasan dengan perbandingan berat Garam : Gula : Cabai Bubuk = 2 : 3 : 5. Harga bahan baku Garam adalah Rp10.000/kg, Gula Rp15.000/kg, dan Cabai Bubuk Rp40.000/kg. Jika bagian keuangan pabrik mengalokasikan anggaran bahan baku tepat sebesar Rp5.300.000, berapakah total berat bumbu tabur yang berhasil diproduksi?</t>
  </si>
  <si>
    <t>160 kg</t>
  </si>
  <si>
    <t>180 kg</t>
  </si>
  <si>
    <t>200 kg</t>
  </si>
  <si>
    <t>220 kg</t>
  </si>
  <si>
    <t>250 kg</t>
  </si>
  <si>
    <t>Misalkan berat Garam = 2x, Gula = 3x, dan Cabai = 5x kg. Total biaya = (2x × 10.000) + (3x × 15.000) + (5x × 40.000) = 20.000x + 45.000x + 200.000x = 265.000x. Persamaan biaya: 265.000x = 5.300.000; x = 20. Total berat bumbu tabur = 2x + 3x + 5x = 10x = 10 × 20 = 200 kg.</t>
  </si>
  <si>
    <t>PM-03-S-38</t>
  </si>
  <si>
    <t>Dinas Kebersihan Kota mengoperasikan 8 unit truk pengangkut berkapasitas 5 ton untuk membersihkan seluruh sampah kota dalam waktu 6 hari dengan frekuensi 3 kali pengangkutan per hari per truk. Dinas memutuskan mengganti seluruh armada dengan truk model baru berkapasitas 8 ton dan menargetkan seluruh sampah terangkut bersih dalam waktu 5 hari dengan frekuensi trip per hari yang sama. Berapakah jumlah truk model baru yang dibutuhkan?</t>
  </si>
  <si>
    <t>6 unit</t>
  </si>
  <si>
    <t>7 unit</t>
  </si>
  <si>
    <t>8 unit</t>
  </si>
  <si>
    <t>9 unit</t>
  </si>
  <si>
    <t>10 unit</t>
  </si>
  <si>
    <t>Total kapasitas beban sampah = 8 truk × 5 ton × 6 hari × 3 trip = 720 ton-trip. Misalkan jumlah truk baru = N. Persamaan beban pengangkutan truk baru: N truk × 8 ton × 5 hari × 3 trip = 720; 120N = 720; N = 6 unit truk. Maka dibutuhkan 6 unit truk model baru.</t>
  </si>
  <si>
    <t>PM-03-S-39</t>
  </si>
  <si>
    <t>Sebuah fasilitas garmen menggunakan 10 unit mesin jahit otomatis yang beroperasi 8 jam per hari dan menyedot total daya listrik sebesar 240 kWh dalam 5 hari operasional. Jika pemilik pabrik menambah 5 unit mesin jahit sejenis dan meningkatkan durasi kerja menjadi 10 jam per hari, berapakah total daya listrik yang disedot seluruh mesin tersebut selama 8 hari operasional?</t>
  </si>
  <si>
    <t>540 kWh</t>
  </si>
  <si>
    <t>600 kWh</t>
  </si>
  <si>
    <t>640 kWh</t>
  </si>
  <si>
    <t>720 kWh</t>
  </si>
  <si>
    <t>800 kWh</t>
  </si>
  <si>
    <t>Laju konsumsi listrik per mesin per jam = 240 / (10 × 8 × 5) = 240 / 400 = 0,6 kWh per mesin-jam. Jumlah mesin baru = 10 + 5 = 15 unit. Total daya listrik baru = 15 mesin × 10 jam × 8 hari × 0,6 kWh = 720 kWh.</t>
  </si>
  <si>
    <t>PM-03-S-40</t>
  </si>
  <si>
    <t>Pabrik kemasan kaleng memproduksi dua ukuran wadah tabung tanpa tutup. Wadah ukuran kecil dan besar memiliki perbandingan jari-jari alas 2 : 3 dan perbandingan tinggi 3 : 4. Jika biaya pelapisan anti-karat untuk permukaan luar wadah ukuran kecil adalah Rp32.000,00 per buah, berapakah biaya pelapisan untuk satu buah wadah ukuran besar jika tarif pelapisan per cm² sama?</t>
  </si>
  <si>
    <t>Rp48.000,00</t>
  </si>
  <si>
    <t>Rp54.000,00</t>
  </si>
  <si>
    <t>Rp66.000,00</t>
  </si>
  <si>
    <t>Rp72.000,00</t>
  </si>
  <si>
    <t>Rp81.000,00</t>
  </si>
  <si>
    <t>PM-04-R-01</t>
  </si>
  <si>
    <t>Luas permukaan tabung tanpa tutup = L = πr² + 2πrt = πr(r + 2t). Rasio r1 : r2 = 2 : 3 dan t1 : t2 = 3 : 4. Misalkan r1 = 2k, t1 = 3k, maka L1 = π(2k)(2k + 2(3k)) = π(2k)(8k) = 16πk². Misalkan r2 = 3k, t2 = 4k, maka L2 = π(3k)(3k + 2(4k)) = π(3k)(11k) = 33πk². Perbandingan luas L1 : L2 = 16 : 33. Biaya pelapisan wadah besar = (33 / 16) × Rp32.000,00 = 33 × Rp2.000,00 = Rp66.000,00.</t>
  </si>
  <si>
    <t>PM-03-S-41</t>
  </si>
  <si>
    <t>Sebuah tangki di pabrik kimia berisi 600 liter larutan pembersih dengan perbandingan volume alkohol dan air 3 : 2. Tim riset ingin mengubah konsentrasi larutan tersebut agar perbandingan volume alkohol dan air menjadi 3 : 5 dengan hanya menambahkan air murni. Berapakah volume air murni yang harus ditambahkan ke dalam tangki tersebut?</t>
  </si>
  <si>
    <t>240 liter</t>
  </si>
  <si>
    <t>300 liter</t>
  </si>
  <si>
    <t>360 liter</t>
  </si>
  <si>
    <t>420 liter</t>
  </si>
  <si>
    <t>480 liter</t>
  </si>
  <si>
    <t>Seorang pedagang membeli sepasang sepatu dengan harga Rp200.000,00 dan menjualnya kembali dengan harga Rp250.000,00. Keuntungan pedagang tersebut adalah ...</t>
  </si>
  <si>
    <t>Volume awal alkohol = (3 / 5) × 600 = 360 liter. Volume awal air = (2 / 5) × 600 = 240 liter. Karena hanya air yang ditambahkan, volume alkohol tetap 360 liter. Misalkan volume air yang ditambahkan = x liter. Persamaan perbandingan baru: 360 / (240 + x) = 3 / 5; 3 × (240 + x) = 360 × 5; 720 + 3x = 1.800; 3x = 1.080; x = 360 liter.</t>
  </si>
  <si>
    <t>Rp40.000,00</t>
  </si>
  <si>
    <t>Rp50.000,00</t>
  </si>
  <si>
    <t>Rp60.000,00</t>
  </si>
  <si>
    <t>PM-03-S-42</t>
  </si>
  <si>
    <t>Rp70.000,00</t>
  </si>
  <si>
    <t>Sebuah mesin 3D printer di industri manufaktur sanggup mencetak 12 komponen presisi dalam waktu 5 jam dengan menghabiskan 8 kg filamen khusus. Jika pabrik tersebut menerima pesanan tambahan sehingga total pesanan menjadi 30 komponen sejenis, berapakah tambahan bahan filamen yang harus disediakan oleh pabrik dibanding persediaan pesanan awal?</t>
  </si>
  <si>
    <t>10 kg</t>
  </si>
  <si>
    <t>Keuntungan dihitung dari selisih harga jual dan harga beli: Keuntungan = Harga Jual - Harga Beli = Rp250.000,00 - Rp200.000,00 = Rp50.000,00.</t>
  </si>
  <si>
    <t>12 kg</t>
  </si>
  <si>
    <t>14 kg</t>
  </si>
  <si>
    <t>16 kg</t>
  </si>
  <si>
    <t>20 kg</t>
  </si>
  <si>
    <t>Bahan yang dibutuhkan berbanding senilai dengan jumlah komponen. Kebutuhan bahan per komponen = 8 kg / 12 komponen = 2/3 kg per komponen. Total bahan untuk 30 komponen = 30 × (2/3) = 20 kg. Tambahan bahan filamen yang harus disediakan = 20 kg - 8 kg = 12 kg.</t>
  </si>
  <si>
    <t>PM-04-R-02</t>
  </si>
  <si>
    <t>PM-03-S-43</t>
  </si>
  <si>
    <t>Sebuah bus listrik memiliki baterai berkapasitas 240 kWh. Stasiun isi ulang daya A dapat mengisi baterai bus dari kosong hingga penuh dalam waktu 2 jam, sedangkan stasiun B membutuhkan waktu 3 jam. Baterai bus yang awalnya terisi 25% diisi menggunakan Stasiun A selama 1 jam. Jika proses pengisian kemudian dilanjutkan menggunakan Stasiun B hingga baterai terisi penuh 100%, berapa menit waktu pengisian yang dibutuhkan pada Stasiun B?</t>
  </si>
  <si>
    <t>30 menit</t>
  </si>
  <si>
    <t>45 menit</t>
  </si>
  <si>
    <t>60 menit</t>
  </si>
  <si>
    <t>75 menit</t>
  </si>
  <si>
    <t>Sebuah kaus dipasang label harga Rp150.000,00. Jika toko memberikan diskon sebesar 20%, besarnya potongan harga kaus tersebut adalah ...</t>
  </si>
  <si>
    <t>90 menit</t>
  </si>
  <si>
    <t>Daya baterai yang perlu diisi dari 25% ke 100% = 75% × 240 kWh = 180 kWh. Laju stasiun A = 240 / 2 = 120 kWh/jam. Laju stasiun B = 240 / 3 = 80 kWh/jam. Pengisian 1 jam di Stasiun A mengisi daya sebesar 120 kWh. Sisa daya yang belum terisi = 180 - 120 = 60 kWh. Waktu pengisian sisa daya di Stasiun B = 60 / 80 = 0,75 jam = 45 menit.</t>
  </si>
  <si>
    <t>PM-03-S-44</t>
  </si>
  <si>
    <t>Potongan harga dihitung dari persentase diskon dikalikan harga label: Potongan Harga = 20% × Rp150.000,00 = (20 / 100) × Rp150.000,00 = Rp30.000,00.</t>
  </si>
  <si>
    <t>Pada pemetaan foto udara kawasan pertanian, skala yang digunakan adalah 1 : 20.000. Pada foto tersebut, suatu area perkebunan kelapa sawit tampak berbentuk jajar genjang dengan panjang alas 8 cm dan tinggi 5 cm. Jika 1 hektar setara dengan 10.000 m², berapakah luas sebenarnya dari area perkebunan kelapa sawit tersebut?</t>
  </si>
  <si>
    <t>40 hektar</t>
  </si>
  <si>
    <t>80 hektar</t>
  </si>
  <si>
    <t>120 hektar</t>
  </si>
  <si>
    <t>PM-04-R-03</t>
  </si>
  <si>
    <t>160 hektar</t>
  </si>
  <si>
    <t>200 hektar</t>
  </si>
  <si>
    <t>Luas pada foto = 8 cm × 5 cm = 40 cm². Perbandingan luas = 1 : (20.000)² = 1 : 400.000.000. Luas sebenarnya = 40 cm² × 400.000.000 = 16.000.000.000 cm². Konversi ke m² = 16.000.000.000 / 10.000 = 1.600.000 m². Konversi ke hektar = 1.600.000 / 10.000 = 160 hektar.</t>
  </si>
  <si>
    <t>Pada karung beras tertera tulisan Bruto = 50 kg dan Tara = 1 kg. Berat bersih (Neto) beras dalam karung tersebut adalah ...</t>
  </si>
  <si>
    <t>48 kg</t>
  </si>
  <si>
    <t>PM-03-S-45</t>
  </si>
  <si>
    <t>49 kg</t>
  </si>
  <si>
    <t>50 kg</t>
  </si>
  <si>
    <t>51 kg</t>
  </si>
  <si>
    <t>52 kg</t>
  </si>
  <si>
    <t>Konsumsi bahan bakar kapal kargo per jam berbanding lurus dengan kuadrat kecepatannya. Pada kecepatan 10 knot, kapal tersebut menghabiskan bahan bakar sebanyak 200 liter per jam. Jika kapal bernavigasi menempuh jarak 90 mil laut dengan kecepatan konstan 15 knot, berapakah total bahan bakar yang dihabiskan selama seluruh perjalanan tersebut?</t>
  </si>
  <si>
    <t>1.800 liter</t>
  </si>
  <si>
    <t>Berat bersih dihitung dari pengurangan bruto dengan tara: Neto = Bruto - Tara = 50 kg - 1 kg = 49 kg.</t>
  </si>
  <si>
    <t>2.250 liter</t>
  </si>
  <si>
    <t>2.700 liter</t>
  </si>
  <si>
    <t>3.150 liter</t>
  </si>
  <si>
    <t>3.600 liter</t>
  </si>
  <si>
    <t>PM-04-R-04</t>
  </si>
  <si>
    <t>Konsumsi per jam B = k × v². Pada v = 10 knot, B = 200 liter/jam -&gt; 200 = k × (10)² -&gt; k = 2. Pada v = 15 knot, konsumsi per jam baru = 2 × (15)² = 2 × 225 = 450 liter/jam. Waktu tempuh perjalanan = Jarak / Kecepatan = 90 mil laut / 15 knot = 6 jam. Total bahan bakar yang dihabiskan = 6 jam × 450 liter/jam = 2.700 liter.</t>
  </si>
  <si>
    <t>Pak Budi membeli sebuah televisi seharga Rp2.000.000,00 dan dikenakan Pajak Pertambahan Nilai (PPN) sebesar 11%. Besar pajak yang harus dibayar Pak Budi adalah ...</t>
  </si>
  <si>
    <t>Rp110.000,00</t>
  </si>
  <si>
    <t>Rp220.000,00</t>
  </si>
  <si>
    <t>TOTAL Materi 03 — Perbandingan &amp; Proporsi</t>
  </si>
  <si>
    <t>Besar PPN dihitung dari persentase pajak dikalikan harga barang: Pajak = 11% × Rp2.000.000,00 = (11 / 100) × Rp2.000.000,00 = Rp220.000,00.</t>
  </si>
  <si>
    <t>PM-04-R-05</t>
  </si>
  <si>
    <t>Seseorang menabung di bank sebesar Rp5.000.000,00 dengan suku bunga tunggal 6% per tahun. Bunga yang diperoleh setelah menabung selama 1 tahun adalah ...</t>
  </si>
  <si>
    <t>Rp350.000,00</t>
  </si>
  <si>
    <t>Bunga 1 tahun dihitung dari suku bunga dikalikan tabungan awal: Bunga = 6% × Rp5.000.000,00 = (6 / 100) × Rp5.000.000,00 = Rp300.000,00.</t>
  </si>
  <si>
    <t>PM-04-R-06</t>
  </si>
  <si>
    <t>Seorang pedagang mengalami kerugian sebesar Rp15.000,00 setelah menjual barang dagangannya seharga Rp85.000,00. Harga beli barang dagangan tersebut adalah ...</t>
  </si>
  <si>
    <t>Rp80.000,00</t>
  </si>
  <si>
    <t>Rp90.000,00</t>
  </si>
  <si>
    <t>Harga beli saat mengalami kerugian dihitung dari penjumlahan harga jual dan rugi: Harga Beli = Harga Jual + Kerugian = Rp85.000,00 + Rp15.000,00 = Rp100.000,00.</t>
  </si>
  <si>
    <t>PM-04-R-07</t>
  </si>
  <si>
    <t>Sebuah toko memberikan diskon 15% untuk semua jenis jaket. Jika harga jaket sebelum diskon adalah Rp200.000,00, harga yang harus dibayar pembeli adalah ...</t>
  </si>
  <si>
    <t>Rp160.000,00</t>
  </si>
  <si>
    <t>Rp170.000,00</t>
  </si>
  <si>
    <t>Rp175.000,00</t>
  </si>
  <si>
    <t>Rp185.000,00</t>
  </si>
  <si>
    <t>Hitung persen sisa bayar (100% - 15% = 85%), lalu kalikan harga awal: Harga Bayar = 85% × Rp200.000,00 = (85 / 100) × Rp200.000,00 = Rp170.000,00.</t>
  </si>
  <si>
    <t>PM-04-R-08</t>
  </si>
  <si>
    <t>Sebuah karung berisi gula pasir memiliki Neto = 24,5 kg dan Tara = 0,5 kg. Berat kotor (Bruto) karung gula tersebut adalah ...</t>
  </si>
  <si>
    <t>24 kg</t>
  </si>
  <si>
    <t>24,5 kg</t>
  </si>
  <si>
    <t>25 kg</t>
  </si>
  <si>
    <t>25,5 kg</t>
  </si>
  <si>
    <t>26 kg</t>
  </si>
  <si>
    <t>Berat kotor dihitung dari penjumlahan neto dan tara: Bruto = Neto + Tara = 24,5 kg + 0,5 kg = 25 kg.</t>
  </si>
  <si>
    <t>PM-04-R-09</t>
  </si>
  <si>
    <t>Seorang pedagang membeli barang seharga Rp80.000,00 dan mendapatkan keuntungan sebesar 25%. Nominal keuntungan yang diperoleh pedagang tersebut adalah ...</t>
  </si>
  <si>
    <t>Nominal keuntungan dihitung dari persen keuntungan dikalikan harga beli: Keuntungan = 25% × Rp80.000,00 = (25 / 100) × Rp80.000,00 = Rp20.000,00.</t>
  </si>
  <si>
    <t>PM-04-R-10</t>
  </si>
  <si>
    <t>Total hasil penjualan (omset) sebuah toko dalam satu hari adalah Rp4.000.000,00. Jika total biaya modal dan operasional mencapai 75% dari omset, persentase keuntungan bersih toko tersebut adalah ...</t>
  </si>
  <si>
    <t>Persentase keuntungan bersih dihitung dari pengurangan persentase omset total (100%) dengan persentase biaya modal dan operasional: Persentase Keuntungan = 100% - 75% = 25%.</t>
  </si>
  <si>
    <t>PM-04-R-11</t>
  </si>
  <si>
    <t>Ibu membeli 1 kuintal beras untuk persediaan. Jika dikonversikan ke dalam satuan kilogram, banyak beras yang dibeli Ibu adalah ...</t>
  </si>
  <si>
    <t>100 kg</t>
  </si>
  <si>
    <t>500 kg</t>
  </si>
  <si>
    <t>1.000 kg</t>
  </si>
  <si>
    <t>Konversi satuan massa standar perdagangan menyatakan bahwa 1 kuintal setara dengan 100 kg. Maka 1 kuintal beras = 100 kg.</t>
  </si>
  <si>
    <t>PM-04-R-12</t>
  </si>
  <si>
    <t>Seorang pedagang grosir menjual 2 kuintal gula pasir. Jika gula pasir tersebut habis terjual seluruhnya, total berat gula pasir yang terjual dalam kilogram adalah ...</t>
  </si>
  <si>
    <t>2.000 kg</t>
  </si>
  <si>
    <t>20.000 kg</t>
  </si>
  <si>
    <t>Konversikan dari kuintal ke kilogram dengan dikalikan 100 (karena 1 kuintal = 100 kg): Total Terjual = 2 × 100 kg = 200 kg.</t>
  </si>
  <si>
    <t>PM-04-R-13</t>
  </si>
  <si>
    <t>Agen distributor menerima pasokan minyak goreng sebanyak 3 kiloliter (kl). Banyak minyak goreng tersebut jika dinyatakan dalam satuan liter adalah ...</t>
  </si>
  <si>
    <t>30 liter</t>
  </si>
  <si>
    <t>3.000 liter</t>
  </si>
  <si>
    <t>30.000 liter</t>
  </si>
  <si>
    <t>300.000 liter</t>
  </si>
  <si>
    <t>Konversikan dari kiloliter (kl) ke liter dengan dikalikan 1.000 (karena 1 kl = 1.000 liter): Total Volume = 3 × 1.000 liter = 3.000 liter.</t>
  </si>
  <si>
    <t>PM-04-R-14</t>
  </si>
  <si>
    <t>Seorang pedagang buah membeli satu keranjang apel dengan Bruto = 20 kg. Jika tara kemasan keranjang adalah 5%, berat tara keranjang tersebut adalah ...</t>
  </si>
  <si>
    <t>0,5 kg</t>
  </si>
  <si>
    <t>1 kg</t>
  </si>
  <si>
    <t>1,5 kg</t>
  </si>
  <si>
    <t>2 kg</t>
  </si>
  <si>
    <t>2,5 kg</t>
  </si>
  <si>
    <t>Berat tara dihitung dari persentase tara dikalikan berat bruto: Tara = 5% × 20 kg = (5 / 100) × 20 kg = 1 kg.</t>
  </si>
  <si>
    <t>PM-04-R-15</t>
  </si>
  <si>
    <t>Ani menyimpan uang di bank sebesar Rp1.000.000,00. Setelah satu tahun, total tabungan Ani menjadi Rp1.080.000,00. Nominal bunga yang diterima Ani selama satu tahun adalah ...</t>
  </si>
  <si>
    <t>Rp8.000,00</t>
  </si>
  <si>
    <t>Rp18.000,00</t>
  </si>
  <si>
    <t>Rp108.000,00</t>
  </si>
  <si>
    <t>Nominal bunga dihitung dari selisih tabungan akhir dengan tabungan awal: Bunga = Tabungan Akhir - Tabungan Awal = Rp1.080.000,00 - Rp1.000.000,00 = Rp80.000,00.</t>
  </si>
  <si>
    <t>PM-04-S-16</t>
  </si>
  <si>
    <t>Seorang pedagang membeli 1 kuintal beras seharga Rp1.200.000,00. Beras tersebut dijual kembali secara eceran dengan harga Rp14.000,00 per kg. Besar keuntungan total yang diperoleh pedagang tersebut adalah ...</t>
  </si>
  <si>
    <t>Konversi satuan kuintal ke kg: 1 kuintal = 100 kg. Hitung total penerimaan penjualan: Total Jual = 100 kg × Rp14.000,00 = Rp1.400.000,00. Hitung keuntungan: Keuntungan = Harga Jual - Harga Beli = Rp1.400.000,00 - Rp1.200.000,00 = Rp200.000,00.</t>
  </si>
  <si>
    <t>PM-04-S-17</t>
  </si>
  <si>
    <t>PM — Materi 05: Persamaan &amp; Pertidaksamaan  |  Target: 45 Soal (15 Ringan · 15 Sedang · 15 Sulit)</t>
  </si>
  <si>
    <t>Sebuah baju berlabel harga Rp250.000,00 mendapatkan diskon ganda berturut-turut sebesar 20% + 10%. Harga akhir yang harus dibayar pembeli adalah ...</t>
  </si>
  <si>
    <t>Rp190.000,00</t>
  </si>
  <si>
    <t>Hitung harga setelah diskon pertama (20%): Harga 1 = (100% - 20%) × Rp250.000,00 = 80% × Rp250.000,00 = Rp200.000,00. Hitung harga setelah diskon kedua (10%): Harga Akhir = (100% - 10%) × Rp200.000,00 = 90% × Rp200.000,00 = Rp180.000,00.</t>
  </si>
  <si>
    <t>PM-04-S-18</t>
  </si>
  <si>
    <t>Pedagang grosir menjual 0,5 kiloliter minyak goreng dengan harga Rp14.000,00 per liter. Jika biaya modal dan operasional pedagang menyedot 85% dari omset penjualan, keuntungan bersih pedagang tersebut adalah ...</t>
  </si>
  <si>
    <t>Rp900.000,00</t>
  </si>
  <si>
    <t>Rp1.050.000,00</t>
  </si>
  <si>
    <t>Rp1.350.000,00</t>
  </si>
  <si>
    <t>Rp1.500.000,00</t>
  </si>
  <si>
    <t>Konversi kiloliter ke liter: 0,5 kl = 500 liter. Hitung omset penjualan: Omset = 500 × Rp14.000,00 = Rp7.000.000,00. Hitung persentase keuntungan bersih: % Untung = 100% - 85% = 15%. Hitung nominal keuntungan: Keuntungan = 15% × Rp7.000.000,00 = Rp1.050.000,00.</t>
  </si>
  <si>
    <t>Komponen: Aljabar  |  Merumuskan dan menyelesaikan persamaan serta pertidaksamaan dari masalah kontekstual.</t>
  </si>
  <si>
    <t>PM-04-S-19</t>
  </si>
  <si>
    <t>Pedagang membeli 5 karung beras dengan Bruto masing-masing 50 kg dan Tara 2% per karung. Total berat bersih (Neto) beras yang dibeli pedagang seluruhnya adalah ...</t>
  </si>
  <si>
    <t>2425 kg</t>
  </si>
  <si>
    <t>245 kg</t>
  </si>
  <si>
    <t>247,5 kg</t>
  </si>
  <si>
    <t>Hitung tara per karung: Tara = 2% × 50 kg = 1 kg. Hitung neto per karung: Neto = 50 kg - 1 kg = 49 kg. Hitung total neto untuk 5 karung: Total Neto = 5 × 49 kg = 245 kg.</t>
  </si>
  <si>
    <t>PM-04-S-20</t>
  </si>
  <si>
    <t>Pak Budi menabung uang sebesar Rp4.000.000,00 di bank dengan suku bunga tunggal 8% per tahun. Agar total tabungannya menjadi Rp4.240.000,00, lama Pak Budi menabung adalah ...</t>
  </si>
  <si>
    <t>6 bulan</t>
  </si>
  <si>
    <t>8 bulan</t>
  </si>
  <si>
    <t>9 bulan</t>
  </si>
  <si>
    <t>10 bulan</t>
  </si>
  <si>
    <t>12 bulan</t>
  </si>
  <si>
    <t>Hitung besar bunga yang diinginkan: Bunga = Rp4.240.000,00 - Rp4.000.000,00 = Rp240.000,00. Hitung bunga per tahun: Bunga 1 Thn = 8% × Rp4.000.000,00 = Rp320.000,00. Hitung lama menabung (b bulan): b/12 × Rp320.000,00 = Rp240.000,00 =&gt; b/12 = 3/4 =&gt; b = 9 bulan.</t>
  </si>
  <si>
    <t>PM-04-S-21</t>
  </si>
  <si>
    <t>Seorang pedagang menjual laptop seharga Rp6.000.000,00 dan memperoleh keuntungan sebesar 20% dari harga beli. Harga beli laptop tersebut adalah ...</t>
  </si>
  <si>
    <t>Rp5.000.000,00</t>
  </si>
  <si>
    <t>Rp5.200.000,00</t>
  </si>
  <si>
    <t>Rp5.500.000,00</t>
  </si>
  <si>
    <t>Persentase harga jual terhadap harga beli adalah 100% + 20% = 120%. Hitung harga beli: Harga Beli = (100 / 120) × Rp6.000.000,00 = (5 / 6) × Rp6.000.000,00 = Rp5.000.000,00.</t>
  </si>
  <si>
    <t>PM-04-S-22</t>
  </si>
  <si>
    <t>Toko Elektronik menjual kulkas seharga Rp3.000.000,00 belum termasuk PPN 11%. Pembeli mendapat potongan diskon promosi sebesar 10% dari harga sebelum pajak. Total uang yang harus dibayar pembeli (termasuk PPN) adalah ...</t>
  </si>
  <si>
    <t>Rp2.997.000,00</t>
  </si>
  <si>
    <t>Rp2.990.000,00</t>
  </si>
  <si>
    <t>Rp3.027.000,00</t>
  </si>
  <si>
    <t>Rp3.330.000,00</t>
  </si>
  <si>
    <t>Hitung harga setelah diskon 10%: Harga Diskon = (100% - 10%) × Rp3.000.000,00 = 90% × Rp3.000.000,00 = Rp2.700.000,00. Hitung PPN 11% dari harga diskon: PPN = 11% × Rp2.700.000,00 = Rp297.000,00. Total bayar = Rp2.700.000,00 + Rp297.000,00 = Rp2.997.000,00.</t>
  </si>
  <si>
    <t>PM-04-S-23</t>
  </si>
  <si>
    <t>Sebuah distro membeli 2 kodi kaos polos seharga Rp1.200.000,00. Jika distro ingin memperoleh keuntungan sebesar Rp10.000,00 per buah, harga jual eceran per buah kaos adalah ...</t>
  </si>
  <si>
    <t>Rp45.000,00</t>
  </si>
  <si>
    <t>Rp55.000,00</t>
  </si>
  <si>
    <t>Konversi kodi ke buah: 2 kodi = 2 × 20 buah = 40 buah. Hitung modal/harga beli per buah: Modal/buah = Rp1.200.000,00 / 40 = Rp30.000,00. Hitung harga jual per buah: Harga Jual = Modal/buah + Untung/buah = Rp30.000,00 + Rp10.000,00 = Rp40.000,00.</t>
  </si>
  <si>
    <t>PM-04-S-24</t>
  </si>
  <si>
    <t>Seseorang membeli motor bekas seharga Rp10.000.000,00 dan mengeluarkan biaya perbaikan sebesar Rp2.000.000,00. Motor tersebut kemudian dijual kembali dengan harga Rp10.800.000,00. Persentase kerugian orang tersebut adalah ...</t>
  </si>
  <si>
    <t>PM-05-R-01</t>
  </si>
  <si>
    <t>Hitung total modal: Total Modal = Harga Beli + Biaya Perbaikan = Rp10.000.000,00 + Rp2.000.000,00 = Rp12.000.000,00. Hitung besar kerugian: Kerugian = Rp12.000.000,00 - Rp10.800.000,00 = Rp1.200.000,00. Hitung persentase rugi: % Rugi = (Rp1.200.000,00 / Rp12.000.000,00) × 100% = 10%.</t>
  </si>
  <si>
    <t>PM-04-S-25</t>
  </si>
  <si>
    <t>Pedagang buah membeli 1 gros mangga dengan harga total Rp288.000,00. Sebanyak 12 buah mangga busuk dan tidak bisa dijual. Jika sisa mangga dijual seharga Rp3.000,00 per buah, keuntungan pedagang tersebut adalah ...</t>
  </si>
  <si>
    <t>Rp96.000,00</t>
  </si>
  <si>
    <t>Rp132.000,00</t>
  </si>
  <si>
    <t>Rp144.000,00</t>
  </si>
  <si>
    <t>Penyelesaian dari persamaan linear 2x + 6 = 14 adalah ...</t>
  </si>
  <si>
    <t>Konversi gros ke buah: 1 gros = 144 buah. Hitung mangga yang dapat dijual: Mangga Layak = 144 - 12 = 132 buah. Hitung penerimaan penjualan: Total Jual = 132 × Rp3.000,00 = Rp396.000,00. Hitung keuntungan: Keuntungan = Rp396.000,00 - Rp288.000,00 = Rp108.000,00.</t>
  </si>
  <si>
    <t>PM-04-S-26</t>
  </si>
  <si>
    <t>Minimarket memberikan diskon promo "Beli 2 Gratis 1" untuk sabun mandi seharga Rp10.000,00 per unit. Jika Budi membawa pulang 6 unit sabun mandi, persentase diskon efektif yang diperoleh Budi adalah ...</t>
  </si>
  <si>
    <t>Mengurangi kedua ruas dengan 6: 2x = 14 - 6 = 8. Membagi kedua ruas dengan 2: x = 8 / 2 = 4.</t>
  </si>
  <si>
    <t>33,33%</t>
  </si>
  <si>
    <t>Untuk membawa 6 unit sabun (2 paket promo 'Beli 2 Gratis 1'), Budi hanya membayar 4 unit sabun: Total Bayar = 4 × Rp10.000,00 = Rp40.000,00. Total harga normal 6 unit = 6 × Rp10.000,00 = Rp60.000,00. Total potongan harga = Rp20.000,00 (setara 2 unit gratis). Persentase diskon efektif = (Rp20.000,00 / Rp60.000,00) × 100% = 33,33%.</t>
  </si>
  <si>
    <t>PM-04-S-27</t>
  </si>
  <si>
    <t>PM-05-R-02</t>
  </si>
  <si>
    <t>Ibu membeli 3 karung beras dengan Bruto masing-masing 20 kg. Setelah ditimbang, total Neto seluruh beras adalah 57 kg. Persentase tara per karung beras tersebut adalah ...</t>
  </si>
  <si>
    <t>Jika 3y - 5 = 16, maka nilai dari y adalah ...</t>
  </si>
  <si>
    <t>Hitung total Bruto 3 karung: Total Bruto = 3 × 20 kg = 60 kg. Hitung total Tara 3 karung: Total Tara = 60 kg - 57 kg = 3 kg. Hitung Tara per karung: Tara = 3 kg / 3 = 1 kg. Hitung persentase Tara: % Tara = (1 kg / 20 kg) × 100% = 5%.</t>
  </si>
  <si>
    <t>PM-04-S-28</t>
  </si>
  <si>
    <t>Menambahkan kedua ruas dengan 5: 3y = 16 + 5 = 21. Membagi kedua ruas dengan 3: y = 21 / 3 = 7.</t>
  </si>
  <si>
    <t>Suatu toko buku menjual dua buah buku dengan harga Rp60.000,00 per buah. Pada buku pertama toko mendapat untung 20%, sedangkan pada buku kedua toko rugi 20%. Secara keseluruhan dari penjualan kedua buku tersebut, toko mengalami ...</t>
  </si>
  <si>
    <t>PM-05-R-03</t>
  </si>
  <si>
    <t>Untung Rp5.000,00</t>
  </si>
  <si>
    <t>Rugi Rp5.000,00</t>
  </si>
  <si>
    <t>Untung Rp10.000,00</t>
  </si>
  <si>
    <t>Rugi Rp10.000,00</t>
  </si>
  <si>
    <t>Penyelesaian dari pertidaksamaan 4x - 3 &gt; 13 adalah ...</t>
  </si>
  <si>
    <t>Tidak Untung Tidak Rugi</t>
  </si>
  <si>
    <t>x &gt; 3</t>
  </si>
  <si>
    <t>x &gt; 4</t>
  </si>
  <si>
    <t>x &gt; 5</t>
  </si>
  <si>
    <t>Modal buku 1 = Rp60.000,00 / 1,2 = Rp50.000,00. Modal buku 2 = Rp60.000,00 / 0,8 = Rp75.000,00. Total modal = Rp50.000,00 + Rp75.000,00 = Rp125.000,00. Total penerimaan jual = 2 × Rp60.000,00 = Rp120.000,00. Karena penerimaan (Rp120.000,00) lebih kecil dari modal (Rp125.000,00), toko rugi Rp5.000,00. Opsi E salah karena perbedaan basis persentase modal.</t>
  </si>
  <si>
    <t>x &lt; 4</t>
  </si>
  <si>
    <t>x &lt; 5</t>
  </si>
  <si>
    <t>PM-04-S-29</t>
  </si>
  <si>
    <t>Menambahkan kedua ruas dengan 3: 4x &gt; 13 + 3 = 16. Membagi kedua ruas dengan 4: x &gt; 16 / 4 = 4.</t>
  </si>
  <si>
    <t>PM-05-R-04</t>
  </si>
  <si>
    <t>Modal awal pameran UMKM adalah Rp10.000.000,00. Pada hari pertama omset Rp4.000.000,00 dengan margin untung 20%. Hari kedua omset Rp6.000.000,00 dengan margin untung 25%. Keuntungan kumulatif dalam 2 hari adalah ...</t>
  </si>
  <si>
    <t>Rp2.100.000,00</t>
  </si>
  <si>
    <t>Rp2.200.000,00</t>
  </si>
  <si>
    <t>Himpunan penyelesaian dari pertidaksamaan 2x + 8 ≤ 20 untuk x bilangan bulat adalah ...</t>
  </si>
  <si>
    <t>Rp2.300.000,00</t>
  </si>
  <si>
    <t>x ≤ 4</t>
  </si>
  <si>
    <t>Rp2.500.000,00</t>
  </si>
  <si>
    <t>x ≤ 6</t>
  </si>
  <si>
    <t>x ≤ 8</t>
  </si>
  <si>
    <t>x ≥ 6</t>
  </si>
  <si>
    <t>Hitung keuntungan hari pertama: Untung 1 = 20% × Rp4.000.000,00 = Rp800.000,00. Hitung keuntungan hari kedua: Untung 2 = 25% × Rp6.000.000,00 = Rp1.500.000,00. Hitung total keuntungan kumulatif: Total Untung = Rp800.000,00 + Rp1.500.000,00 = Rp2.300.000,00.</t>
  </si>
  <si>
    <t>x ≥ 8</t>
  </si>
  <si>
    <t>Mengurangi kedua ruas dengan 8: 2x ≤ 20 - 8 = 12. Membagi kedua ruas dengan 2: x ≤ 12 / 2 = 6.</t>
  </si>
  <si>
    <t>PM-04-S-30</t>
  </si>
  <si>
    <t>PM-05-R-05</t>
  </si>
  <si>
    <t>Agen menjual 1,2 kuintal gandum secara eceran Rp10.000,00/kg. Biaya operasional menyedot 30% dari total penjualan. Keuntungan bersih agen jika modal beli gandum Rp700.000,00 adalah ...</t>
  </si>
  <si>
    <t>Rp140.000,00</t>
  </si>
  <si>
    <t>Jika x + y = 10 dan x = 4, maka nilai y adalah ...</t>
  </si>
  <si>
    <t>Menyubstitusikan nilai x = 4 ke persamaan x + y = 10: 4 + y = 10. Mengurangi kedua ruas dengan 4: y = 10 - 4 = 6.</t>
  </si>
  <si>
    <t>Konversi kuintal ke kg: 1,2 kuintal = 120 kg. Hitung omset: Omset = 120 × Rp10.000,00 = Rp1.200.000,00. Hitung biaya operasional: Biaya = 30% × Rp1.200.000,00 = Rp360.000,00. Hitung untung bersih: Untung = Omset - Modal - Biaya = Rp1.200.000,00 - Rp700.000,00 - Rp360.000,00 = Rp140.000,00.</t>
  </si>
  <si>
    <t>PM-05-R-06</t>
  </si>
  <si>
    <t>Harga 3 buah buku adalah Rp15.000,00. Jika harga 1 buah buku dinyatakan dengan x, maka model persamaan linear yang tepat adalah ...</t>
  </si>
  <si>
    <t>3x = 15.000</t>
  </si>
  <si>
    <t>x + 3 = 15.000</t>
  </si>
  <si>
    <t>x / 3 = 15.000</t>
  </si>
  <si>
    <t>3 + x = 15.000</t>
  </si>
  <si>
    <t>15.000x = 3</t>
  </si>
  <si>
    <t>Kunci A benar karena total harga barang sama dengan banyak barang dikali harga per unit (3 × x = 15.000). Opsi B, C, D, dan E salah karena tidak merepresentasikan hubungan perkalian antara kuantitas barang dan harga per unit secara matematis.</t>
  </si>
  <si>
    <t>PM-05-R-07</t>
  </si>
  <si>
    <t>Sebuah bus hanya boleh memuat paling banyak 40 penumpang. Jika p menyatakan banyak penumpang, model pertidaksamaan yang tepat adalah ...</t>
  </si>
  <si>
    <t>p &lt; 40</t>
  </si>
  <si>
    <t>PM-04-S-31</t>
  </si>
  <si>
    <t>p &gt; 40</t>
  </si>
  <si>
    <t>p ≤ 40</t>
  </si>
  <si>
    <t>p ≥ 40</t>
  </si>
  <si>
    <t>p = 40</t>
  </si>
  <si>
    <t>Kunci C benar karena kata kunci "paling banyak" atau "maksimum" secara matematis disimbolkan dengan tanda kurang dari atau sama dengan (≤). Opsi A salah karena mengabaikan angka 40; Opsi B dan D salah karena menunjukkan batas minimal; Opsi E salah karena membatasi hanya tepat 40.</t>
  </si>
  <si>
    <t>Toko Pakaian Sejahtera membeli 2 gross baju polos seharga Rp2.880.000,00 dan 1 kodi celana jeans seharga Rp1.200.000,00. Seluruh baju polos habis terjual eceran seharga Rp15.000,00 per buah dan seluruh celana jeans habis terjual seharga Rp80.000,00 per buah. Jika biaya operasional dan promosi menyedot 20% dari total penerimaan kotor (omset), keuntungan bersih total yang diperoleh toko tersebut adalah ...</t>
  </si>
  <si>
    <t>Rp520.000,00</t>
  </si>
  <si>
    <t>PM-05-R-08</t>
  </si>
  <si>
    <t>Rp580.000,00</t>
  </si>
  <si>
    <t>Rp656.000,00</t>
  </si>
  <si>
    <t>Penyelesaian dari persamaan 5m - 10 = 2m + 5 adalah ...</t>
  </si>
  <si>
    <t>Rp720.000,00</t>
  </si>
  <si>
    <t>Hitung total kuantitas barang dalam satuan buah: 2 gross baju = 2 × 144 = 288 buah; 1 kodi celana = 20 buah. Hitung omset masing-masing komoditas: Omset Baju = 288 × Rp15.000,00 = Rp4.320.000,00; Omset Celana = 20 × Rp80.000,00 = Rp1.600.000,00. Total omset kotor = Rp4.320.000,00 + Rp1.600.000,00 = Rp5.920.000,00. Hitung penerimaan bersih setelah biaya operasional 20%: Penerimaan Bersih = (100% - 20%) × Rp5.920.000,00 = 80% × Rp5.920.000,00 = Rp4.736.000,00. Hitung total modal awal: Modal = Rp2.880.000,00 + Rp1.200.000,00 = Rp4.080.000,00. Keuntungan bersih total = Rp4.736.000,00 - Rp4.080.000,00 = Rp656.000,00.</t>
  </si>
  <si>
    <t>Mengelompokkan variabel di ruas kiri: 5m - 2m = 5 + 10. Menyederhanakan kedua ruas: 3m = 15. Membagi kedua ruas dengan 3: m = 15 / 3 = 5.</t>
  </si>
  <si>
    <t>PM-05-R-09</t>
  </si>
  <si>
    <t>PM-04-S-32</t>
  </si>
  <si>
    <t>Nilai x yang memenuhi persamaan 1/2 x + 3 = 7 adalah ...</t>
  </si>
  <si>
    <t>Distributor bahan pangan membeli 10 karung kedelai dengan Bruto 50 kg per karung dan Tara awal 2%. Akibat kelembapan saat penyimpanan, Tara membengkak menjadi 4% per karung dan sebanyak 20 kg dari total Neto bersih mengalami kerusakan sehingga harus dijual rugi seharga separuh dari harga eceran normal. Jika kedelai kondisi bagus dijual eceran seharga Rp12.000,00/kg dan total omset yang terkumpul adalah Rp5.640.000,00, besar keuntungan bersih distributor dari modal beli awal Rp4.500.000,00 adalah ...</t>
  </si>
  <si>
    <t>Rp980.000,00</t>
  </si>
  <si>
    <t>Rp1.140.000,00</t>
  </si>
  <si>
    <t>Mengurangi kedua ruas dengan 3: 1/2 x = 7 - 3 = 4. Mengalikan kedua ruas dengan 2: x = 4 × 2 = 8.</t>
  </si>
  <si>
    <t>Rp1.260.000,00</t>
  </si>
  <si>
    <t>Rp1.320.000,00</t>
  </si>
  <si>
    <t>Rp1.450.000,00</t>
  </si>
  <si>
    <t>PM-05-R-10</t>
  </si>
  <si>
    <t>Hitung total Bruto seluruh karung: Total Bruto = 10 × 50 kg = 500 kg. Hitung total Tara baru (4%): Total Tara = 4% × 500 kg = 20 kg. Hitung total Neto yang tersedia: Total Neto = 500 kg - 20 kg = 480 kg. Pisahkan kedelai rusak dan kedelai bagus: Kedelai rusak = 20 kg dijual seharga 0,5 × Rp12.000,00 = Rp6.000,00/kg; Kedelai bagus = 480 kg - 20 kg = 460 kg dijual seharga Rp12.000,00/kg. Hitung total omset: Omset = (460 × Rp12.000,00) + (20 × Rp6.000,00) = Rp5.520.000,00 + Rp120.000,00 = Rp5.640.000,00. Hitung keuntungan bersih: Keuntungan = Rp5.640.000,00 - Rp4.500.000,00 = Rp1.140.000,00.</t>
  </si>
  <si>
    <t>Jika -3x &lt; 12, maka penyelesaian dari pertidaksamaan tersebut adalah ...</t>
  </si>
  <si>
    <t>x &lt; -4</t>
  </si>
  <si>
    <t>x &gt; -4</t>
  </si>
  <si>
    <t>PM-04-S-33</t>
  </si>
  <si>
    <t>x = -4</t>
  </si>
  <si>
    <t>Membagi kedua ruas dengan -3 dan membalikkan arah tanda pertidaksamaan karena dibagi bilangan negatif: x &gt; 12 / (-3) = -4.</t>
  </si>
  <si>
    <t>PM-05-R-11</t>
  </si>
  <si>
    <t>Koperasi pedagang memborong paket sembako senilai Rp10.000.000,00 dari grosir. Pihak grosir memberikan promo diskon bertingkat 20% kemudian dipotong lagi 10% dari sisa harga setelah diskon pertama. Setelah pemotongan diskon bertingkat selesai, transaksi tersebut dikenakan PPN sebesar 11%. Jika pengurus koperasi membayar menggunakan uang tunai pecahan Rp8.000.000,00, besar uang kembalian yang diterima pengurus koperasi adalah ...</t>
  </si>
  <si>
    <t>Rp12.000,00</t>
  </si>
  <si>
    <t>Umur Budi dinyatakan dengan u. Jika umur Budi tidak kurang dari 17 tahun untuk pembuatan KTP, pertidaksamaan yang sesuai adalah ...</t>
  </si>
  <si>
    <t>Rp16.000,00</t>
  </si>
  <si>
    <t>u &lt; 17</t>
  </si>
  <si>
    <t>Rp24.000,00</t>
  </si>
  <si>
    <t>u ≤ 17</t>
  </si>
  <si>
    <t>Rp32.000,00</t>
  </si>
  <si>
    <t>u &gt; 17</t>
  </si>
  <si>
    <t>u ≥ 17</t>
  </si>
  <si>
    <t>u = 17</t>
  </si>
  <si>
    <t>Hitung harga setelah diskon pertama (20%): Harga 1 = (100% - 20%) × Rp10.000.000,00 = 80% × Rp10.000.000,00 = Rp8.000.000,00. Hitung harga setelah diskon kedua (10%): Harga 2 = (100% - 10%) × Rp8.000.000,00 = 90% × Rp8.000.000,00 = Rp7.200.000,00. Hitung PPN 11% dari harga setelah diskon bertingkat: PPN = 11% × Rp7.200.000,00 = Rp792.000,00. Hitung total pembayaran tagihan: Total Bayar = Rp7.200.000,00 + Rp792.000,00 = Rp7.992.000,00. Hitung uang kembalian: Kembalian = Rp8.000.000,00 - Rp7.992.000,00 = Rp8.000,00.</t>
  </si>
  <si>
    <t>Kunci D benar karena frasa "tidak kurang dari" berarti sama dengan 17 atau lebih besar (minimum 17), sehingga menggunakan simbol ≥. Opsi A dan B bertentangan dengan batas minimum; Opsi C mengecualikan usia 17; Opsi E hanya membatasi pada satu nilai spesifik.</t>
  </si>
  <si>
    <t>PM-04-S-34</t>
  </si>
  <si>
    <t>PM-05-R-12</t>
  </si>
  <si>
    <t>Diketahui persamaan 2(x - 3) = 10. Nilai x yang memenuhi adalah ...</t>
  </si>
  <si>
    <t>Pak Budi menabungkan modal usaha sebesar Rp20.000.000,00 di lembaga keuangan dengan penawaran bunga tunggal 10% per tahun. Atas penerimaan bunga tabungan tersebut, pemerintah mengenakan pajak penghasilan atas bunga sebesar 20%. Jika Pak Budi menghendaki total saldo akhir tabungannya (setelah dipotong pajak bunga) menjadi Rp22.400.000,00, lama waktu yang dibutuhkan Pak Budi untuk menabung adalah ...</t>
  </si>
  <si>
    <t>14 bulan</t>
  </si>
  <si>
    <t>15 bulan</t>
  </si>
  <si>
    <t>18 bulan</t>
  </si>
  <si>
    <t>Membagi kedua ruas dengan 2: x - 3 = 10 / 2 = 5. Menambahkan kedua ruas dengan 3: x = 5 + 3 = 8.</t>
  </si>
  <si>
    <t>24 bulan</t>
  </si>
  <si>
    <t>PM-05-R-13</t>
  </si>
  <si>
    <t>Hitung target bunga bersih yang harus dikumpulkan: Bunga Bersih Total = Rp22.400.000,00 - Rp20.000.000,00 = Rp2.400.000,00. Hitung bunga kotor per tahun: Bunga Kotor 1 Thn = 10% × Rp20.000.000,00 = Rp2.000.000,00. Hitung bunga bersih per tahun setelah pajak 20%: Bunga Bersih 1 Thn = (100% - 20%) × Rp2.000.000,00 = 80% × Rp2.000.000,00 = Rp1.600.000,00 per tahun. Hitung lama menabung (t bulan): (t / 12) × Rp1.600.000,00 = Rp2.400.000,00 =&gt; t / 12 = 2.400.000 / 1.600.000 =&gt; t / 12 = 3 / 2 =&gt; t = 18 bulan.</t>
  </si>
  <si>
    <t>Jika x + 5 = 12, maka nilai dari x + 3 adalah ...</t>
  </si>
  <si>
    <t>PM-04-S-35</t>
  </si>
  <si>
    <t>Menentukan nilai x dari persamaan awal: x = 12 - 5 = 7. Menghitung nilai dari x + 3: 7 + 3 = 10.</t>
  </si>
  <si>
    <t>Pemasok bahan bakar membeli 2,5 kiloliter bensin dari kilang dengan total modal Rp20.000.000,00. Dalam proses pengangkutan dan penyimpanan, bensin mengalami penguapan sehingga volumenya menyusut sebesar 4%. Sisa bensin yang ada dijual eceran dengan harga Rp12.000,00 per liter. Jika biaya operasional armada pengangkut membutuhkan dana sebesar Rp1.200.000,00, keuntungan bersih yang diterima pemasok tersebut adalah ...</t>
  </si>
  <si>
    <t>Rp6.400.000,00</t>
  </si>
  <si>
    <t>PM-05-R-14</t>
  </si>
  <si>
    <t>Rp7.600.000,00</t>
  </si>
  <si>
    <t>Rp8.000.000,00</t>
  </si>
  <si>
    <t>Rp8.800.000,00</t>
  </si>
  <si>
    <t>Penyelesaian dari pertidaksamaan 15 - 2x ≥ 5 adalah ...</t>
  </si>
  <si>
    <t>x ≤ 5</t>
  </si>
  <si>
    <t>x ≥ 5</t>
  </si>
  <si>
    <t>Konversi volume kiloliter ke liter: 2,5 kl = 2.500 liter. Hitung sisa volume bensin setelah penyusutan 4%: Volume Efektif = (100% - 4%) × 2.500 liter = 96% × 2.500 liter = 2.400 liter. Hitung total omset penjualan: Omset = 2.400 liter × Rp12.000,00 = Rp28.800.000,00. Hitung total seluruh beban pengeluaran (Modal Beli + Biaya Operasional): Total Pengeluaran = Rp20.000.000,00 + Rp1.200.000,00 = Rp21.200.000,00. Hitung keuntungan bersih: Keuntungan = Rp28.800.000,00 - Rp21.200.000,00 = Rp7.600.000,00.</t>
  </si>
  <si>
    <t>x ≤ -5</t>
  </si>
  <si>
    <t>x ≥ -5</t>
  </si>
  <si>
    <t>x ≤ 10</t>
  </si>
  <si>
    <t>PM-04-S-36</t>
  </si>
  <si>
    <t>Mengurangi kedua ruas dengan 15: -2x ≥ 5 - 15 = -10. Membagi kedua ruas dengan -2 dan membalikkan arah tanda pertidaksamaan: x ≤ -10 / (-2) = 5.</t>
  </si>
  <si>
    <t>PM-05-R-15</t>
  </si>
  <si>
    <t>Pemilik toko pakaian memborong 5 kodi kemeja dengan harga katalog Rp2.000.000,00 per kodi. Toko grosir memberikan promo diskon bertingkat 20% kemudian 5% dari sisa harga. Atas tagihan setelah diskon bertingkat tersebut, pembeli dikenakan PPN sebesar 11%. Seluruh kemeja habis terjual eceran dengan total penerimaan kotor Rp10.000.000,00. Jika terdapat biaya transportasi sebesar Rp564.000,00, keuntungan bersih pedagang tersebut adalah ...</t>
  </si>
  <si>
    <t>Rp850.000,00</t>
  </si>
  <si>
    <t>Rp1.000.000,00</t>
  </si>
  <si>
    <t>Dalam suatu kantong plastik, kapasitas muat maksimum adalah 5 kg. Jika berat barang dinyatakan dengan w, pertidaksamaan yang benar adalah ...</t>
  </si>
  <si>
    <t>Rp1.120.000,00</t>
  </si>
  <si>
    <t>w &gt; 5</t>
  </si>
  <si>
    <t>Rp1.250.000,00</t>
  </si>
  <si>
    <t>w ≥ 5</t>
  </si>
  <si>
    <t>Rp1.400.000,00</t>
  </si>
  <si>
    <t>w &lt; 5</t>
  </si>
  <si>
    <t>w ≤ 5</t>
  </si>
  <si>
    <t>w = 5</t>
  </si>
  <si>
    <t>Hitung total harga katalog: 5 kodi × Rp2.000.000,00 = Rp10.000.000,00. Hitung harga setelah diskon pertama (20%): Rp10.000.000,00 × 80% = Rp8.000.000,00. Hitung harga setelah diskon kedua (5%): Rp8.000.000,00 × 95% = Rp7.600.000,00. Hitung PPN 11%: 11% × Rp7.600.000,00 = Rp836.000,00. Total modal bayar = Rp7.600.000,00 + Rp836.000,00 = Rp8.436.000,00. Total seluruh beban pengeluaran = Rp8.436.000,00 + Rp564.000,00 = Rp9.000.000,00. Keuntungan bersih = Rp10.000.000,00 - Rp9.000.000,00 = Rp1.000.000,00.</t>
  </si>
  <si>
    <t>Kunci D benar karena kata "kapasitas maksimum" menandakan berat barang boleh sama dengan 5 kg atau di bawahnya, sehingga disimbolkan dengan w ≤ 5. Opsi A dan B melebihi batas kapasitas; Opsi C mengabaikan angka 5 kg; Opsi E tidak mengizinkan berat di bawah 5 kg.</t>
  </si>
  <si>
    <t>PM-04-S-37</t>
  </si>
  <si>
    <t>Toko kue memproduksi 500 kotak kue dengan modal Rp20.000,00 per kotak. Sebanyak 70% kue dijual dengan margin untung 50% dari modal. Sebanyak 20% kue dijual promo diskon 40% dari harga jual normal. Sisa 10% kue mengalami kerusakan sehingga tidak dapat dijual. Jika biaya kemasan tambahan sebesar Rp300.000,00, keuntungan bersih toko kue tersebut adalah ...</t>
  </si>
  <si>
    <t>Rp1.800.000,00</t>
  </si>
  <si>
    <t>Hitung modal produksi: 500 × Rp20.000,00 = Rp10.000.000,00. Hitung harga jual normal: Rp20.000,00 + (50% × Rp20.000,00) = Rp30.000,00/kotak. Penjualan normal (70% × 500 = 350 kotak) = 350 × Rp30.000,00 = Rp10.500.000,00. Penjualan promo (20% × 500 = 100 kotak) dengan harga promo (60% × Rp30.000,00 = Rp18.000,00) = 100 × Rp18.000,00 = Rp1.800.000,00. Sisa 50 kotak rusak = Rp0. Total omset = Rp10.500.000,00 + Rp1.800.000,00 = Rp12.300.000,00. Total pengeluaran = Rp10.000.000,00 + Rp300.000,00 = Rp10.300.000,00. Keuntungan bersih = Rp12.300.000,00 - Rp10.300.000,00 = Rp2.000.000,00.</t>
  </si>
  <si>
    <t>PM-04-S-38</t>
  </si>
  <si>
    <t>PM-05-S-16</t>
  </si>
  <si>
    <t>Nasabah menabung modal awal Rp15.000.000,00 di bank dengan suku bunga tunggal 8% per tahun. Pihak bank memotong biaya administrasi tetap sebesar Rp10.000,00 per bulan secara otomatis dari rekening. Jika setelah t bulan total saldo rekening nasabah tersebut menjadi Rp15.810.000,00, lama waktu t nasabah tersebut menabung adalah ...</t>
  </si>
  <si>
    <t>Sebuah perusahaan taksi online menerapkan tarif dasar awal Rp8.000,00 dan biaya tambahan Rp3.500,00 per km. Jika total ongkos taksi seorang penumpang adalah Rp78.000,00, jarak perjalanan yang ditempuh adalah ...</t>
  </si>
  <si>
    <t>18 km</t>
  </si>
  <si>
    <t>22 km</t>
  </si>
  <si>
    <t>24 km</t>
  </si>
  <si>
    <t>Hitung total penambahan saldo bersih: Rp15.810.000,00 - Rp15.000.000,00 = Rp810.000,00. Hitung bunga kotor per tahun: 8% × Rp15.000.000,00 = Rp1.200.000,00/tahun. Hitung bunga kotor per bulan: Rp1.200.000,00 / 12 = Rp100.000,00/bulan. Hitung penambahan saldo bersih per bulan setelah biaya admin: Rp100.000,00 - Rp10.000,00 = Rp90.000,00/bulan. Lama waktu menabung t = Rp810.000,00 / Rp90.000,00 = 9 bulan.</t>
  </si>
  <si>
    <t>Menyusun persamaan total tarif: 8.000 + 3.500x = 78.000. Mengurangi kedua ruas dengan 8.000: 3.500x = 70.000. Membagi kedua ruas dengan 3.500: x = 70.000 / 3.500 = 20 km.</t>
  </si>
  <si>
    <t>PM-04-S-39</t>
  </si>
  <si>
    <t>PM-05-S-17</t>
  </si>
  <si>
    <t>Agen persediaan memborong 1,5 kuintal beras seharga Rp12.000,00/kg dan 0,2 kiloliter minyak goreng seharga Rp15.000,00/liter. Seluruh bahan tersebut dikemas ulang menjadi 50 paket sembako campuran dengan biaya kantong pembungkus Rp2.000,00 per paket. Jika seluruh paket sembako habis terjual seharga Rp120.000,00 per paket, keuntungan bersih agen tersebut adalah ...</t>
  </si>
  <si>
    <t>Harga 3 buah spidol dan 2 buah rim kertas adalah Rp145.000,00. Di toko yang sama, harga 2 buah spidol dan 5 buah rim kertas adalah Rp280.000,00. Harga 1 buah spidol dan 1 buah rim kertas adalah ...</t>
  </si>
  <si>
    <t>Rp1.100.000,00</t>
  </si>
  <si>
    <t>Rp65.000,00</t>
  </si>
  <si>
    <t>Rp1.300.000,00</t>
  </si>
  <si>
    <t>Rp75.000,00</t>
  </si>
  <si>
    <t>Rp85.000,00</t>
  </si>
  <si>
    <t>Konversi kuantitas: 1,5 kuintal beras = 150 kg; 0,2 kiloliter minyak = 200 liter. Hitung modal beras: 150 × Rp12.000,00 = Rp1.800.000,00. Hitung modal minyak: 200 × Rp15.000,00 = Rp3.000.000,00. Total modal bahan = Rp4.800.000,00. Hitung biaya kemasan: 50 × Rp2.000,00 = Rp100.000,00. Total pengeluaran = Rp4.900.000,00. Hitung total omset: 50 × Rp120.000,00 = Rp6.000.000,00. Keuntungan bersih = Rp6.000.000,00 - Rp4.900.000,00 = Rp1.100.000,00.</t>
  </si>
  <si>
    <t>Menyusun SPLDV: 3x + 2y = 145.000 (dikali 2 menjadi 6x + 4y = 290.000) dan 2x + 5y = 280.000 (dikali 3 menjadi 6x + 15y = 840.000). Mengurangkan kedua persamaan: -11y = -550.000 sehingga y = 50.000 (harga rim kertas). Menyubstitusikan nilai y ke persamaan 3x + 2(50.000) = 145.000 diperoleh 3x = 45.000 sehingga x = 15.000 (harga spidol). Menghitung x + y = 15.000 + 50.000 = Rp65.000,00.</t>
  </si>
  <si>
    <t>PM-04-S-40</t>
  </si>
  <si>
    <t>PM-05-S-18</t>
  </si>
  <si>
    <t>Dua kali suatu bilangan jika ditambah 5 tidak lebih dari 21. Batas nilai bilangan x tersebut untuk x bilangan bulat adalah ...</t>
  </si>
  <si>
    <t>x ≤ 7</t>
  </si>
  <si>
    <t>Pedagang membeli 4 karung gula pasir dengan Bruto 25 kg per karung dan Tara 2% per karung seharga Rp1.200.000,00. Saat pengangkutan, 1 karung mengalami bocor sehingga 8 kg gula hilang. Sisa gula yang tersisa dijual eceran seharga Rp16.000,00/kg. Jika pedagang memberikan promo potongan harga total Rp40.000,00 untuk pembeli yang membayar tunai, keuntungan bersih pedagang adalah ...</t>
  </si>
  <si>
    <t>x ≤ 9</t>
  </si>
  <si>
    <t>x ≥ 9</t>
  </si>
  <si>
    <t>Rp240.000,00</t>
  </si>
  <si>
    <t>Menyusun model pertidaksamaan: 2x + 5 ≤ 21. Mengurangi kedua ruas dengan 5: 2x ≤ 16. Membagi kedua ruas dengan 2: x ≤ 8.</t>
  </si>
  <si>
    <t>Total Bruto = 4 × 25 kg = 100 kg. Total Tara (2%) = 2 kg. Total Neto awal = 100 kg - 2 kg = 98 kg. Sisa gula layak jual setelah kebocoran = 98 kg - 8 kg = 90 kg. Penerimaan kotor = 90 kg × Rp16.000,00 = Rp1.440.000,00. Total penerimaan setelah promo tunai = Rp1.440.000,00 - Rp40.000,00 = Rp1.400.000,00. Keuntungan bersih = Rp1.400.000,00 - Rp1.200.000,00 = Rp200.000,00.</t>
  </si>
  <si>
    <t>PM-05-S-19</t>
  </si>
  <si>
    <t>Selisih dua bilangan asli adalah 6 dan jumlah keduanya adalah 28. Hasil kali kedua bilangan tersebut adalah ...</t>
  </si>
  <si>
    <t>PM-04-S-41</t>
  </si>
  <si>
    <t>Pengusaha mengajukan pinjaman modal sebesar Rp12.000.000,00 di bank dengan bunga tunggal 12% per tahun dan masa pelunasan 10 bulan. Pihak bank mengenakan biaya administrasi 2% dari total pinjaman yang dipotong saat pencairan. Besar cicilan per bulan yang wajib dibayar pengusaha tersebut adalah ...</t>
  </si>
  <si>
    <t>Menyusun sistem persamaan: x - y = 6 dan x + y = 28. Menjumlahkan kedua persamaan: 2x = 34 sehingga x = 17. Mengurangkan nilai x ke persamaan jumlah: 17 + y = 28 sehingga y = 11. Menghitung hasil kali x × y = 17 × 11 = 187.</t>
  </si>
  <si>
    <t>PM-05-S-20</t>
  </si>
  <si>
    <t>Rp1.344.000,00</t>
  </si>
  <si>
    <t>Rp1.440.000,00</t>
  </si>
  <si>
    <t>Penyelesaian dari pertidaksamaan (x + 2) / 3 - (x - 1) / 2 ≤ 1 adalah ...</t>
  </si>
  <si>
    <t>x ≥ -1</t>
  </si>
  <si>
    <t>Hitung total bunga selama 10 bulan: (10 / 12) × 12% × Rp12.000.000,00 = Rp1.200.000,00. Hitung total uang yang wajib dikembalikan (Pokok + Bunga): Rp12.000.000,00 + Rp1.200.000,00 = Rp13.200.000,00. Hitung cicilan per bulan: Rp13.200.000,00 / 10 = Rp1.320.000,00. Pemotongan admin di awal tidak mengurangi beban pokok pinjaman terutang.</t>
  </si>
  <si>
    <t>x ≤ -1</t>
  </si>
  <si>
    <t>x ≥ 1</t>
  </si>
  <si>
    <t>x ≤ 1</t>
  </si>
  <si>
    <t>x ≥ 0</t>
  </si>
  <si>
    <t>PM-04-S-42</t>
  </si>
  <si>
    <t>Mengalikan seluruh ruas dengan KPK penyebut yaitu 6: 2(x + 2) - 3(x - 1) ≤ 6. Membuka kurung: 2x + 4 - 3x + 3 ≤ 6. Menyederhanakan ruas kiri: -x + 7 ≤ 6. Mengurangi kedua ruas dengan 7: -x ≤ -1. Membagi dengan -1 dan membalikkan tanda pertidaksamaan: x ≥ 1. Re-evaluasi: -x ≤ -1 -&gt; x ≥ 1. Kunci C benar. Perhitungan: -x + 7 ≤ 6 -&gt; -x ≤ -1 -&gt; x ≥ 1.</t>
  </si>
  <si>
    <t>Pembeli hendak membeli laptop berlabel harga Rp2.000.000,00. Toko A menawarkan promo diskon bertingkat 30% + 20%, sedangkan Toko B memberikan promo diskon tunggal 45%. Selisih harga akhir yang lebih murah antara kedua toko tersebut adalah ...</t>
  </si>
  <si>
    <t>PM-05-S-21</t>
  </si>
  <si>
    <t>Andi membeli 2 kg apel dan 3 kg jeruk seharga Rp105.000,00. Budi membeli 1 kg apel dan 2 kg jeruk di toko yang sama seharga Rp60.000,00. Jika Caca membeli 3 kg apel dan 1 kg jeruk, harga yang harus dibayar Caca adalah ...</t>
  </si>
  <si>
    <t>Rp105.000,00</t>
  </si>
  <si>
    <t>Toko A (Diskon 30% + 20%): Harga 1 = 70% × Rp2.000.000,00 = Rp1.400.000,00; Harga Akhir Toko A = 80% × Rp1.400.000,00 = Rp1.120.000,00. Toko B (Diskon 45%): Harga Akhir Toko B = (100% - 45%) × Rp2.000.000,00 = 55% × Rp2.000.000,00 = Rp1.100.000,00. Selisih lebih murah Toko B = Rp1.120.000,00 - Rp1.100.000,00 = Rp20.000,00.</t>
  </si>
  <si>
    <t>Rp115.000,00</t>
  </si>
  <si>
    <t>Rp125.000,00</t>
  </si>
  <si>
    <t>PM-04-S-43</t>
  </si>
  <si>
    <t>Menyusun SPLDV: 2x + 3y = 105.000 dan x + 2y = 60.000 (dikali 2 menjadi 2x + 4y = 120.000). Mengurangkan kedua persamaan: y = 15.000 (harga 1 kg jeruk). Menyubstitusikan nilai y ke persamaan x + 2(15.000) = 60.000 diperoleh x = 30.000 (harga 1 kg apel). Menghitung harga belanjaan Caca: 3x + 1y = 3(30.000) + 1(15.000) = 90.000 + 15.000 = Rp105.000,00. Re-evaluasi: 90.000 + 15.000 = 105.000. Kunci A benar. Perhitungan: y = 15.000, x = 30.000 -&gt; 3(30.000) + 15.000 = Rp105.000,00.</t>
  </si>
  <si>
    <t>Pedagang memborong 1 gross pensil seharga Rp288.000,00 dan 3 kodi pulpen seharga Rp300.000,00. Biaya kemasan seluruh barang adalah Rp12.000,00. Jika pedagang menargetkan keuntungan bersih total Rp216.000,00 dari penjualan seluruh barang, harga jual rata-rata per buah barang adalah ...</t>
  </si>
  <si>
    <t>PM-05-S-22</t>
  </si>
  <si>
    <t>Rp3.500,00</t>
  </si>
  <si>
    <t>Rp4.000,00</t>
  </si>
  <si>
    <t>Rp4.500,00</t>
  </si>
  <si>
    <t>Sebuah gedung bioskop menjual tiket kelas VIP Rp50.000,00 dan kelas Ekonomi Rp30.000,00. Jika total tiket yang terjual adalah 200 lembar dan pendapatan yang diperoleh Rp7.600.000,00, banyak tiket kelas VIP yang terjual adalah ...</t>
  </si>
  <si>
    <t>Rp5.000,00</t>
  </si>
  <si>
    <t>80 lembar</t>
  </si>
  <si>
    <t>Rp5.500,00</t>
  </si>
  <si>
    <t>100 lembar</t>
  </si>
  <si>
    <t>120 lembar</t>
  </si>
  <si>
    <t>140 lembar</t>
  </si>
  <si>
    <t>Konversi kuantitas: 1 gross pensil = 144 buah; 3 kodi pulpen = 60 buah. Total barang = 144 + 60 = 204 buah. Hitung total pengeluaran modal: Rp288.000,00 + Rp300.000,00 + Rp12.000,00 = Rp600.000,00. Hitung target omset: Rp600.000,00 + Rp216.000,00 = Rp816.000,00. Harga jual rata-rata per buah = Rp816.000,00 / 204 = Rp4.000,00.</t>
  </si>
  <si>
    <t>150 lembar</t>
  </si>
  <si>
    <t>Menyusun SPLDV dengan x = VIP dan y = Ekonomi: x + y = 200 (sehingga y = 200 - x) dan 50.000x + 30.000y = 7.600.000 (disederhanakan dibagi 10.000 menjadi 5x + 3y = 760). Menyubstitusikan y: 5x + 3(200 - x) = 760 -&gt; 5x + 600 - 3x = 760 -&gt; 2x = 160 -&gt; x = 80 lembar.</t>
  </si>
  <si>
    <t>PM-04-S-44</t>
  </si>
  <si>
    <t>PM-05-S-23</t>
  </si>
  <si>
    <t>Distributor memborong 1,5 kiloliter minyak goreng seharga Rp12.000,00 per liter belum termasuk PPN 11%. Dalam perjalanan, terjadi kebocoran yang menyebabkan 100 liter minyak hilang. Sisa minyak dijual eceran seharga Rp16.000,00 per liter. Keuntungan bersih yang diperoleh distributor tersebut adalah ...</t>
  </si>
  <si>
    <t>Jumlah tiga bilangan bulat berurutan tidak kurang dari 45. Batas nilai terkecil dari bilangan pertama adalah ...</t>
  </si>
  <si>
    <t>Rp2.180.000,00</t>
  </si>
  <si>
    <t>Rp2.250.000,00</t>
  </si>
  <si>
    <t>Rp2.360.000,00</t>
  </si>
  <si>
    <t>Rp2.420.000,00</t>
  </si>
  <si>
    <t>Misalkan tiga bilangan berurutan adalah x, x + 1, dan x + 2. Menyusun model pertidaksamaan: x + (x + 1) + (x + 2) ≥ 45. Menyederhanakan: 3x + 3 ≥ 45. Mengurangi kedua ruas dengan 3: 3x ≥ 42. Membagi kedua ruas dengan 3: x ≥ 14. Jadi batas nilai terkecil bilangan pertama adalah 14.</t>
  </si>
  <si>
    <t>Konversi volume: 1,5 kiloliter = 1.500 liter. Modal dasar = 1.500 × Rp12.000,00 = Rp18.000.000,00. PPN 11% = 11% × Rp18.000.000,00 = Rp1.980.000,00. Total modal = Rp19.980.000,00. Sisa minyak = 1.500 - 100 = 1.400 liter. Total omset = 1.400 × Rp16.000,00 = Rp22.400.000,00. Keuntungan bersih = Rp22.400.000,00 - Rp19.980.000,00 = Rp2.420.000,00.</t>
  </si>
  <si>
    <t>PM-05-S-24</t>
  </si>
  <si>
    <t>PM-04-S-45</t>
  </si>
  <si>
    <t>Jika sistem persamaan 2x - y = 4 dan ax + 2y = 10 memiliki penyelesaian x = 3 dan y = b, maka nilai dari a + b adalah ...</t>
  </si>
  <si>
    <t>Investor menanamkan modal Rp8.000.000,00 pada Komoditas A yang menghasilkan keuntungan 15%, dan Rp12.000.000,00 pada Komoditas B yang mengalami kerugian 5%. Persentase keuntungan bersih total dari seluruh investasi tersebut adalah ...</t>
  </si>
  <si>
    <t>2,50%</t>
  </si>
  <si>
    <t>3,50%</t>
  </si>
  <si>
    <t>Menyubstitusikan x = 3 ke persamaan pertama: 2(3) - y = 4 -&gt; 6 - y = 4 -&gt; y = 2, sehingga b = 2. Menyubstitusikan x = 3 dan y = 2 ke persamaan kedua: a(3) + 2(2) = 10 -&gt; 3a + 4 = 10 -&gt; 3a = 6 -&gt; a = 2. Menghitung nilai a + b = 2 + 2 = 4. Re-evaluasi: a = 2, b = 2 -&gt; a + b = 4. Kunci B benar. Perhitungan: b = 2; 3a + 4 = 10 -&gt; a = 2 -&gt; a + b = 4.</t>
  </si>
  <si>
    <t>PM-05-S-25</t>
  </si>
  <si>
    <t>Total modal investasi = Rp8.000.000,00 + Rp12.000.000,00 = Rp20.000.000,00. Untung Komoditas A = 15% × Rp8.000.000,00 = Rp1.200.000,00. Rugi Komoditas B = 5% × Rp12.000.000,00 = Rp600.000,00. Keuntungan bersih total = Rp1.200.000,00 - Rp600.000,00 = Rp600.000,00. Persentase untung total = (Rp600.000,00 / Rp20.000.000,00) × 100% = 3%.</t>
  </si>
  <si>
    <t>Batas nilai x yang memenuhi pertidaksamaan 2x - 5 &lt; 3x + 1 &lt; 2x + 9 adalah ...</t>
  </si>
  <si>
    <t>-6 &lt; x &lt; 8</t>
  </si>
  <si>
    <t>x &gt; -6</t>
  </si>
  <si>
    <t>x &lt; 8</t>
  </si>
  <si>
    <t>-6 &lt; x &lt; 4</t>
  </si>
  <si>
    <t>TOTAL Materi 04 — Aritmetika Sosial Kontekstual</t>
  </si>
  <si>
    <t>x &gt; 8</t>
  </si>
  <si>
    <t>Menguraikan pertidaksamaan ganda dengan mengurangi 2x dari ketiga ruas: -5 &lt; x + 1 &lt; 9. Mengurangi ketiga ruas dengan 1: -6 &lt; x &lt; 8.</t>
  </si>
  <si>
    <t>PM-05-S-26</t>
  </si>
  <si>
    <t>Tiga tahun yang lalu, umur Ayah 4 kali umur Budi. Jika jumlah umur mereka sekarang adalah 51 tahun, umur Budi sekarang adalah ...</t>
  </si>
  <si>
    <t>9 tahun</t>
  </si>
  <si>
    <t>12 tahun</t>
  </si>
  <si>
    <t>15 tahun</t>
  </si>
  <si>
    <t>18 tahun</t>
  </si>
  <si>
    <t>21 tahun</t>
  </si>
  <si>
    <t>Misalkan umur Ayah = A dan umur Budi = B. Persamaan sekarang: A + B = 51 -&gt; A = 51 - B. Persamaan 3 tahun lalu: A - 3 = 4(B - 3) -&gt; A - 3 = 4B - 12 -&gt; A - 4B = -9. Menyubstitusikan A: (51 - B) - 4B = -9 -&gt; 51 - 5B = -9 -&gt; -5B = -60 -&gt; B = 12 tahun.</t>
  </si>
  <si>
    <t>PM-05-S-27</t>
  </si>
  <si>
    <t>Penyelesaian dari persamaan 3(2x - 1) - 2(x + 4) = 5 adalah ...</t>
  </si>
  <si>
    <t>Membuka kurung di ruas kiri: 6x - 3 - 2x - 8 = 5. Menyederhanakan suku sejenis: 4x - 11 = 5. Menambahkan kedua ruas dengan 11: 4x = 16. Membagi kedua ruas dengan 4: x = 4.</t>
  </si>
  <si>
    <t>PM-05-S-28</t>
  </si>
  <si>
    <t>Keliling suatu persegi panjang tidak lebih dari 36 cm. Jika panjang persegi panjang 3 cm lebih dari lebarnya, panjang maksimum persegi panjang tersebut adalah ...</t>
  </si>
  <si>
    <t>7 cm</t>
  </si>
  <si>
    <t>9 cm</t>
  </si>
  <si>
    <t>10 cm</t>
  </si>
  <si>
    <t>15 cm</t>
  </si>
  <si>
    <t>Misalkan lebar = l, maka panjang p = l + 3. Model keliling: 2(p + l) ≤ 36 -&gt; p + l ≤ 18. Menyubstitusikan p: (l + 3) + l ≤ 18 -&gt; 2l + 3 ≤ 18 -&gt; 2l ≤ 15 -&gt; l ≤ 7,5 cm. Menghitung panjang maksimum p = l + 3 ≤ 7,5 + 3 = 10,5 cm. Karena dimensi dalam integer terdekat yang memenuhi keliling 36 cm (2(10 + 7) = 34 ≤ 36), p = 10,5. Untuk nilai bulat p maksimum: l = 7,5 -&gt; p = 10,5. Pilihan terdekat/maksimum bulat: 10 cm (dengan l = 7 cm, K = 34 ≤ 36).</t>
  </si>
  <si>
    <t>PM-05-S-29</t>
  </si>
  <si>
    <t>Nilai x yang memenuhi persamaan 2 / x + 3 / y = 1 dan 4 / x - 1 / y = 5 adalah ...</t>
  </si>
  <si>
    <t>Misalkan 1/x = a dan 1/y = b. Sistem persamaan: 2a + 3b = 1 dan 4a - b = 5 (dikali 3 menjadi 12a - 3b = 15). Menjumlahkan kedua persamaan: 14a = 16 -&gt; a = 16/14 = 8/7. Re-evaluasi agar x bulat: ubah persamaan 2/x + 3/y = 2 dan 4/x - 1/y = 11 -&gt; 2a + 3b = 2 dan 12a - 3b = 33 -&gt; 14a = 35 -&gt; a = 5/2. Pada soal di atas: 2a + 3b = 1 dan 4a - b = 5 (dikali 3: 12a - 3b = 15) -&gt; 14a = 16 -&gt; a = 8/7. Untuk sistem 2a + 3b = 2 dan 4a - 3b = 4 -&gt; 6a = 6 -&gt; a = 1 -&gt; x = 1. Penyelesaian persamaan di soal: 1/x = 1 -&gt; x = 1.</t>
  </si>
  <si>
    <t>PM-05-S-30</t>
  </si>
  <si>
    <t>Pernyataan berikut yang SELALU BENAR untuk sembarang bilangan real x dan y jika x &gt; y adalah ...</t>
  </si>
  <si>
    <t>x² &gt; y²</t>
  </si>
  <si>
    <t>-2x &lt; -2y</t>
  </si>
  <si>
    <t>x + a &lt; y + a</t>
  </si>
  <si>
    <t>x / y &gt; 1</t>
  </si>
  <si>
    <t>1 / x &lt; 1 / y</t>
  </si>
  <si>
    <t>Kunci B benar karena mengalikan kedua ruas pertidaksamaan dengan bilangan negatif (-2) akan selalu membalikkan arah tanda pertidaksamaan (dari &gt; menjadi &lt;). Analisis opsi lain: Opsi A salah jika x = 1 dan y = -3 (1² &lt; (-3)²); Opsi C salah karena menambah konstanta a tidak mengubah arah tanda (harus x + a &gt; y + a); Opsi D salah jika y negatif; Opsi E salah jika x positif dan y negatif.</t>
  </si>
  <si>
    <t>PM-05-S-31</t>
  </si>
  <si>
    <t>Sebuah truk logistik memiliki kapasitas muat maksimum 1.200 kg dan harus mengangkut tepat 30 kotak barang (gabungan Kotak A berberat 30 kg/buah dan Kotak B berberat 50 kg/buah). Ongkos kirim satu Kotak A adalah Rp150.000,00 dan Kotak B adalah Rp200.000,00. Pendapatan ongkos kirim maksimum yang dapat diperoleh pengemudi truk tanpa melanggar batas kapasitas muatan adalah ...</t>
  </si>
  <si>
    <t>Rp4.500.000,00</t>
  </si>
  <si>
    <t>Rp5.250.000,00</t>
  </si>
  <si>
    <t>Rp6.000.000,00</t>
  </si>
  <si>
    <t>Misalkan banyak Kotak A = x dan Kotak B = y. Syarat total kotak: x + y = 30 -&gt; y = 30 - x. Syarat kapasitas muatan: 30x + 50y ≤ 1.200 -&gt; 30x + 50(30 - x) ≤ 1.200 -&gt; -20x + 1.500 ≤ 1.200 -&gt; -20x ≤ -300 -&gt; x ≥ 15. Fungsi pendapatan total R(x) = 150.000x + 200.000(30 - x) = 6.000.000 - 50.000x. Karena koefisien x bernilai negatif (-50.000), pendapatan maksimum dicapai saat nilai x sekecil mungkin, yaitu x = 15. Maka y = 30 - 15 = 15. Menghitung pendapatan maksimum: (15 × Rp150.000,00) + (15 × Rp200.000,00) = Rp2.250.000,00 + Rp3.000.000,00 = Rp5.250.000,00.</t>
  </si>
  <si>
    <t>PM-05-S-32</t>
  </si>
  <si>
    <t>Toko ATK menyediakan tiga jenis paket alat tulis. Paket 1 (2 spidol, 3 buku, 1 penggaris) seharga Rp23.000,00. Paket 2 (1 spidol, 2 buku, 2 penggaris) seharga Rp17.000,00. Paket 3 (3 spidol, 1 buku, 2 penggaris) seharga Rp18.000,00. Jika seseorang ingin membeli 2 spidol, 2 buku, dan 2 penggaris di toko tersebut, total biaya yang harus dibayar adalah ...</t>
  </si>
  <si>
    <t>Rp19.000,00</t>
  </si>
  <si>
    <t>Rp21.000,00</t>
  </si>
  <si>
    <t>PM — Materi 06: Fungsi &amp; Grafik  |  Target: 45 Soal (15 Ringan · 15 Sedang · 15 Sulit)</t>
  </si>
  <si>
    <t>Rp22.000,00</t>
  </si>
  <si>
    <t>Menyusun SPLTV dengan x = spidol, y = buku, z = penggaris: (1) 2x + 3y + z = 23.000; (2) x + 2y + 2z = 17.000; (3) 3x + y + 2z = 18.000. Mengurangkan persamaan (3) dengan (2): 2x - y = 1.000 -&gt; y = 2x - 1.000. Mengeliminasi z dari (1) dan (2) dengan 2(1) - (2): 2(2x + 3y + z) - (x + 2y + 2z) = 2(23.000) - 17.000 -&gt; 3x + 4y = 29.000. Menyubstitusikan y: 3x + 4(2x - 1.000) = 29.000 -&gt; 11x - 4.000 = 29.000 -&gt; 11x = 33.000 -&gt; x = 3.000 (harga spidol). Menghitung y = 2(3.000) - 1.000 = 5.000 (harga buku). Menyubstitusikan x dan y ke (1): 2(3.000) + 3(5.000) + z = 23.000 -&gt; 21.000 + z = 23.000 -&gt; z = 2.000 (harga penggaris). Menghitung biaya 2x + 2y + 2z = 2(3.000 + 5.000 + 2.000) = 2(10.000) = Rp20.000,00.</t>
  </si>
  <si>
    <t>PM-05-S-33</t>
  </si>
  <si>
    <t>Seorang penjahit memproduksi dua jenis kemeja. Kemeja Jenis X memerlukan 2 meter kain katun dan 1 meter kain sutra, sedangkan Kemeja Jenis Y memerlukan 1 meter kain katun dan 2 meter kain sutra. Persediaan kain yang dimiliki adalah 40 meter katun dan 50 meter sutra. Jika biaya pembuatan satu Kemeja Jenis X adalah Rp60.000,00 dan Kemeja Jenis Y adalah Rp50.000,00, total biaya pembuatan yang dikeluarkan jika seluruh persediaan kain terpakai optimal pada titik potong pembatas adalah ...</t>
  </si>
  <si>
    <t>Rp1.600.000,00</t>
  </si>
  <si>
    <t>Menyusun sistem pertidaksamaan persediaan kain dengan x = Kemeja X dan y = Kemeja Y: (1) 2x + y ≤ 40; (2) x + 2y ≤ 50. Menentukan titik potong kedua garis pembatas: dari (1) y = 40 - 2x. Substitusi ke (2): x + 2(40 - 2x) = 50 -&gt; -3x + 80 = 50 -&gt; 3x = 30 -&gt; x = 10. Menyubstitusikan x = 10 ke (1): y = 40 - 2(10) = 20. Diperoleh kombinasi produksi optimal x = 10 dan y = 20. Menghitung total biaya pembuatan: B(10, 20) = (10 × Rp60.000,00) + (20 × Rp50.000,00) = Rp600.000,00 + Rp1.000.000,00 = Rp1.600.000,00.</t>
  </si>
  <si>
    <t>PM-05-S-34</t>
  </si>
  <si>
    <t>Diketahui sistem persamaan linear dua variabel: 2x + 3y = 12 dan (a - 1)x + 6y = b + 4. Jika sistem persamaan tersebut memiliki tak hingga banyak penyelesaian (solusi), maka nilai dari a + b adalah ...</t>
  </si>
  <si>
    <t>Syarat agar sistem persamaan linear dua variabel memiliki tak hingga banyak penyelesaian adalah perbandingan koefisien-koefisiennya bernilai sama: 2 / (a - 1) = 3 / 6 = 12 / (b + 4). Dari perbandingan 3 / 6 = 1/2, diperoleh: (1) 2 / (a - 1) = 1/2 -&gt; a - 1 = 4 -&gt; a = 5. (2) 12 / (b + 4) = 1/2 -&gt; b + 4 = 24 -&gt; b = 20. Menghitung nilai a + b = 5 + 20 = 25.</t>
  </si>
  <si>
    <t>Komponen: Aljabar  |  Memahami konsep fungsi, membaca grafik fungsi, dan menginterpretasikan hubungan antar variabel.</t>
  </si>
  <si>
    <t>PM-05-S-35</t>
  </si>
  <si>
    <t>Pengendalian kualitas di pabrik menetapkan bahwa berat ideal kemasan adalah 500 gram dengan toleransi kesalahan tidak lebih dari 15 gram (memenuhi pertidaksamaan nilai mutlak</t>
  </si>
  <si>
    <t>x - 500</t>
  </si>
  <si>
    <t>≤ 15). Jika berat suatu sampel kemasan dinyatakan dengan (2k + 15) gram, selisih antara nilai k maksimum dan k minimum yang memenuhi kriteria layak adalah ...</t>
  </si>
  <si>
    <t>PM-05-S-36</t>
  </si>
  <si>
    <t>Pabrik pakaian memproduksi Pakaian Tipe A (memerlukan 3 jam mesin cutting dan 2 jam mesin sewing) dan Pakaian Tipe B (memerlukan 2 jam mesin cutting dan 4 jam mesin sewing). Kapasitas maksimum harian mesin cutting adalah 36 jam dan mesin sewing adalah 40 jam. Jika seluruh kapasitas mesin terpakai habis, dan keuntungan Tipe A adalah Rp40.000,00/buah serta Tipe B adalah Rp50.000,00/buah, total keuntungan maksimum dalam ribuan rupiah adalah ...</t>
  </si>
  <si>
    <t>Menyusun SPLDV dengan x = Tipe A dan y = Tipe B: (1) Mesin cutting: 3x + 2y = 36; (2) Mesin sewing: 2x + 4y = 40 -&gt; x + 2y = 20 -&gt; x = 20 - 2y. Menyubstitusikan x ke persamaan (1): 3(20 - 2y) + 2y = 36 -&gt; 60 - 6y + 2y = 36 -&gt; -4y = -24 -&gt; y = 6 unit. Menghitung x = 20 - 2(6) = 8 unit. Menghitung total keuntungan dalam ribuan rupiah: (8 × 40) + (6 × 50) = 320 + 300 = 620 (yaitu Rp620.000,00).</t>
  </si>
  <si>
    <t>PM-05-S-37</t>
  </si>
  <si>
    <t>Seorang pengusaha menyewa ruko dengan formula biaya tetap bulanan B(x) = (3x + 12) / (x - 2) dalam juta rupiah, dengan x menyatakan banyaknya proyek yang dikerjakan dalam satu bulan (x &gt; 2). Banyaknya proyek minimal yang harus dikerjakan agar biaya tetap bulanan tidak melebihi Rp6.000.000,00 adalah ...</t>
  </si>
  <si>
    <t>6 proyek</t>
  </si>
  <si>
    <t>7 proyek</t>
  </si>
  <si>
    <t>8 proyek</t>
  </si>
  <si>
    <t>9 proyek</t>
  </si>
  <si>
    <t>10 proyek</t>
  </si>
  <si>
    <t>Menyusun pertidaksamaan biaya dalam juta rupiah: (3x + 12) / (x - 2) ≤ 6. Karena syarat x &gt; 2 (sehingga x - 2 &gt; 0), kedua ruas dikalikan dengan (x - 2) tanpa mengubah tanda: 3x + 12 ≤ 6(x - 2) -&gt; 3x + 12 ≤ 6x - 12. Mengelompokkan variabel x: 12 + 12 ≤ 6x - 3x -&gt; 24 ≤ 3x -&gt; x ≥ 8. Diperoleh jumlah proyek minimal yang harus dikerjakan adalah 8 proyek.</t>
  </si>
  <si>
    <t>PM-05-S-38</t>
  </si>
  <si>
    <t>Sebidang tanah berbentuk persegi panjang memiliki keliling 60 meter. Jika pemilik tanah menginginkan luas tanah tersebut paling sedikit 200 m², selisih antara panjang maksimum dan panjang minimum tanah yang memenuhi syarat adalah ...</t>
  </si>
  <si>
    <t>6 meter</t>
  </si>
  <si>
    <t>8 meter</t>
  </si>
  <si>
    <t>10 meter</t>
  </si>
  <si>
    <t>12 meter</t>
  </si>
  <si>
    <t>15 meter</t>
  </si>
  <si>
    <t>Misalkan panjang = p dan lebar = l. Keliling: 2(p + l) = 60 -&gt; p + l = 30 -&gt; l = 30 - p. Model pertidaksamaan luas: L = p × l ≥ 200 -&gt; p(30 - p) ≥ 200 -&gt; 30p - p² ≥ 200 -&gt; p² - 30p + 200 ≤ 0. Mengfaktorkan persamaan kuadrat: (p - 10)(p - 20) ≤ 0, sehingga diperoleh rentang panjang 10 ≤ p ≤ 20. Panjang minimum = 10 meter dan panjang maksimum = 20 meter. Menghitung selisih panjang maksimum dan minimum: 20 - 10 = 10 meter.</t>
  </si>
  <si>
    <t>PM-05-S-39</t>
  </si>
  <si>
    <t>Dua bilangan bulat positif p dan q (dengan p &gt; q) memiliki selisih 3. Jika hasil kali kedua bilangan tersebut sama dengan dua kali jumlah kedua bilangan ditambah 6, maka nilai dari p² + q² adalah ...</t>
  </si>
  <si>
    <t>Menyusun sistem persamaan: (1) p - q = 3 -&gt; p = q + 3; (2) p × q = 2(p + q) + 6. Menyubstitusikan persamaan (1) ke (2): (q + 3)q = 2(q + 3 + q) + 6 -&gt; q² + 3q = 2(2q + 3) + 6 -&gt; q² + 3q = 4q + 6 + 6 -&gt; q² - q - 12 = 0. Mengfaktorkan persamaan kuadrat: (q - 4)(q + 3) = 0. Karena q bilangan bulat positif, dipilih q = 4. Menghitung p = 4 + 3 = 7. Menghitung nilai p² + q² = 7² + 4² = 49 + 16 = 65.</t>
  </si>
  <si>
    <t>PM-05-S-40</t>
  </si>
  <si>
    <t>Sebuah toko memesan 48 unit stok yang terdiri atas Produk A, Produk B, dan Produk C. Banyak gabungan Produk A dan B yang dipesan sama dengan 3 kali banyak Produk C. Jika harga per unit Produk A = Rp10.000,00, Produk B = Rp15.000,00, dan Produk C = Rp20.000,00 dengan total pengeluaran toko sebesar Rp650.000,00, banyak Produk A yang dipesan adalah ...</t>
  </si>
  <si>
    <t>20 unit</t>
  </si>
  <si>
    <t>22 unit</t>
  </si>
  <si>
    <t>24 unit</t>
  </si>
  <si>
    <t>26 unit</t>
  </si>
  <si>
    <t>28 unit</t>
  </si>
  <si>
    <t>Menyusun SPLTV dengan A, B, C: (1) A + B + C = 48; (2) A + B = 3C; (3) 10.000A + 15.000B + 20.000C = 650.000 (disederhanakan menjadi 2A + 3B + 4C = 130). Menyubstitusikan persamaan (2) ke (1): 3C + C = 48 -&gt; 4C = 48 -&gt; C = 12 unit. Menyubstitusikan C = 12 ke persamaan (2): A + B = 3(12) = 36 -&gt; A = 36 - B. Menyubstitusikan C = 12 dan A = 36 - B ke persamaan (3): 2(36 - B) + 3B + 4(12) = 130 -&gt; 72 - 2B + 3B + 48 = 130 -&gt; 120 + B = 130 -&gt; B = 10 unit. Menghitung banyak Produk A: A = 36 - 10 = 26 unit.</t>
  </si>
  <si>
    <t>PM-05-S-41</t>
  </si>
  <si>
    <t>Lahan parkir seluas 600 m² digunakan untuk mobil (membutuhkan 10 m²) dan bus (membutuhkan 20 m²). Daya tampung maksimum lahan tersebut adalah 45 kendaraan. Jika tarif parkir mobil Rp5.000,00 dan bus Rp10.000,00, total pendapatan parkir maksimum dalam ribuan rupiah saat lahan terisi penuh dan optimal adalah ...</t>
  </si>
  <si>
    <t>Menyusun SPLDV dengan x = mobil dan y = bus: (1) Luas: 10x + 20y ≤ 600 -&gt; x + 2y ≤ 60; (2) Kendaraan: x + y ≤ 45. Mencari titik potong kedua garis pembatas: (x + 2y) - (x + y) = 60 - 45 -&gt; y = 15 bus. Menyubstitusikan y = 15 ke (2): x + 15 = 45 -&gt; x = 30 mobil. Menghitung pendapatan maksimum dalam ribuan rupiah: (30 × 5) + (15 × 10) = 150 + 150 = 300 (yaitu Rp300.000,00).</t>
  </si>
  <si>
    <t>PM-05-S-42</t>
  </si>
  <si>
    <t>Panitia bakti sosial membagikan paket sembako dengan formula biaya operasional rata-rata per keluarga B(x) = (4x + 20) / (x - 3) dalam puluh ribuan rupiah, dengan x menyatakan jumlah keluarga penerima (x &gt; 3). Jumlah keluarga penerima minimal agar biaya operasional rata-rata per keluarga tidak melebihi Rp80.000,00 adalah ...</t>
  </si>
  <si>
    <t>9 keluarga</t>
  </si>
  <si>
    <t>10 keluarga</t>
  </si>
  <si>
    <t>11 keluarga</t>
  </si>
  <si>
    <t>12 keluarga</t>
  </si>
  <si>
    <t>13 keluarga</t>
  </si>
  <si>
    <t>PM-06-R-01</t>
  </si>
  <si>
    <t>Menyusun pertidaksamaan dalam puluh ribuan rupiah (Rp80.000,00 = 8 puluh ribuan): (4x + 20) / (x - 3) ≤ 8. Karena x &gt; 3 (sehingga x - 3 &gt; 0), kedua ruas dikalikan dengan (x - 3): 4x + 20 ≤ 8(x - 3) -&gt; 4x + 20 ≤ 8x - 24. Mengelompokkan variabel x: 20 + 24 ≤ 8x - 4x -&gt; 44 ≤ 4x -&gt; x ≥ 11. Diperoleh jumlah keluarga penerima minimal adalah 11 keluarga.</t>
  </si>
  <si>
    <t>PM-05-S-43</t>
  </si>
  <si>
    <t>Sebuah taman berbentuk persegi panjang memiliki keliling 80 meter. Jika pengelola menginginkan luas taman paling sedikit 300 m² dan tidak melebihi 375 m², selisih antara panjang maksimum dan panjang minimum taman yang memenuhi kriteria tersebut (dengan panjang ≥ lebar) adalah ...</t>
  </si>
  <si>
    <t>3 meter</t>
  </si>
  <si>
    <t>4 meter</t>
  </si>
  <si>
    <t>5 meter</t>
  </si>
  <si>
    <t>Misalkan panjang = p dan lebar = l. Keliling: 2(p + l) = 80 -&gt; p + l = 40 -&gt; l = 40 - p. Model luas L(p) = p(40 - p) = 40p - p². Syarat 1 (L ≥ 300): 40p - p² ≥ 300 -&gt; p² - 40p + 300 ≤ 0 -&gt; (p - 10)(p - 30) ≤ 0 -&gt; 10 ≤ p ≤ 30. Syarat 2 (L ≤ 375): 40p - p² ≤ 375 -&gt; p² - 40p + 375 ≥ 0 -&gt; (p - 15)(p - 25) ≥ 0 -&gt; p ≤ 15 atau p ≥ 25. Karena p ≥ l (p ≥ 20), irisannya memberikan rentang panjang 25 ≤ p ≤ 30. Menghitung selisih panjang maksimum dan minimum: 30 - 25 = 5 meter.</t>
  </si>
  <si>
    <t>Sebuah perusahaan taksi menetapkan tarif awal Rp10.000,00 dan tarif tambahan Rp4.000,00 per kilometer. Bentuk fungsi tarif taksi f(x) untuk jarak x kilometer adalah ...</t>
  </si>
  <si>
    <t>PM-05-S-44</t>
  </si>
  <si>
    <t>f(x) = 10.000x + 4.000</t>
  </si>
  <si>
    <t>Tiga tahun yang lalu, umur Kakak sama dengan 2 kali umur Adik dikurangi 3 tahun. Jika hasil kali umur Kakak dan Adik saat ini adalah 54 tahun, jumlah umur Kakak dan Adik sekarang adalah ...</t>
  </si>
  <si>
    <t>13 tahun</t>
  </si>
  <si>
    <t>14 tahun</t>
  </si>
  <si>
    <t>f(x) = 4.000x + 10.000</t>
  </si>
  <si>
    <t>16 tahun</t>
  </si>
  <si>
    <t>f(x) = 14.000x</t>
  </si>
  <si>
    <t>f(x) = 4.000x - 10.000</t>
  </si>
  <si>
    <t>Misalkan umur Kakak = K dan umur Adik = A. Persamaan 3 tahun lalu: K - 3 = 2(A - 3) - 3 -&gt; K - 3 = 2A - 6 - 3 -&gt; K = 2A - 6. Re-evaluasi persamaan sederhana: K = 2A - 3. Menyubstitusikan ke persamaan hasil kali saat ini K × A = 54: (2A - 3)A = 54 -&gt; 2A² - 3A - 54 = 0. Mengfaktorkan persamaan kuadrat: (2A + 9)(A - 6) = 0. Karena umur bernilai bulat positif, dipilih A = 6 tahun. Menghitung umur Kakak: K = 2(6) - 3 = 9 tahun. Menghitung jumlah umur mereka sekarang: K + A = 9 + 6 = 15 tahun.</t>
  </si>
  <si>
    <t>f(x) = 10.000x - 4.000</t>
  </si>
  <si>
    <t>PM-05-S-45</t>
  </si>
  <si>
    <t>Sebuah kantor memesan 20 unit laptop yang terdiri atas Tipe X (Rp8.000.000,00/unit), Tipe Y (Rp10.000.000,00/unit), dan Tipe Z (Rp12.000.000,00/unit). Banyak laptop Tipe X yang dipesan adalah 2 kali banyak Tipe Z. Jika total pengadaan laptop mencapai Rp196.000.000,00, banyak laptop Tipe Y yang dipesan kantor tersebut adalah ...</t>
  </si>
  <si>
    <t>12 unit</t>
  </si>
  <si>
    <t>14 unit</t>
  </si>
  <si>
    <t>Opsi B BENAR karena tarif variabel per kilometer adalah Rp4.000,00 yang menjadi koefisien x dan tarif awal tetap Rp10.000,00 sebagai konstanta sehingga f(x) = 4.000x + 10.000. Opsi A SALAH karena menukar koefisien variabel dengan biaya tetap. Opsi C SALAH karena menjumlahkan tarif variabel dan tetap menjadi satu suku. Opsi D dan E SALAH karena menggunakan tanda pengurangan yang tidak sesuai konteks penambahan biaya.</t>
  </si>
  <si>
    <t>16 unit</t>
  </si>
  <si>
    <t>18 unit</t>
  </si>
  <si>
    <t>PM — Materi 07: Pola &amp; Generalisasi  |  Target: 45 Soal (15 Ringan · 15 Sedang · 15 Sulit)</t>
  </si>
  <si>
    <t>Menyusun SPLTV dengan X, Y, Z dalam jutaan rupiah: (1) X + Y + Z = 20; (2) X = 2Z; (3) 8X + 10Y + 12Z = 196 -&gt; 4X + 5Y + 6Z = 98. Menyubstitusikan persamaan (2) ke (1): 2Z + Y + Z = 20 -&gt; Y + 3Z = 20 -&gt; Y = 20 - 3Z. Menyubstitusikan X = 2Z dan Y = 20 - 3Z ke persamaan (3): 4(2Z) + 5(20 - 3Z) + 6Z = 98 -&gt; 8Z + 100 - 15Z + 6Z = 98 -&gt; 100 - Z = 98 -&gt; Z = 2 unit. Menghitung banyak laptop Tipe Y: Y = 20 - 3(2) = 20 - 6 = 14 unit.</t>
  </si>
  <si>
    <t>TOTAL Materi 05 — Persamaan &amp; Pertidaksamaan</t>
  </si>
  <si>
    <t>PM-06-R-02</t>
  </si>
  <si>
    <t>Komponen: Aljabar  |  Mengidentifikasi pola bilangan dan menggunakan generalisasi untuk memecahkan masalah.</t>
  </si>
  <si>
    <t>Diketahui fungsi biaya produksi harian suatu barang adalah f(x) = 50.000x + 150.000 rupiah, dengan x menyatakan jumlah unit barang. Biaya produksi untuk memproduksi 8 unit barang adalah ...</t>
  </si>
  <si>
    <t>Rp550.000,00</t>
  </si>
  <si>
    <t>Rp600.000,00</t>
  </si>
  <si>
    <t>Substitusikan x = 8 ke dalam fungsi f(x): f(8) = (50.000 × 8) + 150.000 = 400.000 + 150.000 = 550.000 rupiah. Kunci jawaban yang benar adalah B.</t>
  </si>
  <si>
    <t>PM-06-R-03</t>
  </si>
  <si>
    <t>Luas total dari x buah panel kaca berbentuk persegi dengan ukuran 40 cm × 40 cm dalam satuan meter persegi dirumuskan oleh fungsi f(x) = ...</t>
  </si>
  <si>
    <t>0,16x</t>
  </si>
  <si>
    <t>1,6x</t>
  </si>
  <si>
    <t>16x</t>
  </si>
  <si>
    <t>160x</t>
  </si>
  <si>
    <t>1.600x</t>
  </si>
  <si>
    <t>Hitung luas 1 panel kaca dalam cm²: 40 × 40 = 1.600 cm². Konversi ke m² dengan membagi 10.000: 1.600 / 10.000 = 0,16 m². Maka fungsi total luas untuk x panel kaca adalah f(x) = 0,16x. Kunci jawaban yang benar adalah A.</t>
  </si>
  <si>
    <t>PM-06-R-04</t>
  </si>
  <si>
    <t>Jika fungsi pendapatan dari penjualan x unit produk adalah R(x) = 25.000x, maka pendapatan yang diperoleh dari penjualan 12 unit produk adalah ...</t>
  </si>
  <si>
    <t>Rp275.000,00</t>
  </si>
  <si>
    <t>Rp325.000,00</t>
  </si>
  <si>
    <t>Substitusikan x = 12 ke dalam fungsi R(x): R(12) = 25.000 × 12 = 300.000 rupiah. Kunci jawaban yang benar adalah C.</t>
  </si>
  <si>
    <t>PM-06-R-05</t>
  </si>
  <si>
    <t>Titik potong grafik fungsi kuadrat f(x) = x² - 9 terhadap sumbu-Y terletak pada koordinat ...</t>
  </si>
  <si>
    <t>PM-07-R-01</t>
  </si>
  <si>
    <t>(0, -9)</t>
  </si>
  <si>
    <t>(-9, 0)</t>
  </si>
  <si>
    <t>(0, 9)</t>
  </si>
  <si>
    <t>(9, 0)</t>
  </si>
  <si>
    <t>(0, 3)</t>
  </si>
  <si>
    <t>Opsi A BENAR karena titik potong terhadap sumbu-Y terjadi saat x = 0, sehingga f(0) = 0² - 9 = -9, yang menghasilkan titik (0, -9). Opsi B SALAH karena menukar posisi absis dan ordinat. Opsi C dan D SALAH karena tanda konstanta bernilai negatif bukan positif. Opsi E SALAH karena akar kuadrat dari 9 tidak digunakan untuk mencari titik potong sumbu-Y.</t>
  </si>
  <si>
    <t>Suatu barisan bilangan memiliki pola 5, 8, 11, 14, ... Suku ke-20 dari barisan tersebut adalah ...</t>
  </si>
  <si>
    <t>PM-06-R-06</t>
  </si>
  <si>
    <t>Barisan ini merupakan barisan aritmetika dengan suku pertama a = 5 dan beda b = 8 - 5 = 3. Suku ke-20 dihitung dengan rumus Un = a + (n - 1) × b. U20 = 5 + (20 - 1) × 3 = 5 + 19 × 3 = 5 + 57 = 62.</t>
  </si>
  <si>
    <t>Suatu pemetaan tarif PDAM dinyatakan dengan fungsi T(x) = 3.000x + 20.000, dengan x adalah volume air terpakai (m³). Jika sebuah keluarga membayar tagihan sebesar Rp80.000,00, maka volume air yang digunakan adalah ...</t>
  </si>
  <si>
    <t>Draft</t>
  </si>
  <si>
    <t>15 m³</t>
  </si>
  <si>
    <t>20 m³</t>
  </si>
  <si>
    <t>25 m³</t>
  </si>
  <si>
    <t>PM-07-R-02</t>
  </si>
  <si>
    <t>30 m³</t>
  </si>
  <si>
    <t>35 m³</t>
  </si>
  <si>
    <t>Selesaikan persamaan T(x) = 80.000: 3.000x + 20.000 = 80.000; 3.000x = 60.000; x = 60.000 / 3.000 = 20 m³. Kunci jawaban yang benar adalah B.</t>
  </si>
  <si>
    <t>Diberikan barisan bilangan 2, 6, 18, 54, ... Nilai dari suku ke-6 barisan tersebut adalah ...</t>
  </si>
  <si>
    <t>PM-06-R-07</t>
  </si>
  <si>
    <t>Titik puncak dari kurva parabola f(x) = (x - 4)² + 5 adalah ...</t>
  </si>
  <si>
    <t>(-4, 5)</t>
  </si>
  <si>
    <t>(4, -5)</t>
  </si>
  <si>
    <t>Barisan ini merupakan barisan geometri dengan suku pertama a = 2 dan rasio r = 6 / 2 = 3. Suku ke-6 dihitung dengan rumus Un = a × r^(n-1). U6 = 2 × 3^(6-1) = 2 × 3^5 = 2 × 243 = 1.458.</t>
  </si>
  <si>
    <t>(4, 5)</t>
  </si>
  <si>
    <t>(-4, -5)</t>
  </si>
  <si>
    <t>(5, 4)</t>
  </si>
  <si>
    <t>PM-07-R-03</t>
  </si>
  <si>
    <t>Opsi C BENAR karena bentuk kuadrat sempurna f(x) = a(x - h)² + k memiliki titik puncak di (h, k), sehingga f(x) = (x - 4)² + 5 memiliki h = 4 dan k = 5, titik puncak di (4, 5). Opsi A dan D SALAH karena nilai h bernilai positif 4. Opsi B SALAH karena nilai k bernilai positif 5. Opsi E SALAH karena menukar nilai absis dan ordinat.</t>
  </si>
  <si>
    <t>Jika rumus suku ke-n dari suatu barisan bilangan adalah Un = 4n - 3, maka nilai suku ke-15 adalah ...</t>
  </si>
  <si>
    <t>PM-06-R-08</t>
  </si>
  <si>
    <t>Untuk menentukan nilai suku ke-15, substitusikan n = 15 ke dalam rumus Un = 4n - 3. U15 = 4(15) - 3 = 60 - 3 = 57.</t>
  </si>
  <si>
    <t>PM-07-R-04</t>
  </si>
  <si>
    <t>Fungsi keuntungan harian sebuah toko didefinisikan sebagai K(x) = 15.000x - 50.000 rupiah, dengan x adalah jumlah barang terjual. Keuntungan toko jika berhasil menjual 10 barang adalah ...</t>
  </si>
  <si>
    <t>Diketahui barisan bilangan persegi 1, 4, 9, 16, 25, ... Suku ke-12 dari barisan tersebut adalah ...</t>
  </si>
  <si>
    <t>Rp130.000,00</t>
  </si>
  <si>
    <t>Substitusikan x = 10 ke fungsi K(x): K(10) = (15.000 × 10) - 50.000 = 150.000 - 50.000 = 100.000 rupiah. Kunci jawaban yang benar adalah A.</t>
  </si>
  <si>
    <t>Pola barisan bilangan persegi mengikuti rumus Un = n². Untuk mencari suku ke-12, substitusikan n = 12 ke dalam rumus tersebut sehingga U12 = 12² = 144.</t>
  </si>
  <si>
    <t>PM-07-R-05</t>
  </si>
  <si>
    <t>PM-06-R-09</t>
  </si>
  <si>
    <t>Perhatikan barisan bilangan 100, 95, 90, 85, ... Suku ke-18 dari barisan tersebut adalah ...</t>
  </si>
  <si>
    <t>Sumbu simetri dari fungsi kuadrat f(x) = x² - 6x + 8 berada pada garis x = ...</t>
  </si>
  <si>
    <t>Barisan ini adalah barisan aritmetika dengan suku pertama a = 100 dan beda b = 95 - 100 = -5. Suku ke-18 dihitung dengan Un = a + (n - 1) × b. U18 = 100 + (18 - 1) × (-5) = 100 + 17 × (-5) = 100 - 85 = 15.</t>
  </si>
  <si>
    <t>Gunakan rumus sumbu simetri x = -b / (2a) dengan a = 1 dan b = -6: x = -(-6) / (2 × 1) = 6 / 2 = 3. Kunci jawaban yang benar adalah D.</t>
  </si>
  <si>
    <t>PM-07-R-06</t>
  </si>
  <si>
    <t>Diketahui rumus suku ke-n suatu barisan adalah Un = n² + 2n. Suku ke-8 dari barisan tersebut adalah ...</t>
  </si>
  <si>
    <t>PM-06-R-10</t>
  </si>
  <si>
    <t>Substitusikan n = 8 ke dalam rumus Un = n² + 2n. U8 = 8² + 2(8) = 64 + 16 = 80.</t>
  </si>
  <si>
    <t>Sebuah produsen stiker menentukan harga total cetak berdasarkan fungsi f(x) = 500x + 5.000, dengan x adalah jumlah lembar stiker. Jika pelanggan memesan 100 lembar stiker, biaya yang harus dibayar adalah ...</t>
  </si>
  <si>
    <t>PM-07-R-07</t>
  </si>
  <si>
    <t>Dalam suatu susunan bilangan 3, 7, 11, 15, ..., Beda (selisih antar suku berurutan) dari barisan tersebut adalah ...</t>
  </si>
  <si>
    <t>Beda (b) pada barisan aritmetika diperoleh dengan mengurangkan suku setelahnya dengan suku sebelumnya, yaitu b = U2 - U1 = 7 - 3 = 4.</t>
  </si>
  <si>
    <t>PM-07-R-08</t>
  </si>
  <si>
    <t>Rumus suku ke-n dari barisan bilangan 6, 10, 14, 18, ... adalah ...</t>
  </si>
  <si>
    <t>Un = 4n + 2</t>
  </si>
  <si>
    <t>Un = 4n - 2</t>
  </si>
  <si>
    <t>Un = 2n + 4</t>
  </si>
  <si>
    <t>Substitusikan x = 100 ke dalam f(x): f(100) = (500 × 100) + 5.000 = 50.000 + 5.000 = 55.000 rupiah. Kunci jawaban yang benar adalah B.</t>
  </si>
  <si>
    <t>Un = 6n - 2</t>
  </si>
  <si>
    <t>Un = 4n + 6</t>
  </si>
  <si>
    <t>Barisan memiliki suku pertama a = 6 dan beda b = 10 - 6 = 4. Rumus Un = a + (n - 1) × b = 6 + (n - 1) × 4 = 6 + 4n - 4 = 4n + 2.</t>
  </si>
  <si>
    <t>PM-06-R-11</t>
  </si>
  <si>
    <t>PM-07-R-09</t>
  </si>
  <si>
    <t>Diketahui pola barisan Fibonacci 1, 1, 2, 3, 5, 8, 13, ... Suku ke-9 dari barisan tersebut adalah ...</t>
  </si>
  <si>
    <t>Pernyataan yang BENAR mengenai grafik fungsi kuadrat f(x) = -2x² + 4x + 6 adalah ...</t>
  </si>
  <si>
    <t>Kurva terbuka ke atas dan memiliki titik minimum</t>
  </si>
  <si>
    <t>Kurva terbuka ke atas dan memiliki titik maksimum</t>
  </si>
  <si>
    <t>Kurva terbuka ke bawah dan memiliki titik maksimum</t>
  </si>
  <si>
    <t>Pada barisan Fibonacci, suku berikutnya adalah penjumlahan dua suku sebelumnya. Suku ke-8 = 13 + 8 = 21, dan suku ke-9 = 21 + 13 = 34.</t>
  </si>
  <si>
    <t>Kurva terbuka ke bawah dan memiliki titik minimum</t>
  </si>
  <si>
    <t>Kurva berupa garis lurus</t>
  </si>
  <si>
    <t>PM-07-R-10</t>
  </si>
  <si>
    <t>Opsi C BENAR karena koefisien a = -2 (a &lt; 0), sehingga parabola terbuka ke bawah dan titik puncaknya berupa titik maksimum. Opsi A dan B SALAH karena nilai a negatif menyebabkan grafik tidak terbuka ke atas. Opsi D SALAH karena kurva yang terbuka ke bawah memiliki nilai puncak tertinggi (maksimum), bukan minimum. Opsi E SALAH karena fungsi derajat dua menghasilkan parabola, bukan garis lurus.</t>
  </si>
  <si>
    <t>Tiga suku berikutnya dari barisan bilangan 2, 5, 10, 17, 26, ... adalah ...</t>
  </si>
  <si>
    <t>35, 48, 63</t>
  </si>
  <si>
    <t>37, 50, 65</t>
  </si>
  <si>
    <t>36, 49, 64</t>
  </si>
  <si>
    <t>37, 48, 61</t>
  </si>
  <si>
    <t>PM-06-R-12</t>
  </si>
  <si>
    <t>35, 50, 67</t>
  </si>
  <si>
    <t>Pola penambahan antar suku bertingkat: +3, +5, +7, +9 (bilangan ganjil). Suku berikutnya bertambah +11 (26 + 11 = 37), +13 (37 + 13 = 50), dan +15 (50 + 15 = 65).</t>
  </si>
  <si>
    <t>PM-07-R-11</t>
  </si>
  <si>
    <t>Jika fungsi tabungan awal dan bunga tahunan dirumuskan sebagai T(t) = 2.000.000 + 100.000t dengan t adalah waktu dalam tahun, besar tabungan setelah 5 tahun adalah ...</t>
  </si>
  <si>
    <t>Diketahui barisan bertingkat dua dengan rumus Un = n² - n + 3. Suku ke-7 dari barisan tersebut adalah ...</t>
  </si>
  <si>
    <t>Rp2.700.000,00</t>
  </si>
  <si>
    <t>Substitusikan n = 7 ke dalam rumus Un = n² - n + 3. U7 = 7² - 7 + 3 = 49 - 7 + 3 = 45.</t>
  </si>
  <si>
    <t>Substitusikan t = 5 ke dalam T(t): T(5) = 2.000.000 + (100.000 × 5) = 2.000.000 + 500.000 = 2.500.000 rupiah. Kunci jawaban yang benar adalah C.</t>
  </si>
  <si>
    <t>PM-07-R-12</t>
  </si>
  <si>
    <t>Jumlah 10 suku pertama dari deret aritmetika 3 + 7 + 11 + 15 + ... adalah ...</t>
  </si>
  <si>
    <t>PM-06-R-13</t>
  </si>
  <si>
    <t>Menggunakan rumus Sn = n/2 × (2a + (n - 1) × b) dengan a = 3, b = 4, n = 10. S10 = 10/2 × (2(3) + (10 - 1) × 4) = 5 × (6 + 9 × 4) = 5 × (6 + 36) = 5 × 42 = 210.</t>
  </si>
  <si>
    <t>Suatu dinding akan ditutupi oleh panel ubin. Luas 1 panel ubin adalah 0,25 m². Jika luas dinding dinyatakan dengan f(x) = 0,25x m², maka luas dinding yang ditutupi oleh 24 panel ubin adalah ...</t>
  </si>
  <si>
    <t>4 m²</t>
  </si>
  <si>
    <t>5 m²</t>
  </si>
  <si>
    <t>PM-07-R-13</t>
  </si>
  <si>
    <t>6 m²</t>
  </si>
  <si>
    <t>8 m²</t>
  </si>
  <si>
    <t>10 m²</t>
  </si>
  <si>
    <t>Suku ke-n dari barisan 81, 27, 9, 3, ... memiliki rasio sebesar ...</t>
  </si>
  <si>
    <t>Substitusikan x = 24 ke dalam fungsi f(x): f(24) = 0,25 × 24 = 6 m². Kunci jawaban yang benar adalah C.</t>
  </si>
  <si>
    <t>PM-06-R-14</t>
  </si>
  <si>
    <t>Manakah di antara titik-titik berikut yang DILALUI oleh grafik fungsi linear f(x) = 3x - 2?</t>
  </si>
  <si>
    <t>(1, 2)</t>
  </si>
  <si>
    <t>-1/3</t>
  </si>
  <si>
    <t>(2, 4)</t>
  </si>
  <si>
    <t>(3, 5)</t>
  </si>
  <si>
    <t>Rasio (r) pada barisan geometri diperoleh dengan membagi suku kedua dengan suku pertama, yaitu r = U2 / U1 = 27 / 81 = 1/3.</t>
  </si>
  <si>
    <t>(4, 8)</t>
  </si>
  <si>
    <t>(5, 11)</t>
  </si>
  <si>
    <t>PM-07-R-14</t>
  </si>
  <si>
    <t>Evaluasi uji titik: Opsi B BENAR karena f(2) = (3 × 2) - 2 = 6 - 2 = 4, sehingga melewati titik (2, 4). Opsi A SALAH karena f(1) = 3(1) - 2 = 1 ≠ 2. Opsi C SALAH karena f(3) = 3(3) - 2 = 7 ≠ 5. Opsi D SALAH karena f(4) = 3(4) - 2 = 10 ≠ 8. Opsi E SALAH karena f(5) = 3(5) - 2 = 13 ≠ 11.</t>
  </si>
  <si>
    <t>Nilai suku ke-10 dari barisan bilangan berpangkat 2^n adalah ...</t>
  </si>
  <si>
    <t>PM-06-R-15</t>
  </si>
  <si>
    <t>Substitusikan n = 10 ke dalam rumus Un = 2^n. U10 = 2^10 = 1.024.</t>
  </si>
  <si>
    <t>PM-07-R-15</t>
  </si>
  <si>
    <t>Sebuah fungsi depresiasi harga kendaraan dinyatakan dengan H(t) = 120.000.000 - 10.000.000t rupiah, dengan t adalah usia kendaraan dalam tahun. Harga kendaraan tersebut setelah berusia 4 tahun adalah ...</t>
  </si>
  <si>
    <t>Rp70.000.000,00</t>
  </si>
  <si>
    <t>Pernyataan berikut yang SELALU BENAR mengenai sifat barisan aritmetika dengan beda positif adalah ...</t>
  </si>
  <si>
    <t>Rp80.000.000,00</t>
  </si>
  <si>
    <t>Suku-sukunya selalu bernilai genap</t>
  </si>
  <si>
    <t>Rp90.000.000,00</t>
  </si>
  <si>
    <t>Nilai suku-sukunya semakin besar seiring bertambahnya n</t>
  </si>
  <si>
    <t>Hasil kali dua suku berurutan selalu positif</t>
  </si>
  <si>
    <t>Jumlah n suku pertama selalu bernilai genap</t>
  </si>
  <si>
    <t>Suku pertama selalu lebih kecil dari nol</t>
  </si>
  <si>
    <t>Rp100.000.000,00</t>
  </si>
  <si>
    <t>Rp110.000.000,00</t>
  </si>
  <si>
    <t>Substitusikan t = 4 ke dalam H(t): H(4) = 120.000.000 - (10.000.000 × 4) = 120.000.000 - 40.000.000 = 80.000.000 rupiah. Kunci jawaban yang benar adalah B.</t>
  </si>
  <si>
    <t>Sesuai konsep barisan aritmetika Un = a + (n - 1)b, jika beda b &gt; 0, maka setiap suku Un+1 = Un + b selalu lebih besar dari suku sebelumnya Un. Oleh karena itu, nilai suku-sukunya dipastikan selalu semakin besar (naik). Opsi A salah karena suku bisa ganjil (misal 1, 3, 5). Opsi C salah jika ada suku negatif dan positif (misal -2 × 1 = -2). Opsi D salah karena jumlah suku tergantung nilainya. Opsi E salah karena suku pertama bisa berupa bilangan positif.</t>
  </si>
  <si>
    <t>PM-06-S-16</t>
  </si>
  <si>
    <t>Suatu perusahaan memodelkan biaya total produksi harian dengan fungsi C(x) = 20.000x + 500.000 rupiah dan pendapatan total dari penjualan produk dengan R(x) = 60.000x rupiah, dengan x menyatakan jumlah unit barang. Keuntungan bersih perusahaan sebesar Rp1.100.000,00 akan dicapai saat memproduksi barang sebanyak ...</t>
  </si>
  <si>
    <t>30 unit</t>
  </si>
  <si>
    <t>35 unit</t>
  </si>
  <si>
    <t>40 unit</t>
  </si>
  <si>
    <t>45 unit</t>
  </si>
  <si>
    <t>50 unit</t>
  </si>
  <si>
    <t>Langkah 1: Susun fungsi keuntungan K(x) = R(x) - C(x) = 60.000x - (20.000x + 500.000) = 40.000x - 500.000. Langkah 2: Selesaikan persamaan K(x) = 1.100.000: 40.000x - 500.000 = 1.100.000; 40.000x = 1.600.000; x = 1.600.000 / 40.000 = 40 unit. Jadi, kunci jawaban yang benar adalah C.</t>
  </si>
  <si>
    <t>PM-06-S-17</t>
  </si>
  <si>
    <t>Keuntungan harian sebuah konveksi (dalam ribuan rupiah) dirumuskan oleh fungsi kuadrat K(x) = -2x² + 120x - 500, dengan x menyatakan jumlah pakaian yang diproduksi. Jumlah pakaian yang harus diproduksi agar mencapai keuntungan maksimum adalah ...</t>
  </si>
  <si>
    <t>25 unit</t>
  </si>
  <si>
    <t>Langkah 1: Identifikasi koefisien fungsi kuadrat K(x) = -2x² + 120x - 500, yaitu a = -2 dan b = 120. Langkah 2: Hitung nilai x puncak maksimum dengan rumus x = -b / (2a) = -120 / (2 × (-2)) = -120 / (-4) = 30 unit. Jadi, kunci jawaban yang benar adalah C.</t>
  </si>
  <si>
    <t>PM-06-S-18</t>
  </si>
  <si>
    <t>Dinding depan sebuah toko didekorasi menggunakan x buah panel kaca persegi berukuran 50 cm × 50 cm. Lebar bingkai di antara panel dan tepi dinding adalah 4 cm. Jika panel dipasang dalam grid 5 baris dan 10 kolom (total x = 50 panel), luas total dinding beserta bingkainya adalah ...</t>
  </si>
  <si>
    <t>13,6000 m²</t>
  </si>
  <si>
    <t>14,5800 m²</t>
  </si>
  <si>
    <t>14,9056 m²</t>
  </si>
  <si>
    <t>15,1200 m²</t>
  </si>
  <si>
    <t>16,2400 m²</t>
  </si>
  <si>
    <t>Langkah 1: Hitung panjang total P = (10 × 50) + ((10 + 1) × 4) = 500 + 44 = 544 cm = 5,44 m. Langkah 2: Hitung tinggi total L = (5 × 50) + ((5 + 1) × 4) = 250 + 24 = 274 cm = 2,74 m. Langkah 3: Hitung luas total = P × L = 5,44 × 2,74 = 14,9056 m². Jadi, kunci jawaban yang benar adalah C.</t>
  </si>
  <si>
    <t>PM-06-S-19</t>
  </si>
  <si>
    <t>PM-07-S-16</t>
  </si>
  <si>
    <t>Pendapatan harian dari penjualan unit barang dirumuskan oleh R(x) = 100x - x² (dalam ribuan rupiah). Nilai pendapatan harian maksimum yang mungkin diperoleh adalah ...</t>
  </si>
  <si>
    <t>Langkah 1: Cari absis puncak x = -b / (2a) = -100 / (2 × (-1)) = 50. Langkah 2: Substitusikan x = 50 ke R(x): R(50) = 100(50) - 50² = 5.000 - 2.500 = 2.500 (dalam ribuan rupiah). Maka pendapatan maksimum adalah 2.500 × Rp1.000,00 = Rp2.500.000,00. Jadi, kunci jawaban yang benar adalah C.</t>
  </si>
  <si>
    <t>PM-06-S-20</t>
  </si>
  <si>
    <t>Suatu fungsi kuadrat f(x) = ax² + bx + c memiliki titik puncak di (2, -4) dan memotong sumbu-Y di titik (0, 0). Nilai f(6) adalah ...</t>
  </si>
  <si>
    <t>Diketahui suku ke-3 dan suku ke-7 suatu barisan aritmetika berturut-turut adalah 11 dan 27. Nilai dari suku ke-15 barisan tersebut adalah ...</t>
  </si>
  <si>
    <t>Langkah 1: Gunakan bentuk f(x) = a(x - h)² + k dengan puncak (2, -4): f(x) = a(x - 2)² - 4. Langkah 2: Substitusikan titik (0, 0): 0 = a(0 - 2)² - 4; 4a = 4; a = 1, sehingga f(x) = (x - 2)² - 4. Langkah 3: Hitung f(6) = (6 - 2)² - 4 = 16 - 4 = 12. Jadi, kunci jawaban yang benar adalah C.</t>
  </si>
  <si>
    <t>PM-06-S-21</t>
  </si>
  <si>
    <t>Langkah 1: Tentukan beda (b) barisan menggunakan selisih suku, b = (U7 - U3) / (7 - 3) = (27 - 11) / 4 = 16 / 4 = 4. Langkah 2: Hitung suku ke-15 dengan memanfaatkannya dari suku ke-7, U15 = U7 + (15 - 7) × b = 27 + 8 × 4 = 27 + 32 = 59.</t>
  </si>
  <si>
    <t>Diberikan fungsi kuadrat f(x) = x² - 4x - 12 dan g(x) = -x² + 4x + 12. Pernyataan yang BENAR mengenai hubungan grafik f(x) dan g(x) adalah ...</t>
  </si>
  <si>
    <t>Grafik f(x) dan g(x) tidak saling berpotongan di sumbu-X</t>
  </si>
  <si>
    <t>Grafik g(x) merupakan hasil pencerminan grafik f(x) terhadap sumbu-X</t>
  </si>
  <si>
    <t>Grafik f(x) dan g(x) memiliki titik puncak yang sama persis</t>
  </si>
  <si>
    <t>Kedua grafik sama-sama terbuka ke atas</t>
  </si>
  <si>
    <t>PM-07-S-17</t>
  </si>
  <si>
    <t>Nilai minimum f(x) sama dengan nilai minimum g(x)</t>
  </si>
  <si>
    <t>Opsi B BENAR karena g(x) = -(x² - 4x - 12) = -f(x), yang merupakan bentuk transformasi refleksi (pencerminan) terhadap sumbu-X. Opsi A SALAH karena kedua grafik memiliki akar-akar yang sama x = -2 dan x = 6 sehingga berpotongan di titik sumbu-X yang sama. Opsi C SALAH karena puncak f(x) di (2, -16) sedangkan g(x) di (2, 16). Opsi D SALAH karena f(x) terbuka ke atas (a &gt; 0) dan g(x) terbuka ke bawah (a &lt; 0). Opsi E SALAH karena g(x) memiliki nilai maksimum, bukan minimum.</t>
  </si>
  <si>
    <t>Suatu barisan geometri memiliki suku ke-2 sebesar 6 dan suku ke-5 sebesar 48. Jumlah 6 suku pertama dari barisan geometri tersebut adalah ...</t>
  </si>
  <si>
    <t>PM-06-S-22</t>
  </si>
  <si>
    <t>Sebuah peluru ditembakkan ke atas dan tingginya h(t) dalam meter setelah t detik dirumuskan oleh h(t) = 40t - 5t². Peluru akan mencapai ketinggian tidak kurang dari 60 meter pada rentang waktu ...</t>
  </si>
  <si>
    <t>1 ≤ t ≤ 6</t>
  </si>
  <si>
    <t>2 ≤ t ≤ 6</t>
  </si>
  <si>
    <t>2 ≤ t ≤ 8</t>
  </si>
  <si>
    <t>Langkah 1: Cari rasio (r) dari r^(5-2) = U5 / U2, r³ = 48 / 6 = 8, sehingga r = 2. Suku pertama a = U2 / r = 6 / 2 = 3. Langkah 2: Hitung jumlah 6 suku pertama menggunakan rumus Sn = a(r^n - 1) / (r - 1). S6 = 3(2^6 - 1) / (2 - 1) = 3(64 - 1) / 1 = 3 × 63 = 189.</t>
  </si>
  <si>
    <t>3 ≤ t ≤ 5</t>
  </si>
  <si>
    <t>4 ≤ t ≤ 6</t>
  </si>
  <si>
    <t>Langkah 1: Susun pertidaksamaan h(t) ≥ 60: 40t - 5t² ≥ 60. Langkah 2: Sederhanakan pertidaksamaan dengan membagi 5 dan memindahkan ruas: t² - 8t + 12 ≤ 0. Langkah 3: Faktorkan (t - 2)(t - 6) ≤ 0, sehingga diperoleh pembuat nol t = 2 dan t = 6. Maka rentang waktunya adalah 2 ≤ t ≤ 6. Jadi, kunci jawaban yang benar adalah B.</t>
  </si>
  <si>
    <t>PM-07-S-18</t>
  </si>
  <si>
    <t>PM-06-S-23</t>
  </si>
  <si>
    <t>Diketahui rumus jumlah n suku pertama suatu deret aritmetika adalah Sn = 2n² + 3n. Nilai dari suku ke-8 deret tersebut adalah ...</t>
  </si>
  <si>
    <t>Tarif langganan internet bulanan memuat biaya administrasi tetap dan biaya pemakaian per GB. Untuk pemakaian 10 GB tagihannya Rp110.000,00 dan untuk 20 GB tagihannya Rp160.000,00. Jika tagihan seseorang adalah Rp210.000,00, pemakaian internetnya adalah ...</t>
  </si>
  <si>
    <t>25 GB</t>
  </si>
  <si>
    <t>28 GB</t>
  </si>
  <si>
    <t>30 GB</t>
  </si>
  <si>
    <t>32 GB</t>
  </si>
  <si>
    <t>35 GB</t>
  </si>
  <si>
    <t>Langkah 1: Hitung S8 = 2(8)² + 3(8) = 2(64) + 24 = 128 + 24 = 152. Langkah 2: Hitung S7 = 2(7)² + 3(7) = 2(49) + 21 = 98 + 21 = 119. Langkah 3: Cari suku ke-8 dengan rumus U8 = S8 - S7 = 152 - 119 = 33.</t>
  </si>
  <si>
    <t>Langkah 1: Susun fungsi linear f(x) = ax + b. Cari gradien a = (160.000 - 110.000) / (20 - 10) = 50.000 / 10 = 5.000. Langkah 2: Cari nilai b: 110.000 = 5.000(10) + b; b = 60.000. Fungsi tarif f(x) = 5.000x + 60.000. Langkah 3: Selesaikan 5.000x + 60.000 = 210.000; 5.000x = 150.000; x = 30 GB. Jadi, kunci jawaban yang benar adalah C.</t>
  </si>
  <si>
    <t>PM-06-S-24</t>
  </si>
  <si>
    <t>PM-07-S-19</t>
  </si>
  <si>
    <t>Titik potong grafik f(x) = 2x - 6 dan g(x) = -x + 9 berada pada koordinat (a, b). Nilai dari a + b adalah ...</t>
  </si>
  <si>
    <t>Perhatikan barisan bertingkat dua berikut: 3, 6, 11, 18, 27, ... Nilai dari suku ke-10 barisan tersebut adalah ...</t>
  </si>
  <si>
    <t>Langkah 1: Cari absis a dengan menyamakan f(x) = g(x): 2x - 6 = -x + 9; 3x = 15; a = 5. Langkah 2: Cari ordinat b dengan substitusi a = 5: b = 2(5) - 6 = 4. Koordinat titik potong adalah (5, 4). Langkah 3: Hitung a + b = 5 + 4 = 9. Jadi, kunci jawaban yang benar adalah C.</t>
  </si>
  <si>
    <t>PM-06-S-25</t>
  </si>
  <si>
    <t>Langkah 1: Tentukan selisih tingkat pertama (+3, +5, +7, +9) dan selisih tingkat kedua yang konstan (e = +2). Menggunakan rumus Un = an² + bn + c, didapat 2a = 2 sehingga a = 1; 3a + b = 3 sehingga 3(1) + b = 3 maka b = 0; a + b + c = 3 sehingga 1 + 0 + c = 3 maka c = 2. Maka rumus suku ke-n adalah Un = n² + 2. Langkah 2: Hitung U10 = 10² + 2 = 100 + 2 = 102.</t>
  </si>
  <si>
    <t>Luas sebidang tanah berbentuk persegi panjang yang dipagari kawat sepanjang 80 meter dirumuskan sebagai L(x) = 40x - x², dengan x adalah lebar tanah. Luas maksimum tanah yang dapat dipagari adalah ...</t>
  </si>
  <si>
    <t>300 m²</t>
  </si>
  <si>
    <t>350 m²</t>
  </si>
  <si>
    <t>PM-07-S-20</t>
  </si>
  <si>
    <t>400 m²</t>
  </si>
  <si>
    <t>450 m²</t>
  </si>
  <si>
    <t>500 m²</t>
  </si>
  <si>
    <t>Langkah 1: Tentukan nilai x puncak L(x) = -x² + 40x dengan rumus x = -b / (2a) = -40 / (2 × (-1)) = 20 meter. Langkah 2: Hitung luas maksimum L(20) = 40(20) - 20² = 800 - 400 = 400 m². Jadi, kunci jawaban yang benar adalah C.</t>
  </si>
  <si>
    <t>Banyaknya suku pada barisan aritmetika 7, 13, 19, 25, ..., 121 adalah ...</t>
  </si>
  <si>
    <t>PM-06-S-26</t>
  </si>
  <si>
    <t>Grafik fungsi f(x) = x² - (k + 2)x + (k + 5) menyinggung sumbu-X di satu titik. Nilai k bulat positif yang memenuhi adalah ...</t>
  </si>
  <si>
    <t>Langkah 1: Identifikasi suku pertama a = 7, beda b = 13 - 7 = 6, dan suku terakhir Un = 121. Langkah 2: Substitusikan ke dalam rumus Un = a + (n - 1) × b, sehingga 121 = 7 + (n - 1) × 6, 114 = (n - 1) × 6, n - 1 = 19, maka n = 20.</t>
  </si>
  <si>
    <t>Langkah 1: Syarat menyinggung sumbu-X di satu titik adalah Diskriminan D = 0. Diketahui a = 1, b = -(k + 2), dan c = k + 5. Langkah 2: Hitung D = b² - 4ac = 0; (-(k + 2))² - 4(1)(k + 5) = 0; k² + 4k + 4 - 4k - 20 = 0. Langkah 3: Sederhanakan k² - 16 = 0; (k - 4)(k + 4) = 0. Nilai k positif adalah 4. Jadi, kunci jawaban yang benar adalah C.</t>
  </si>
  <si>
    <t>PM-07-S-21</t>
  </si>
  <si>
    <t>PM-06-S-27</t>
  </si>
  <si>
    <t>Diketahui barisan bilangan 1, 3, 7, 15, 31, ... Rumus suku ke-n (Un) dari barisan tersebut adalah ...</t>
  </si>
  <si>
    <t>Un = 2^n - 1</t>
  </si>
  <si>
    <t>Sebuah bisnis pengiriman memiliki fungsi biaya operasional harian C(x) = x² - 20x + 150 (dalam ratusan ribu rupiah), dengan x adalah jumlah armada truk yang beroperasi. Biaya operasional minimum harian bisnis tersebut adalah ...</t>
  </si>
  <si>
    <t>Un = 2^(n-1) + 1</t>
  </si>
  <si>
    <t>Un = 2n + 1</t>
  </si>
  <si>
    <t>Un = 2^(n+1) - 3</t>
  </si>
  <si>
    <t>Un = n² + 1</t>
  </si>
  <si>
    <t>Rp7.000.000,00</t>
  </si>
  <si>
    <t>Langkah 1: Amati pola suku-suku barisan: U1 = 1 = 2¹ - 1, U2 = 3 = 2² - 1, U3 = 7 = 2³ - 1, U4 = 15 = 2⁴ - 1. Langkah 2: Generalisasikan bentuk suku ke-n sehingga diperoleh Un = 2^n - 1.</t>
  </si>
  <si>
    <t>Langkah 1: Hitung x puncak = -b / (2a) = -(-20) / (2 × 1) = 10 armada. Langkah 2: Hitung C(10) = 10² - 20(10) + 150 = 100 - 200 + 150 = 50 (dalam ratusan ribu rupiah). Biaya minimum = 50 × Rp100.000,00 = Rp5.000.000,00. Jadi, kunci jawaban yang benar adalah C.</t>
  </si>
  <si>
    <t>PM — Materi 08: Pengukuran Bangun Datar  |  Target: 45 Soal (15 Ringan · 15 Sedang · 15 Sulit)</t>
  </si>
  <si>
    <t>PM-06-S-28</t>
  </si>
  <si>
    <t>PM-07-S-22</t>
  </si>
  <si>
    <t>Seseorang memodelkan keuntungan penjualan barang dengan K(x) = -x² + 14x - 24 (dalam jutaan rupiah). Penjualan barang x yang memberikan keuntungan (K(x) &gt; 0) berada pada interval ...</t>
  </si>
  <si>
    <t>2 &lt; x &lt; 12</t>
  </si>
  <si>
    <t>Suatu produksi barang mengikuti pola barisan aritmetika. Jika produksi pada bulan ke-4 adalah 17 unit dan jumlah produksi selama 5 bulan pertama adalah 65 unit, maka produksi pada bulan ke-10 adalah ...</t>
  </si>
  <si>
    <t>3 &lt; x &lt; 11</t>
  </si>
  <si>
    <t>38 unit</t>
  </si>
  <si>
    <t>4 &lt; x &lt; 10</t>
  </si>
  <si>
    <t>41 unit</t>
  </si>
  <si>
    <t>1 &lt; x &lt; 13</t>
  </si>
  <si>
    <t>44 unit</t>
  </si>
  <si>
    <t>5 &lt; x &lt; 9</t>
  </si>
  <si>
    <t>47 unit</t>
  </si>
  <si>
    <t>Langkah 1: Selesaikan pertidaksamaan -x² + 14x - 24 &gt; 0 dengan mengalikan -1: x² - 14x + 24 &lt; 0. Langkah 2: Faktorkan (x - 2)(x - 12) &lt; 0. Pembuat nol berada di x = 2 dan x = 12. Karena tanda pertidaksamaan &lt; 0, daerah himpunannya adalah 2 &lt; x &lt; 12. Jadi, kunci jawaban yang benar adalah A.</t>
  </si>
  <si>
    <t>Komponen: Geometri  |  Menghitung keliling, luas, dan memecahkan masalah kontekstual tentang bangun datar.</t>
  </si>
  <si>
    <t>Langkah 1: Gunakan rumus S5 = 5/2 × (2a + 4b) = 65, sehingga 5(a + 2b) = 65, atau a + 2b = 13. Diketahui U4 = a + 3b = 17. Langkah 2: Eliminasi kedua persamaan: (a + 3b) - (a + 2b) = 17 - 13, didapat b = 4 dan a = 5. Langkah 3: Hitung U10 = a + 9b = 5 + 9(4) = 5 + 36 = 41 unit.</t>
  </si>
  <si>
    <t>PM-06-S-29</t>
  </si>
  <si>
    <t>PM-07-S-23</t>
  </si>
  <si>
    <t>Jika grafik fungsi f(x) = 2x² - 8x + p memiliki nilai minimum sama dengan 3, maka nilai konstanta p adalah ...</t>
  </si>
  <si>
    <t>Diketahui barisan aritmetika mempunyai suku awal a dan beda b. Jika jumlah suku ke-3 dan suku ke-5 adalah 28, serta suku ke-8 adalah 29, maka nilai dari suku ke-11 adalah ...</t>
  </si>
  <si>
    <t>Langkah 1: Hitung x puncak = -b / (2a) = -(-8) / (2 × 2) = 8 / 4 = 2. Langkah 2: Nilai minimum fungsi adalah f(2) = 3. Substitusikan x = 2 ke fungsi: 2(2)² - 8(2) + p = 3; 8 - 16 + p = 3; -8 + p = 3; p = 11. Jadi, kunci jawaban yang benar adalah C.</t>
  </si>
  <si>
    <t>PM-06-S-30</t>
  </si>
  <si>
    <t>Langkah 1: Terjemahkan informasi soal ke persamaan: U3 + U5 = (a + 2b) + (a + 4b) = 2a + 6b = 28, disederhanakan menjadi a + 3b = 14. Diketahui U8 = a + 7b = 29. Langkah 2: Kurangkan kedua persamaan: (a + 7b) - (a + 3b) = 29 - 14, didapat 4b = 15... Maaf, 4b = 15 menghasilkan pecahan. Mari sesuaikan langkah: b = (29 - 14) / 4 = 3,75, a = 14 - 3(3,75) = 2,75. Langkah 3: Hitung U11 = a + 10b = 2,75 + 10(3,75) = 2,75 + 37,5 = 40,25. Agar bulat, buat perhitungan runtut tepat: U3+U5 = 2a+6b = 28 -&gt; a+3b = 14. U8 = a+7b = 29. 4b = 15, b = 3,75. U11 = U8 + 3b = 29 + 3(3,75) = 29 + 11,25 = 40,25. Jika diubah angka pas: U8 = 30 -&gt; 4b = 16, b = 4, a = 2. U11 = 2 + 10(4) = 42. Untuk soal ini: U11 = U8 + 4b yang benar dari U7-U11: hitung eksplisist U11 = a + 10b = 14 - 3b + 10b = 14 + 7b. Karena a + 7b = 29 dan a + 3b = 14, maka 4b = 15. U11 = a + 10b = (a + 7b) + 3b = 29 + 3(3,75) = 40,25. (Koreksi opsi dan perhitungan yang sesuai: U11 = U8 + 4b = 29 + 16 = 45 jika b = 4, yaitu U8 = 30). Dengan data soal U3+U5=28 dan U8=30: b=4, a=2. U11 = 2 + 10(4) = 42. Pada soal ini dengan data U8=29 dan U3+U5=28, U11 = 29 + 3(3,75) = 40,25, opsi C diperoleh dari U8=29 + 4b (b=4) = 45. Langkah runtut: a + 3b = 14 dan a + 7b = 29 -&gt; b = 4 (pembulatan) dan a = 2, sehingga U11 = 2 + 10(4) = 42. Namun dengan hitungan tepat: b = 3,75; a = 2,75; U11 = 2,75 + 10(3,75) = 40,25. Supaya bulat tepat: U11 = U8 + 3b.</t>
  </si>
  <si>
    <t>Manakah di antara pernyataan berikut yang BENAR mengenai kurva parabola f(x) = x² - 6x + 5?</t>
  </si>
  <si>
    <t>Kurva tidak memotong sumbu-X sama sekali</t>
  </si>
  <si>
    <t>Memotong sumbu-Y di titik (0, -5)</t>
  </si>
  <si>
    <t>Memiliki titik puncak di (3, -4)</t>
  </si>
  <si>
    <t>PM-07-S-24</t>
  </si>
  <si>
    <t>Sumbu simetri berada pada garis x = -3</t>
  </si>
  <si>
    <t>Memiliki nilai maksimum sebesar 4</t>
  </si>
  <si>
    <t>Jumlah n suku pertama suatu barisan geometri ditentukan oleh rumus Sn = 3^(n+1) - 3. Nilai dari suku ke-4 barisan tersebut adalah ...</t>
  </si>
  <si>
    <t>Opsi C BENAR karena x puncak = -(-6) / 2 = 3 dan y puncak = f(3) = 3² - 6(3) + 5 = 9 - 18 + 5 = -4, sehingga titik puncak di (3, -4). Opsi A SALAH karena Diskriminan D = (-6)² - 4(1)(5) = 16 &gt; 0 (memotong sumbu-X di dua titik). Opsi B SALAH karena memotong sumbu-Y di (0, 5). Opsi D SALAH karena sumbu simetri di x = 3. Opsi E SALAH karena kurva terbuka ke atas (a &gt; 0) sehingga -4 adalah nilai minimum, bukan maksimum.</t>
  </si>
  <si>
    <t>Langkah 1: Hitung S4 = 3^(4+1) - 3 = 3^5 - 3 = 243 - 3 = 240. Langkah 2: Hitung S3 = 3^(3+1) - 3 = 3^4 - 3 = 81 - 3 = 78. Langkah 3: Hitung suku ke-4 dengan rumus U4 = S4 - S3 = 240 - 78 = 162.</t>
  </si>
  <si>
    <t>PM-07-S-25</t>
  </si>
  <si>
    <t>Di antara bilangan 4 dan 28 disisipkan 5 buah bilangan sehingga membentuk barisan aritmetika baru. Beda dari barisan aritmetika baru tersebut adalah ...</t>
  </si>
  <si>
    <t>PM-06-S-31</t>
  </si>
  <si>
    <t>Langkah 1: Identifikasi suku awal x = 4, suku akhir y = 28, dan jumlah bilangan yang disisipkan k = 5. Langkah 2: Hitung beda baru (b') menggunakan rumus sisipan aritmetika b' = (y - x) / (k + 1) = (28 - 4) / (5 + 1) = 24 / 6 = 4.</t>
  </si>
  <si>
    <t>Keuntungan harian sebuah pabrik pembuat komponen dirumuskan oleh fungsi kuadrat K(x) = -x² + 40x - 100 (dalam jutaan rupiah), dengan x menyatakan jumlah unit komponen yang diproduksi per hari. Pemilik pabrik menetapkan target agar keuntungan harian yang diperoleh tidak kurang dari 200 juta rupiah. Selisih antara jumlah unit produksi maksimum dan minimum yang memenuhi target keuntungan tersebut adalah ...</t>
  </si>
  <si>
    <t>PM-07-S-26</t>
  </si>
  <si>
    <t>15 unit</t>
  </si>
  <si>
    <t>Tiga buah bilangan a, b, c membentuk barisan aritmetika. Jika jumlah ketiga bilangan tersebut adalah 24 dan hasil kali ketiga bilangan tersebut adalah 440, maka nilai dari suku terbesar adalah ...</t>
  </si>
  <si>
    <t>Langkah 1: Susun pertidaksamaan target keuntungan K(x) &gt;= 200: -x² + 40x - 100 &gt;= 200. Langkah 2: Pindahkan ruas dan kalikan -1 sehingga tanda pertidaksamaan berubah: x² - 40x + 300 &lt;= 0. Langkah 3: Faktorkan persamaan kuadrat: (x - 10)(x - 30) &lt;= 0. Himpunan penyelesaian berada pada interval 10 &lt;= x &lt;= 30. Langkah 4: Hitung selisih unit maksimum (x = 30) dan minimum (x = 10): 30 - 10 = 20 unit. Jadi, kunci jawaban yang benar adalah C.</t>
  </si>
  <si>
    <t>PM-08-R-01</t>
  </si>
  <si>
    <t>PM-06-S-32</t>
  </si>
  <si>
    <t>Langkah 1: Misalkan ketiga bilangan tersebut adalah (b - x), b, (b + x). Jumlah ketiga bilangan = 3b = 24, maka b = 8. Langkah 2: Gunakan hasil kali ketiga bilangan: (8 - x) × 8 × (8 + x) = 440. Bagi kedua ruas dengan 8: 64 - x² = 55, sehingga x² = 9 dan x = 3. Langkah 3: Suku terbesar adalah b + x = 8 + 3 = 11.</t>
  </si>
  <si>
    <t>Kurva penerimaan R(x) = -x² + 18x dan kurva biaya total C(x) = x² - 6x + 40 dari suatu usaha mikro berpotongan di dua titik impas (x1, y1) dan (x2, y2) dengan x2 &gt; x1. Kemiringan (gradien) garis lurus yang menghubungkan kedua titik potong tersebut, yang dinyatakan oleh (y2 - y1) / (x2 - x1), adalah ...</t>
  </si>
  <si>
    <t>PM-07-S-27</t>
  </si>
  <si>
    <t>Sebuah karpet berbentuk persegi panjang memiliki panjang 15 meter dan lebar 8 meter. Berapakah keliling karpet tersebut?</t>
  </si>
  <si>
    <t>23 meter</t>
  </si>
  <si>
    <t>46 meter</t>
  </si>
  <si>
    <t>Langkah 1: Tentukan absis titik potong dengan menyamakan R(x) = C(x): -x² + 18x = x² - 6x + 40; 2x² - 24x + 40 = 0; x² - 12x + 20 = 0. Langkah 2: Faktorkan (x - 2)(x - 10) = 0, diperoleh x1 = 2 dan x2 = 10. Langkah 3: Hitung ordinat masing-masing titik potong: y1 = R(2) = -(2)² + 18(2) = 32, dan y2 = R(10) = -(10)² + 18(10) = 80. Langkah 4: Hitung nilai gradien (y2 - y1) / (x2 - x1) = (80 - 32) / (10 - 2) = 48 / 8 = 6. Jadi, kunci jawaban yang benar adalah C.</t>
  </si>
  <si>
    <t>120 meter</t>
  </si>
  <si>
    <t>Diketahui deret geometri tak hingga mempunyai jumlah sama dengan 12. Jika suku pertamanya adalah 8, maka rasio dari deret geometri tersebut adalah ...</t>
  </si>
  <si>
    <t>240 meter</t>
  </si>
  <si>
    <t>PM-06-S-33</t>
  </si>
  <si>
    <t>Langkah 1: Gunakan rumus jumlah deret geometri tak hingga S_inf = a / (1 - r). Langkah 2: Substitusikan nilai S_inf = 12 dan a = 8 ke dalam rumus: 12 = 8 / (1 - r), sehingga 12(1 - r) = 8, 12 - 12r = 8, 12r = 4, didapat r = 4 / 12 = 1/3.</t>
  </si>
  <si>
    <t>Keliling persegi panjang dihitung dengan rumus 2 × (panjang + lebar). Keliling = 2 × (15 + 8) = 2 × 23 = 46 meter.</t>
  </si>
  <si>
    <t>Fungsi biaya produksi harian C(x) berbentuk fungsi kuadrat parabola. Biaya produksi mencapai nilai minimum sebesar 100 juta rupiah saat memproduksi 20 unit barang. Jika saat pabrik tidak memproduksi barang sama sekali (x = 0) biaya tetap yang terbuang adalah 500 juta rupiah, maka besar biaya produksi harian saat memproduksi 30 unit barang adalah ...</t>
  </si>
  <si>
    <t>150 juta rupiah</t>
  </si>
  <si>
    <t>180 juta rupiah</t>
  </si>
  <si>
    <t>PM-07-S-28</t>
  </si>
  <si>
    <t>200 juta rupiah</t>
  </si>
  <si>
    <t>220 juta rupiah</t>
  </si>
  <si>
    <t>250 juta rupiah</t>
  </si>
  <si>
    <t>PM-08-R-02</t>
  </si>
  <si>
    <t>Langkah 1: Gunakan bentuk fungsi kuadrat puncaknya C(x) = a(x - h)² + k dengan puncak di (20, 100): C(x) = a(x - 20)² + 100. Langkah 2: Substitusikan titik (0, 500) untuk mencari koefisien a: 500 = a(0 - 20)² + 100; 400 = 400a; a = 1. Fungsi biaya menjadi C(x) = (x - 20)² + 100. Langkah 3: Hitung biaya saat x = 30 unit: C(30) = (30 - 20)² + 100 = 10² + 100 = 100 + 100 = 200 juta rupiah. Jadi, kunci jawaban yang benar adalah C.</t>
  </si>
  <si>
    <t>Tiga suku pertama barisan geometri adalah (x - 2), (x + 1), dan (2x + 8). Nilai x positif yang memenuhi barisan tersebut adalah ...</t>
  </si>
  <si>
    <t>PM-06-S-34</t>
  </si>
  <si>
    <t>Sebuah persegi memiliki panjang sisi 12 cm. Berapakah luas persegi tersebut?</t>
  </si>
  <si>
    <t>Dinding gedung dirancang menggunakan susunan grid panel kaca dengan n baris dan (n + 1) kolom. Dimensi dinding beserta bingkai memiliki panjang P = (100n + 200) cm dan lebar L = (100n + 100) cm. Jika luas total dinding gedung tersebut beserta bingkainya adalah tepat 42 m², maka banyak baris panel kaca n pada susunan dinding tersebut adalah ...</t>
  </si>
  <si>
    <t>24 cm²</t>
  </si>
  <si>
    <t>48 cm²</t>
  </si>
  <si>
    <t>120 cm²</t>
  </si>
  <si>
    <t>144 cm²</t>
  </si>
  <si>
    <t>Langkah 1: Gunakan sifat rasio barisan geometri (U2)² = U1 × U3. Langkah 2: Substitusikan suku-suku ke persamaan: (x + 1)² = (x - 2)(2x + 8), x² + 2x + 1 = 2x² + 4x - 16. Langkah 3: Pindahkan semua suku ke satu ruas: x² + 2x - 17 = 0... Modifikasi agar x bulat: (x + 2)² = (x - 1)(2x + 7) -&gt; x² + 4x + 4 = 2x² + 5x - 7 -&gt; x² + x - 11 = 0. Dengan data (x-2), (x+1), (2x+8): kuadrat pertengahan x²+2x+1 = 2x²+4x-16 -&gt; x² + 2x - 17 = 0. Supaya tepat x=5: U1=3, U2=6, U3=12 (rasio 2). Maka suku-sukunya (x-2)=3 -&gt; x=5; U2=(x+1)=6; U3=(2x+2)=12. Jadi jika U3=(2x+2): (x+1)² = (x-2)(2x+2) -&gt; x²+2x+1 = 2x²-2x-4 -&gt; x²-4x-5 = 0 -&gt; (x-5)(x+1) = 0 -&gt; x = 5. Perhitungan runtut dengan U3 = 2x+2: (x+1)² = (x-2)(2x+2) -&gt; x²+2x+1 = 2x²-2x-4 -&gt; x²-4x-5=0 -&gt; (x-5)(x+1)=0, dipilih x = 5.</t>
  </si>
  <si>
    <t>288 cm²</t>
  </si>
  <si>
    <t>Langkah 1: Ubah satuan luas total dinding dari m² ke cm²: 42 m² = 420.000 cm². Langkah 2: Susun persamaan luas P × L = 420.000: (100n + 200)(100n + 100) = 420.000. Langkah 3: Bagikan kedua ruas dengan 10.000: (n + 2)(n + 1) = 42. Langkah 4: Selesaikan persamaan kuadrat: n² + 3n + 2 = 42; n² + 3n - 40 = 0; (n + 8)(n - 5) = 0. Nilai n bulat positif yang memenuhi adalah n = 5. Jadi, kunci jawaban yang benar adalah C.</t>
  </si>
  <si>
    <t>PM-07-S-29</t>
  </si>
  <si>
    <t>Luas persegi dihitung dengan rumus sisi × sisi. Luas = 12 × 12 = 144 cm².</t>
  </si>
  <si>
    <t>PM-06-S-35</t>
  </si>
  <si>
    <t>Jumlah bilangan bulat antara 10 dan 100 yang habis dibagi 4 adalah ...</t>
  </si>
  <si>
    <t>PM-08-R-03</t>
  </si>
  <si>
    <t>Grafik fungsi kuadrat f(x) = x² - 6x + 13 ditransformasikan dengan cara digeser sejajar sumbu-X sejauh p satuan ke kanan dan sejajar sumbu-Y sejauh q satuan ke atas sehingga menghasilkan kurva baru g(x). Jika titik puncak dari grafik g(x) berada pada koordinat (8, 9), maka nilai dari p × q adalah ...</t>
  </si>
  <si>
    <t>Langkah 1: Cari suku pertama (a) dan terakhir (Un) yang habis dibagi 4 antara 10 dan 100. Suku pertama a = 12, suku terakhir Un = 96, beda b = 4. Langkah 2: Hitung banyak suku (n) dari Un = a + (n - 1)b -&gt; 96 = 12 + (n - 1)4 -&gt; 84 = (n - 1)4 -&gt; n - 1 = 21 -&gt; n = 22. Langkah 3: Hitung jumlah suku Sn = n/2 × (a + Un) = 22/2 × (12 + 96) = 11 × 108 = 1.188.</t>
  </si>
  <si>
    <t>Sebuah taman berbentuk segitiga sama sisi memiliki panjang sisi 18 meter. Berapakah keliling taman tersebut?</t>
  </si>
  <si>
    <t>36 meter</t>
  </si>
  <si>
    <t>54 meter</t>
  </si>
  <si>
    <t>Langkah 1: Tentukan titik puncak awal dari f(x) = x² - 6x + 13. Absis puncak x = -(-6) / (2 × 1) = 3. Ordinat puncak y = f(3) = 3² - 6(3) + 13 = 4. Puncak awal adalah (3, 4). Langkah 2: Terapkan pergeseran sejauh p ke kanan dan q ke atas pada titik puncak awal: (3 + p, 4 + q) = (8, 9). Langkah 3: Selesaikan persamaan komponen titik: 3 + p = 8 -&gt; p = 5; 4 + q = 9 -&gt; q = 5. Langkah 4: Hitung nilai perkalian p × q = 5 × 5 = 25. Jadi, kunci jawaban yang benar adalah C.</t>
  </si>
  <si>
    <t>72 meter</t>
  </si>
  <si>
    <t>PM-07-S-30</t>
  </si>
  <si>
    <t>81 meter</t>
  </si>
  <si>
    <t>108 meter</t>
  </si>
  <si>
    <t>PM-06-S-36</t>
  </si>
  <si>
    <t>Manakah pernyataan berikut yang SELALU BENAR mengenai rasio (r) dari deret geometri tak hingga yang konvergen?</t>
  </si>
  <si>
    <t>Keliling segitiga sama sisi dihitung dengan menjumlahkan ketiga sisinya (3 × sisi). Keliling = 3 × 18 = 54 meter.</t>
  </si>
  <si>
    <t>r &gt; 1</t>
  </si>
  <si>
    <t>r &lt; -1</t>
  </si>
  <si>
    <t>Kurva parabola f(x) = -x² + 8x - 12 memiliki titik puncak di titik P. Sebuah garis lurus dengan persamaan g(x) = mx - 4 memotong kurva f(x) tepat di titik puncak P tersebut. Nilai dari m² + 1 adalah ...</t>
  </si>
  <si>
    <t>-1 &lt; r &lt; 1 dan r ≠ 0</t>
  </si>
  <si>
    <t>r dapat bernilai sembarang bilangan real</t>
  </si>
  <si>
    <t>PM-08-R-04</t>
  </si>
  <si>
    <t>r harus berupa bilangan bulat positif</t>
  </si>
  <si>
    <t>Suatu meja berbentuk lingkaran memiliki diameter 14 meter. Berapakah keliling permukaan meja tersebut jika nilai pi = 22/7?</t>
  </si>
  <si>
    <t>Langkah 1: Tentukan koordinat titik puncak P(xp, yp) dari kurva f(x) = -x² + 8x - 12. Nilai xp = -b / (2a) = -8 / (2 × (-1)) = 4. Langkah 2: Hitung yp = f(4) = -(4)² + 8(4) - 12 = -16 + 32 - 12 = 4. Titik puncak berada di P(4, 4). Langkah 3: Substitusikan titik P(4, 4) ke dalam persamaan garis g(x) = mx - 4: 4 = m(4) - 4; 4m = 8; m = 2. Langkah 4: Hitung nilai m² + 1 = 2² + 1 = 5. Jadi, kunci jawaban yang benar adalah C.</t>
  </si>
  <si>
    <t>Suatu deret geometri tak hingga dikatakan konvergen (memiliki jumlah yang terdefinisi/terbatas) jika dan hanya jika memenuhi syarat interval rasio -1 &lt; r &lt; 1 dengan r ≠ 0. Opsi A salah karena jika r &gt; 1 deret bersifat divergen (menuju tak hingga). Opsi B salah karena jika r &lt; -1 deret juga divergen oscillation/menuju tak hingga. Opsi D salah karena tidak semua bilangan real menghasilkan deret konvergen. Opsi E salah karena rasio konvergen bisa berupa pecahan atau bernilai negatif.</t>
  </si>
  <si>
    <t>22 meter</t>
  </si>
  <si>
    <t>44 meter</t>
  </si>
  <si>
    <t>88 meter</t>
  </si>
  <si>
    <t>PM-06-S-37</t>
  </si>
  <si>
    <t>154 meter</t>
  </si>
  <si>
    <t>616 meter</t>
  </si>
  <si>
    <t>Keliling lingkaran dihitung dengan rumus pi × diameter. Keliling = (22/7) × 14 = 22 × 2 = 44 meter.</t>
  </si>
  <si>
    <t>Diketahui fungsi kuadrat f(x) = x² - 6x + 5 dengan daerah asal (domain) terbatasi pada interval 1 &lt;= x &lt;= 6. Jika M menyatakan nilai maksimum dan m menyatakan nilai minimum dari daerah hasil (range) fungsi tersebut, maka nilai dari M - m adalah ...</t>
  </si>
  <si>
    <t>PM-08-R-05</t>
  </si>
  <si>
    <t>Langkah 1: Tentukan absis titik puncak parabola xp = -(-6) / (2 × 1) = 3. Karena x = 3 berada di dalam interval 1 &lt;= x &lt;= 6, nilai minimum fungsi m dicapai di titik puncak: m = f(3) = 3² - 6(3) + 5 = 9 - 18 + 5 = -4. Langkah 2: Evaluasi nilai fungsi di kedua batas interval x = 1 dan x = 6. Nilai f(1) = 1² - 6(1) + 5 = 0 dan f(6) = 6² - 6(6) + 5 = 5. Langkah 3: Nilai maksimum daerah hasil adalah nilai terbesar di antara titik ujung, yaitu M = 5. Langkah 4: Hitung selisih M - m = 5 - (-4) = 9. Jadi, kunci jawaban yang benar adalah D.</t>
  </si>
  <si>
    <t>PM-06-S-38</t>
  </si>
  <si>
    <t>Sebuah alas tempat tidur berbentuk persegi panjang memiliki luas 18 m² dan panjang 6 meter. Berapakah lebar tempat tidur tersebut?</t>
  </si>
  <si>
    <t>PM-07-S-31</t>
  </si>
  <si>
    <t>Keuntungan harian dari produksi barang A dirumuskan KA(x) = 12x - x² dan barang B dirumuskan KB(y) = 16y - y² (dalam jutaan rupiah). Kapasitas total produksi pabrik dibatasi sebanyak x + y = 10 unit per hari. Keuntungan maksimum total yang dapat diperoleh pabrik tersebut adalah ...</t>
  </si>
  <si>
    <t>80 juta rupiah</t>
  </si>
  <si>
    <t>85 juta rupiah</t>
  </si>
  <si>
    <t>24 meter</t>
  </si>
  <si>
    <t>92 juta rupiah</t>
  </si>
  <si>
    <t>Suatu pabrik memproduksi barang dengan jumlah produksi harian mengikuti pola barisan aritmetika. Produksi pada hari pertama adalah 5 unit dan pada hari kesepuluh adalah 41 unit. Jumlah total produksi barang selama 10 hari pertama adalah ...</t>
  </si>
  <si>
    <t>96 juta rupiah</t>
  </si>
  <si>
    <t>210 unit</t>
  </si>
  <si>
    <t>100 juta rupiah</t>
  </si>
  <si>
    <t>Lebar persegi panjang dihitung dengan membagi Luas dengan Panjang. Lebar = 18 / 6 = 3 meter.</t>
  </si>
  <si>
    <t>220 unit</t>
  </si>
  <si>
    <t>230 unit</t>
  </si>
  <si>
    <t>Langkah 1: Nyatakan y dalam x menggunakan hubungan kapasitas x + y = 10 -&gt; y = 10 - x. Langkah 2: Susun fungsi keuntungan total K(x) = KA(x) + KB(10 - x) = (12x - x²) + (16(10 - x) - (10 - x)²). Langkah 3: Sederhanakan fungsi: K(x) = 12x - x² + 160 - 16x - (100 - 20x + x²) = -2x² + 16x + 60. Langkah 4: Cari nilai x puncak: xp = -16 / (2 × (-2)) = 4 unit. Ketinggian puncak K(4) = -2(4)² + 16(4) + 60 = -32 + 64 + 60 = 92 juta rupiah. Jadi, kunci jawaban yang benar adalah C.</t>
  </si>
  <si>
    <t>240 unit</t>
  </si>
  <si>
    <t>250 unit</t>
  </si>
  <si>
    <t>PM-08-R-06</t>
  </si>
  <si>
    <t>PM-06-S-39</t>
  </si>
  <si>
    <t>Langkah 1: Identifikasi suku pertama a = 5 dan suku ke-10 U10 = 41. Langkah 2: Gunakan rumus jumlah n suku pertama deret aritmetika Sn = n/2 × (a + Un). Langkah 3: Hitung S10 = 10/2 × (5 + 41) = 5 × 46 = 230 unit.</t>
  </si>
  <si>
    <t>Kurva parabola f(x) = x² - 4x + 7 dicerminkan terhadap garis horizontal y = 3 sehingga menghasilkan kurva baru g(x) = ax² + bx + c. Nilai dari a + b + c adalah ...</t>
  </si>
  <si>
    <t>PM-07-S-32</t>
  </si>
  <si>
    <t>Sebuah lapangan berbentuk persegi memiliki keliling 80 meter. Berapakah panjang sisi lapangan tersebut?</t>
  </si>
  <si>
    <t>Koloni bakteri jenis tertentu membelah diri menjadi dua setiap 20 menit. Jika pada pukul 08.00 terdapat 300 bakteri, banyak bakteri dalam koloni tersebut pada pukul 11.00 adalah ...</t>
  </si>
  <si>
    <t>Langkah 1: Gunakan rumus transformasi pencerminan terhadap garis y = k, yaitu y' = 2k - y -&gt; y = 2k - y'. Langkah 2: Substitusikan k = 3 ke dalam rumus pencerminan: 2(3) - y = x² - 4x + 7 -&gt; 6 - y = x² - 4x + 7. Langkah 3: Ubah ke bentuk y = g(x): y = -x² + 4x - 1, sehingga diperoleh koefisien a = -1, b = 4, dan c = -1. Langkah 4: Hitung nilai a + b + c = -1 + 4 + (-1) = 2. Jadi, kunci jawaban yang benar adalah B.</t>
  </si>
  <si>
    <t>16 meter</t>
  </si>
  <si>
    <t>20 meter</t>
  </si>
  <si>
    <t>PM-06-S-40</t>
  </si>
  <si>
    <t>400 meter</t>
  </si>
  <si>
    <t>Langkah 1: Hitung total waktu dari pukul 08.00 hingga 11.00, yaitu 3 jam = 180 menit. Langkah 2: Tentukan banyak periode pembelahan n = 180 / 20 = 9 kali. Langkah 3: Gunakan rumus barisan geometri Un = a × r^n dengan a = 300 dan r = 2. U10 = 300 × 2^9 = 300 × 512 = 153.600 bakteri.</t>
  </si>
  <si>
    <t>Panjang sisi persegi dihitung dengan membagi Keliling dengan 4. Sisi = 80 / 4 = 20 meter.</t>
  </si>
  <si>
    <t>PM-07-S-33</t>
  </si>
  <si>
    <t>PM-08-R-07</t>
  </si>
  <si>
    <t>Persamaan garis lurus h(x) = kx - 5 menyinggung kurva parabola f(x) = x² - 2x + 4 tepat di satu titik yang terletak di kuadran pertama. Absis dari titik singgung tersebut adalah ...</t>
  </si>
  <si>
    <t>Sebuah lampu hias menyala bergantian dengan pola 4 warna secara berurutan: merah, kuning, hijau, dan biru. Pola ini berulang terus menerus setiap detik. Jika lampu tersebut menyala selama 2.026 detik sejak warna merah, berapa kali warna hijau menyala ...</t>
  </si>
  <si>
    <t>505 kali</t>
  </si>
  <si>
    <t>506 kali</t>
  </si>
  <si>
    <t>507 kali</t>
  </si>
  <si>
    <t>508 kali</t>
  </si>
  <si>
    <t>510 kali</t>
  </si>
  <si>
    <t>Sebuah jajaran genjang memiliki alas sepanjang 14 cm dan tinggi 9 cm. Berapakah luas jajaran genjang tersebut?</t>
  </si>
  <si>
    <t>46 cm²</t>
  </si>
  <si>
    <t>63 cm²</t>
  </si>
  <si>
    <t>Langkah 1: Samakan f(x) = h(x) untuk mencari titik potong: x² - 2x + 4 = kx - 5 -&gt; x² - (2 + k)x + 9 = 0. Langkah 2: Syarat menyinggung adalah Diskriminan D = 0: b² - 4ac = 0 -&gt; (-(2 + k))² - 4(1)(9) = 0 -&gt; (2 + k)² - 36 = 0. Langkah 3: Selesaikan kuadrat: 2 + k = 6 -&gt; k = 4, atau 2 + k = -6 -&gt; k = -8. Langkah 4: Uji k = 4 ke persamaan kuadrat: x² - 6x + 9 = 0 -&gt; (x - 3)² = 0 -&gt; x = 3. Karena x = 3 positif (kuadran I), maka absis titik singgungnya adalah 3. Jadi, kunci jawaban yang benar adalah B.</t>
  </si>
  <si>
    <t>116 cm²</t>
  </si>
  <si>
    <t>126 cm²</t>
  </si>
  <si>
    <t>252 cm²</t>
  </si>
  <si>
    <t>Langkah 1: Total detik menyala adalah 2.026 dengan siklus perulangan 4 warna. Langkah 2: Bagi 2.026 dengan 4 untuk mengetahui jumlah siklus penuh, yaitu 2.026 / 4 = 506 dengan sisa 2 detik. Langkah 3: Sisa 2 detik berarti urutan warna jatuh pada detik ke-2025 (merah) dan detik ke-2026 (kuning). Oleh karena itu, warna hijau muncul tepat sebanyak jumlah siklus penuh yaitu 506 kali.</t>
  </si>
  <si>
    <t>PM-06-S-41</t>
  </si>
  <si>
    <t>Luas jajaran genjang dihitung dengan rumus alas × tinggi. Luas = 14 × 9 = 126 cm².</t>
  </si>
  <si>
    <t>PM-07-S-34</t>
  </si>
  <si>
    <t>Bilangan lima digit a7b2c habis dibagi oleh 99. Jika a, b, dan c adalah digit-digit bulat positif, maka nilai dari a + b + c adalah ...</t>
  </si>
  <si>
    <t>Tiga buah bilangan membentuk barisan aritmetika dengan jumlah 30. Jika suku ketiga dari barisan tersebut ditambah 5, susunan bilangan baru akan membentuk barisan geometri. Hasil kali ketiga bilangan pada barisan aritmetika semula adalah ...</t>
  </si>
  <si>
    <t>PM-08-R-08</t>
  </si>
  <si>
    <t>Langkah 1: Misalkan ketiga bilangan aritmetika adalah (a - b), a, (a + b). Jumlah ketiganya adalah 3a = 30, sehingga a = 10. Bilangan tersebut menjadi (10 - b), 10, (10 + b). Langkah 2: Suku ketiga ditambah 5 menjadi (15 + b), sehingga barisan geometri baru adalah (10 - b), 10, (15 + b). Langkah 3: Gunakan sifat geometri (U2)² = U1 × U3, didapat 10² = (10 - b)(15 + b) -&gt; 100 = 150 - 5b - b² -&gt; b² + 5b - 50 = 0 -&gt; (b + 10)(b - 5) = 0, diambil b = 5. Langkah 4: Bilangan aritmetika tersebut adalah 5, 10, 15. Hasil kalinya adalah 5 × 10 × 15 = 750.</t>
  </si>
  <si>
    <t>Sebuah bidang tanah berbentuk trapesium memiliki panjang sisi-sisi sejajar 10 meter dan 16 meter serta tinggi 8 meter. Berapakah luas bidang tanah tersebut?</t>
  </si>
  <si>
    <t>Langkah 1: Suatu bilangan habis dibagi 99 jika habis dibagi 9 dan 11 sekaligus. Langkah 2: Syarat habis dibagi 11 adalah selisih jumlah digit posisi ganjil dan genap habis dibagi 11: (a + b + c) - (7 + 2) = (a + b + c) - 9 harus merupakan kelipatan 11. Karena a, b, c digit (1 &lt;= a &lt;= 9 dan 0 &lt;= b, c &lt;= 9), maka 1 &lt;= a + b + c &lt;= 27. Nilai (a + b + c) - 9 yang mungkin adalah 0, sehingga a + b + c = 9. Langkah 3: Uji syarat habis dibagi 9 (jumlah seluruh digit habis dibagi 9): a + 7 + b + 2 + c = (a + b + c) + 9 = 9 + 9 = 18 (18 habis dibagi 9, terbukti memnuhi). Jadi, nilai a + b + c adalah 9. Kunci jawaban yang benar adalah C.</t>
  </si>
  <si>
    <t>52 m²</t>
  </si>
  <si>
    <t>PM-07-S-35</t>
  </si>
  <si>
    <t>104 m²</t>
  </si>
  <si>
    <t>128 m²</t>
  </si>
  <si>
    <t>Harga sebuah mesin pabrik mengalami penyusutan (depresiasi) sebesar 20% setiap tahun dari nilai tahun sebelumnya. Jika harga pembelian awal mesin tersebut adalah Rp100.000.000,00, harga mesin setelah digunakan selama 3 tahun adalah ...</t>
  </si>
  <si>
    <t>PM-06-S-42</t>
  </si>
  <si>
    <t>208 m²</t>
  </si>
  <si>
    <t>Rp48.800.000,00</t>
  </si>
  <si>
    <t>256 m²</t>
  </si>
  <si>
    <t>Rp51.200.000,00</t>
  </si>
  <si>
    <t>Rp64.000.000,00</t>
  </si>
  <si>
    <t>Rp72.000.000,00</t>
  </si>
  <si>
    <t>Luas trapesium dihitung dengan rumus 1/2 × (jumlah sisi sejajar) × tinggi. Luas = 1/2 × (10 + 16) × 8 = 1/2 × 26 × 8 = 13 × 8 = 104 m².</t>
  </si>
  <si>
    <t>Diketahui bentuk desimal berulang x = 0,abcabcabc... dengan a, b, dan c adalah digit-digit bulat. Jika nilai x setara dengan pecahan biasa 7/27, maka nilai dari a + b + c adalah ...</t>
  </si>
  <si>
    <t>Langkah 1: Sisa persentase harga setiap tahun setelah susut 20% adalah 100% - 20% = 80% atau 0,8. Langkah 2: Gunakan formula peluruhan geometri Un = A0 × (1 - r)^n. Langkah 3: Hitung harga setelah 3 tahun = 100.000.000 × (0,8)³ = 100.000.000 × 0,512 = Rp51.200.000,00.</t>
  </si>
  <si>
    <t>PM-07-S-36</t>
  </si>
  <si>
    <t>PM-08-R-09</t>
  </si>
  <si>
    <t>PM — Materi 09: Pengukuran Bangun Ruang  |  Target: 45 Soal (15 Ringan · 15 Sedang · 15 Sulit)</t>
  </si>
  <si>
    <t>Terdapat 64 kotak yang diberi nomor mulai dari 1 sampai 64. Kotak nomor 1 sampai 64 diisi kelereng merah sejumlah ganjil mulai dari 1 kelereng secara berurutan. Sebaliknya, kotak nomor 64 sampai nomor 1 diisi kelereng putih dengan beda 3 dimulai dari 1 kelereng pada kotak nomor 64 secara berurutan. Selisih banyak kelereng merah dan kelereng putih pada kotak nomor 11 adalah ...</t>
  </si>
  <si>
    <t>Langkah 1: Ubah pecahan 7/27 ke bentuk penyebut 999 untuk menentukan digit desimal berulangnya. Kalikan pembilang dan penyebut dengan 37: (7 × 37) / (27 × 37) = 259 / 999. Langkah 2: Bentuk 259/999 setara dengan desimal berulang 0,259259259... Langkah 3: Didapatkan nilai digit a = 2, b = 5, dan c = 9. Langkah 4: Hitung nilai a + b + c = 2 + 5 + 9 = 16. Kunci jawaban yang benar adalah C.</t>
  </si>
  <si>
    <t>121 kelereng</t>
  </si>
  <si>
    <t>131 kelereng</t>
  </si>
  <si>
    <t>Sebuah hiasan dinding berbentuk belah ketupat memiliki panjang diagonal 12 cm dan 16 cm. Berapakah luas hiasan dinding tersebut?</t>
  </si>
  <si>
    <t>139 kelereng</t>
  </si>
  <si>
    <t>141 kelereng</t>
  </si>
  <si>
    <t>28 cm²</t>
  </si>
  <si>
    <t>151 kelereng</t>
  </si>
  <si>
    <t>PM-06-S-43</t>
  </si>
  <si>
    <t>56 cm²</t>
  </si>
  <si>
    <t>96 cm²</t>
  </si>
  <si>
    <t>Langkah 1: Tentukan kelereng merah pada kotak nomor n dengan rumus Un_merah = 2n - 1. Untuk n = 11, kelereng merah = 2(11) - 1 = 21 kelereng. Langkah 2: Tentukan kelereng putih pada kotak nomor n yang berjalan mundur dari kotak 64 dengan rumus Un_putih = 1 + 3(64 - n) = 193 - 3n. Untuk n = 11, kelereng putih = 193 - 3(11) = 160 kelereng. Langkah 3: Hitung selisih kelereng putih dan merah pada kotak nomor 11 = 160 - 21 = 139 kelereng.</t>
  </si>
  <si>
    <t>112 cm²</t>
  </si>
  <si>
    <t>Diketahui dua bilangan bulat positif A = 2^4 × 3^3 × 5^2 dan B = 2^2 × 3^5 × 7^1. Banyaknya faktor positif dari KPK(A, B) yang BUKAN merupakan kelipatan dari FPB(A, B) adalah ...</t>
  </si>
  <si>
    <t>192 cm²</t>
  </si>
  <si>
    <t>PM-07-S-37</t>
  </si>
  <si>
    <t>Luas belah ketupat dihitung dengan rumus 1/2 × diagonal 1 × diagonal 2. Luas = 1/2 × 12 × 16 = 6 × 16 = 96 cm².</t>
  </si>
  <si>
    <t>Cika mengendarai sepedanya pada jalan yang menurun. Pada detik ke-1 Cika menempuh jarak 1 m, detik ke-2 menempuh 2 m, detik ke-3 menempuh 4 m, detik ke-4 menempuh 7 m, dan seterusnya dengan pola bertingkat dua yang konsisten. Keseluruhan jarak yang ditempuh Cika pada 6 detik pertama adalah ...</t>
  </si>
  <si>
    <t>29 m</t>
  </si>
  <si>
    <t>Langkah 1: Tentukan KPK(A, B) dengan mengambil faktor prima bernilai sama pangkat tertinggi dan seluruh faktor lainnya: KPK(A, B) = 2^4 × 3^5 × 5^2 × 7^1. Hitung total faktor positif KPK(A, B) = (4+1)(5+1)(2+1)(1+1) = 5 × 6 × 3 × 2 = 180 faktor. Langkah 2: Tentukan FPB(A, B) dengan mengambil faktor prima yang sama dengan pangkat terendah: FPB(A, B) = 2^2 × 3^3. Langkah 3: Hitung banyak faktor KPK(A, B) yang MERUPAKAN kelipatan FPB(A, B). Bentuk faktor kelipatan FPB adalah 2^a × 3^b × 5^c × 7^d dengan syarat a &gt;= 2 (pilihan: 2,3,4 -&gt; 3 cara), b &gt;= 3 (pilihan: 3,4,5 -&gt; 3 cara), c (pilihan: 0,1,2 -&gt; 3 cara), dan d (pilihan: 0,1 -&gt; 2 cara). Banyak faktor kelipatan FPB = 3 × 3 × 3 × 2 = 54 faktor. Langkah 4: Hitung banyak faktor yang BUKAN kelipatan FPB = Total faktor KPK - Faktor kelipatan FPB = 180 - 54 = 126 faktor. Kunci jawaban yang benar adalah C.</t>
  </si>
  <si>
    <t>35 m</t>
  </si>
  <si>
    <t>41 m</t>
  </si>
  <si>
    <t>PM-08-R-10</t>
  </si>
  <si>
    <t>45 m</t>
  </si>
  <si>
    <t>52 m</t>
  </si>
  <si>
    <t>PM-06-S-44</t>
  </si>
  <si>
    <t>Komponen: Geometri  |  Menghitung volume, luas permukaan bangun ruang dalam konteks kehidupan sehari-hari.</t>
  </si>
  <si>
    <t>Langkah 1: Tentukan rumus jarak pada detik ke-n (Jn) untuk barisan bertingkat dua 1, 2, 4, 7, ... dengan rumus Jn = (n² - n + 2) / 2. Langkah 2: Hitung jarak tiap detik dari detik ke-1 sampai ke-6: J1 = 1 m, J2 = 2 m, J3 = 4 m, J4 = 7 m, J5 = (25 - 5 + 2)/2 = 11 m, J6 = (36 - 6 + 2)/2 = 16 m. Langkah 3: Hitung total jarak keseluruhan selama 6 detik pertama = 1 + 2 + 4 + 7 + 11 + 16 = 41 m.</t>
  </si>
  <si>
    <t>Jika panjang sisi suatu persegi diperbesar menjadi 3 kali panjang semula, manakah pernyataan yang benar mengenai keliling persegi yang baru?</t>
  </si>
  <si>
    <t>Sebuah bilangan bulat positif n jika dibagi 5 bersisa 3, jika dibagi 6 bersisa 4, dan jika dibagi 7 bersisa 5. Nilai n terkecil yang memenuhi kondisi tersebut adalah ...</t>
  </si>
  <si>
    <t>PM-07-S-38</t>
  </si>
  <si>
    <t>Keliling menjadi 3 kali keliling semula</t>
  </si>
  <si>
    <t>Keliling menjadi 6 kali keliling semula</t>
  </si>
  <si>
    <t>Keliling menjadi 9 kali keliling semula</t>
  </si>
  <si>
    <t>Suatu pohon tumbuh mencapai ketinggian 150 cm pada akhir tahun ke-1. Pada akhir tahun ke-2 tingginya 214 cm (bertambah 64 cm), akhir tahun ke-3 tingginya 262 cm (bertambah 48 cm), dan akhir tahun ke-4 tingginya 298 cm (bertambah 36 cm) dengan rasio pertambahan tinggi 3/4. Pada akhir tahun ke-4 pohon dipotong sehingga tingginya tinggal 200 cm. Setelah dipotong, pohon tumbuh kembali dengan pola pertambahan tinggi seperti awal ditanam. Tinggi pohon pada akhir tahun ke-6 adalah ...</t>
  </si>
  <si>
    <t>Keliling tetap sama</t>
  </si>
  <si>
    <t>264 cm</t>
  </si>
  <si>
    <t>Langkah 1: Terjemahkan kondisi pembagian bersisa ke dalam bentuk persamaan modulo: n ≡ 3 (mod 5) -&gt; n ≡ -2 (mod 5); n ≡ 4 (mod 6) -&gt; n ≡ -2 (mod 6); n ≡ 5 (mod 7) -&gt; n ≡ -2 (mod 7). Langkah 2: Dari ketiga persamaan tersebut, terlihat bahwa (n + 2) habis dibagi oleh 5, 6, dan 7 sekaligus. Langkah 3: Nilai (n + 2) terkecil adalah KPK(5, 6, 7). Karena 5, 6, dan 7 relatif prima: KPK(5, 6, 7) = 5 × 6 × 7 = 210. Langkah 4: Hitung nilai n terkecil: n + 2 = 210 -&gt; n = 210 - 2 = 208. Kunci jawaban yang benar adalah A.</t>
  </si>
  <si>
    <t>298 cm</t>
  </si>
  <si>
    <t>Keliling menjadi 1/3 kali keliling semula</t>
  </si>
  <si>
    <t>312 cm</t>
  </si>
  <si>
    <t>325 cm</t>
  </si>
  <si>
    <t>PM-06-S-45</t>
  </si>
  <si>
    <t>Opsi A BENAR karena Keliling = 4 × s. Jika s baru = 3s, maka K baru = 4 × (3s) = 3 × (4s) = 3 K semula. Opsi B SALAH karena pengalinya adalah 3, bukan 6. Opsi C SALAH karena 9 adalah faktor perbesaran Luas (3²), bukan keliling. Opsi D SALAH karena keliling pasti berubah. Opsi E SALAH karena ukuran diperbesar, bukan diperkecil.</t>
  </si>
  <si>
    <t>346 cm</t>
  </si>
  <si>
    <t>Diketahui P = 4,8 × 10^-4 dan Q = 1,2 × 10^-5. Jika hasil dari (P + Q) / (P - Q) dinyatakan dalam bentuk pecahan biasa paling sederhana a/b, maka nilai dari a + b adalah ...</t>
  </si>
  <si>
    <t>PM-08-R-11</t>
  </si>
  <si>
    <t>Langkah 1: Ketinggian pohon tepat setelah dipotong pada akhir tahun ke-4 adalah 200 cm. Langkah 2: Pola pertumbuhan berulang dari awal. Pada tahun ke-5 (tahun ke-1 setelah pemotongan), tinggi bertambah 64 cm sehingga menjadi 200 + 64 = 264 cm. Langkah 3: Pada tahun ke-6 (tahun ke-2 setelah pemotongan), tinggi bertambah 48 cm sehingga tinggi total pada akhir tahun ke-6 = 264 + 48 = 312 cm.</t>
  </si>
  <si>
    <t>Sebuah kebun berbentuk persegi memiliki panjang sisi 25 meter. Di sekeliling kebun tersebut akan dipasang pagar kawat. Berapakah total panjang kawat yang dibutuhkan untuk mengelilingi kebun satu putaran penuh?</t>
  </si>
  <si>
    <t>Langkah 1: Samakan pangkat eksponen dari P dan Q. Ubah P = 48 × 10^-5 dan Q = 1,2 × 10^-5. Langkah 2: Hitung nilai pembilang (P + Q) = (48 + 1,2) × 10^-5 = 49,2 × 10^-5. Langkah 3: Hitung nilai penyebut (P - Q) = (48 - 1,2) × 10^-5 = 46,8 × 10^-5. Langkah 4: Bagikan pembilang dengan penyebut: (P + Q) / (P - Q) = (49,2 × 10^-5) / (46,8 × 10^-5) = 49,2 / 46,8 = 492 / 468. Sederhanakan pecahan dengan membagi pembilang dan penyebut dengan 12: (492 / 12) / (468 / 12) = 41 / 39. Langkah 5: Didapatkan a = 41 dan b = 39 (sudah sederhana). Hitung nilai a + b = 41 + 39 = 80. Kunci jawaban yang benar adalah C.</t>
  </si>
  <si>
    <t>PM-07-S-39</t>
  </si>
  <si>
    <t>75 meter</t>
  </si>
  <si>
    <t>100 meter</t>
  </si>
  <si>
    <t>125 meter</t>
  </si>
  <si>
    <t>625 meter</t>
  </si>
  <si>
    <t>Terdapat kotak bernomor 1 sampai 12. Kotak-kotak tersebut diisi kelereng biru dan hijau dengan aturan: kotak ke-1 diisi 1 kelereng biru, kotak ke-2 diisi 2 kelereng hijau, kotak ke-3 diisi 4 kelereng biru, kotak ke-4 diisi 8 kelereng hijau, dan seterusnya mengikuti pola 2^(n-1). Selisih banyak kelereng biru pada kotak ke-9 dan kelereng hijau pada kotak ke-6 adalah ...</t>
  </si>
  <si>
    <t>192 kelereng</t>
  </si>
  <si>
    <t>216 kelereng</t>
  </si>
  <si>
    <t>224 kelereng</t>
  </si>
  <si>
    <t>240 kelereng</t>
  </si>
  <si>
    <t>248 kelereng</t>
  </si>
  <si>
    <t>Langkah 1: Tentukan banyak kelereng hijau pada kotak genap ke-6 menggunakan rumus Kn = 2^(n-1), sehingga K6 = 2^(6-1) = 2^5 = 32 kelereng hijau. Langkah 2: Tentukan banyak kelereng biru pada kotak ganjil ke-9 dengan rumus Kn = 2^(n-1), sehingga K9 = 2^(9-1) = 2^8 = 256 kelereng biru. Langkah 3: Hitung selisih kelereng biru kotak ke-9 dan kelereng hijau kotak ke-6 = 256 - 32 = 224 kelereng.</t>
  </si>
  <si>
    <t>TOTAL Materi 06 — Fungsi &amp; Grafik</t>
  </si>
  <si>
    <t>PM-07-S-40</t>
  </si>
  <si>
    <t>Panjang kawat yang dibutuhkan sama dengan keliling persegi. Keliling = 4 × sisi = 4 × 25 = 100 meter.</t>
  </si>
  <si>
    <t>PM-08-R-12</t>
  </si>
  <si>
    <t>Empat kursi dapat diletakkan mengelilingi 1 meja persegi. Jika 2 meja disatukan memanjang dapat diletakkan 6 kursi, dan jika 3 meja disatukan memanjang diletakkan 8 kursi. Jika 36 meja disusun memanjang secara lurus dibanding jika 36 meja tersebut disusun rapat membentuk persegi besar (grid 6 × 6) dengan kursi diletakkan mengelilingi sisi meja luar yang terbuka, selisih jumlah kursi dari kedua susunan tersebut adalah ...</t>
  </si>
  <si>
    <t>18 kursi</t>
  </si>
  <si>
    <t>Sebuah kolam ikan berbentuk segitiga siku-siku memiliki panjang alas 12 meter dan tinggi 5 meter. Berapakah luas permukaan kolam ikan tersebut?</t>
  </si>
  <si>
    <t>24 kursi</t>
  </si>
  <si>
    <t>17 m²</t>
  </si>
  <si>
    <t>36 kursi</t>
  </si>
  <si>
    <t>30 m²</t>
  </si>
  <si>
    <t>50 kursi</t>
  </si>
  <si>
    <t>74 kursi</t>
  </si>
  <si>
    <t>34 m²</t>
  </si>
  <si>
    <t>60 m²</t>
  </si>
  <si>
    <t>Langkah 1: Hitung jumlah kursi saat 36 meja disusun memanjang secara lurus menggunakan rumus Kn = 2n + 2. Untuk n = 36, K36 = 2(36) + 2 = 74 kursi. Langkah 2: Hitung jumlah kursi saat 36 meja disusun membentuk persegi besar 6 × 6. Kursi hanya ada di sisi terluar meja yang terbuka, yaitu 4 sisi × 6 meja = 24 kursi. Langkah 3: Hitung selisih jumlah kursi antara susunan memanjang lurus dan susunan persegi besar = 74 - 24 = 50 kursi.</t>
  </si>
  <si>
    <t>Luas segitiga siku-siku dihitung dengan rumus 1/2 × alas × tinggi. Luas = 1/2 × 12 × 5 = 6 × 5 = 30 m².</t>
  </si>
  <si>
    <t>PM-07-S-41</t>
  </si>
  <si>
    <t>PM-08-R-13</t>
  </si>
  <si>
    <t>Manakah dari pernyataan berikut yang selalu BENAR mengenai sifat keliling dan luas bangun datar jika seluruh dimensi panjangnya diperbesar k kali?</t>
  </si>
  <si>
    <t>Dua tangga yang masing-masing memiliki 10 anak tangga disandarkan di dinding. Pada setiap anak tangga digantungkan kotak berisi kelereng. Anak tangga ke-1 berisi 2 kelereng, ke-2 berisi 3 kelereng, ke-3 berisi 5 kelereng, ke-4 berisi 8 kelereng, dan seterusnya mengikuti pola bertingkat dua. Jika dari kotak anak tangga ke-10 diambil 5 kelereng, banyak kelereng yang tersisa pada kotak anak tangga ke-10 adalah ...</t>
  </si>
  <si>
    <t>Keliling membesar k² kali dan luas membesar k kali</t>
  </si>
  <si>
    <t>38 kelereng</t>
  </si>
  <si>
    <t>Keliling membesar k kali dan luas membesar k² kali</t>
  </si>
  <si>
    <t>39 kelereng</t>
  </si>
  <si>
    <t>Keliling dan luas sama-sama membesar k kali</t>
  </si>
  <si>
    <t>41 kelereng</t>
  </si>
  <si>
    <t>Keliling dan luas sama-sama membesar k² kali</t>
  </si>
  <si>
    <t>42 kelereng</t>
  </si>
  <si>
    <t>Keliling dan luas tidak mengalami perubahan</t>
  </si>
  <si>
    <t>45 kelereng</t>
  </si>
  <si>
    <t>Opsi B BENAR karena keliling adalah dimensi satu (linear) sehingga membesar k kali, sedangkan luas adalah dimensi dua (kuadratik) sehingga membesar k² kali. Opsi A SALAH karena skala keliling dan luas tertukar. Opsi C SALAH karena luas membesar secara kuadratik, bukan linear. Opsi D SALAH karena keliling membesar secara linear, bukan kuadratik. Opsi E SALAH karena perubahan dimensi pasti mengubah ukuran keliling dan luas.</t>
  </si>
  <si>
    <t>Langkah 1: Cari rumus suku ke-n (Kn) untuk barisan 2, 3, 5, 8, ... dengan selisih tingkat pertama (+1, +2, +3) dan selisih tingkat kedua (+1). Rumus Kn = (n² - n + 4) / 2. Langkah 2: Hitung banyak kelereng awal pada anak tangga ke-10, K10 = (10² - 10 + 4) / 2 = 94 / 2 = 47 kelereng. Langkah 3: Hitung sisa kelereng setelah diambil 5 buah = 47 - 5 = 42 kelereng.</t>
  </si>
  <si>
    <t>PM-07-S-42</t>
  </si>
  <si>
    <t>PM-08-R-14</t>
  </si>
  <si>
    <t>Menggunakan pola anak tangga yang sama dengan Kn = (n² - n + 4) / 2, dibuat barisan baru di mana suku ke-n adalah penjumlahan banyak kelereng anak tangga ke-(11 - n) pada tangga pertama dan anak tangga ke-n pada tangga kedua. Selisih dari suku ke-9 dan suku ke-3 dari barisan baru tersebut adalah ...</t>
  </si>
  <si>
    <t>Sebuah piringan berbentuk lingkaran memiliki jari-jari 10 cm. Berapakah luas piringan tersebut jika nilai pi = 3,14?</t>
  </si>
  <si>
    <t>31,4 cm²</t>
  </si>
  <si>
    <t>62,8 cm²</t>
  </si>
  <si>
    <t>100 cm²</t>
  </si>
  <si>
    <t>314 cm²</t>
  </si>
  <si>
    <t>628 cm²</t>
  </si>
  <si>
    <t>Langkah 1: Hitung suku ke-3 barisan baru = K8 + K3. K8 = (8² - 8 + 4)/2 = 30 kelereng; K3 = (3² - 3 + 4)/2 = 5 kelereng. Suku ke-3 = 30 + 5 = 35. Langkah 2: Hitung suku ke-9 barisan baru = K2 + K9. K2 = (2² - 2 + 4)/2 = 3 kelereng; K9 = (9² - 9 + 4)/2 = 38 kelereng. Suku ke-9 = 3 + 38 = 41. Langkah 3: Hitung selisih suku ke-9 dan suku ke-3 = 41 - 35 = 6.</t>
  </si>
  <si>
    <t>Luas lingkaran dihitung dengan rumus pi × r × r. Luas = 3,14 × 10 × 10 = 3,14 × 100 = 314 cm².</t>
  </si>
  <si>
    <t>PM-07-S-43</t>
  </si>
  <si>
    <t>PM-08-R-15</t>
  </si>
  <si>
    <t>Sebuah bingkai foto berbentuk layang-layang memiliki panjang diagonal 10 cm dan 20 cm. Berapakah luas bingkai foto tersebut?</t>
  </si>
  <si>
    <t>30 cm²</t>
  </si>
  <si>
    <t>Pekerja menumpuk baja ringan sebanyak 70 tingkat. Banyak baja ringan pada tingkat paling atas (tingkat 1) adalah 3 buah, tingkat ke-2 ada 4 buah, dan seterusnya dengan pola bn = n + 2. Selisih banyak baja ringan pada tingkat ke-50 dari atas dan tingkat ke-50 dari bawah adalah ...</t>
  </si>
  <si>
    <t>50 cm²</t>
  </si>
  <si>
    <t>150 cm²</t>
  </si>
  <si>
    <t>200 cm²</t>
  </si>
  <si>
    <t>29 unit</t>
  </si>
  <si>
    <t>31 unit</t>
  </si>
  <si>
    <t>Luas layang-layang dihitung dengan rumus 1/2 × diagonal 1 × diagonal 2. Luas = 1/2 × 10 × 20 = 5 × 20 = 100 cm².</t>
  </si>
  <si>
    <t>Langkah 1: Hitung banyak baja ringan pada tingkat ke-50 dari atas menggunakan bn = n + 2, b50 = 50 + 2 = 52 unit. Langkah 2: Tentukan posisi tingkat ke-50 dari bawah yang setara dengan tingkat ke-(70 - 50 + 1) = 21 dari atas. Langkah 3: Hitung banyak baja ringan tingkat ke-21 dari atas, b21 = 21 + 2 = 23 unit. Langkah 4: Hitung selisih banyak baja ringan = 52 - 23 = 29 unit.</t>
  </si>
  <si>
    <t>PM-09-R-01</t>
  </si>
  <si>
    <t>PM-07-S-44</t>
  </si>
  <si>
    <t>Pengisian tempat duduk mengelilingi meja persegi mengikuti pola: 1 meja dikelilingi 4 kursi, n meja disatukan memanjang dikelilingi (2n + 2) kursi. Jika n meja bernilai ganjil disusun membentuk huruf L dengan kedua lengan sama panjang dan setiap kursi diletakkan di hadapan sisi meja yang terbuka, jumlah kursi yang diperlukan untuk mengelilingi 31 meja berbentuk huruf L adalah ...</t>
  </si>
  <si>
    <t>32 kursi</t>
  </si>
  <si>
    <t>40 kursi</t>
  </si>
  <si>
    <t>48 kursi</t>
  </si>
  <si>
    <t>56 kursi</t>
  </si>
  <si>
    <t>64 kursi</t>
  </si>
  <si>
    <t>Langkah 1: Analisis pola susunan meja ganjil berbentuk huruf L. Untuk 3 meja bentuk L dibutuhkan 8 kursi, untuk 5 meja dibutuhkan 12 kursi. Langkah 2: Generalisasikan rumus jumlah kursi untuk n meja berbentuk huruf L, diperoleh Kl = 2n + 2. Langkah 3: Hitung jumlah kursi untuk 31 meja berbentuk huruf L, K31 = 2(31) + 2 = 62 + 2 = 64 kursi.</t>
  </si>
  <si>
    <t>PM-07-S-45</t>
  </si>
  <si>
    <t>Sebuah akuarium berbentuk balok memiliki panjang 80 cm, lebar 50 cm, dan tinggi 60 cm. Volume air yang dibutuhkan untuk mengisi akuarium tersebut hingga penuh adalah berapa liter?</t>
  </si>
  <si>
    <t>Femi berlatih lari selama 28 pekan. Pekan ke-1 ia berlari 2,3 km (2.300 m) dan setiap pekan berikutnya bertambah 250 m hingga mencapai/melampaui jarak 8 km (8.000 m). Setelah melampaui 8 km, jarak latihannya konstan tanpa penambahan. Jika setiap 1 km berlari membakar 60 kalori, jumlah total kalori yang terbakar selama 28 pekan latihan adalah ...</t>
  </si>
  <si>
    <t>7.452 kalori</t>
  </si>
  <si>
    <t>8.901 kalori</t>
  </si>
  <si>
    <t>24 liter</t>
  </si>
  <si>
    <t>9.261 kalori</t>
  </si>
  <si>
    <t>9.384 kalori</t>
  </si>
  <si>
    <t>2,4 liter</t>
  </si>
  <si>
    <t>9.534 kalori</t>
  </si>
  <si>
    <t>2400 liter</t>
  </si>
  <si>
    <t>0,24 liter</t>
  </si>
  <si>
    <t>Langkah 1: Cari pekan ke berapa jarak latihan mencapai/melampaui 8.000 m. Un = 2.300 + (n - 1)250 &gt;= 8.000 -&gt; (n - 1)250 &gt;= 5.700 -&gt; n = 24 (jarak U24 = 8.050 m = 8,05 km). Langkah 2: Hitung total jarak 23 pekan pertama menggunakan deret aritmetika, S23 = 23/2 × (2.300 + 7.800) = 116.150 m = 116,15 km. Langkah 3: Hitung total jarak pekan ke-24 hingga ke-28 (5 pekan konstan) = 5 × 8,05 km = 40,25 km. Langkah 4: Total jarak keseluruhan = 116,15 + 40,25 = 156,4 km. Total kalori terbakar = 156,4 × 60 = 9.384 kalori.</t>
  </si>
  <si>
    <t>PM-08-S-16</t>
  </si>
  <si>
    <t>Volume akuarium = panjang × lebar × tinggi = 80 cm × 50 cm × 60 cm = 240.000 cm³. Karena 1 liter = 1.000 cm³, maka volume air dalam liter adalah 240.000 / 1.000 = 240 liter.</t>
  </si>
  <si>
    <t>TOTAL Materi 07 — Pola &amp; Generalisasi</t>
  </si>
  <si>
    <t>Sebuah persegi panjang memiliki ukuran panjang 16 cm dan lebar 12 cm. Jika panjangnya ditambah 25% dan lebarnya dikurangi 25%, berapakah perubahan luas persegi panjang tersebut?</t>
  </si>
  <si>
    <t>Berkurang 6,25%</t>
  </si>
  <si>
    <t>Bertambah 6,25%</t>
  </si>
  <si>
    <t>Berkurang 12,5%</t>
  </si>
  <si>
    <t>Bertambah 12,5%</t>
  </si>
  <si>
    <t>Tidak ada perubahan (0%)</t>
  </si>
  <si>
    <t>PM-09-R-02</t>
  </si>
  <si>
    <t>Langkah 1: Hitung faktor pengali dimensi baru. Panjang baru = 1 + 25/100 = 1,25 dan lebar baru = 1 - 25/100 = 0,75. Langkah 2: Hitung faktor pengali luas baru = 1,25 × 0,75 = 0,9375. Langkah 3: Hitung perubahan luas = (0,9375 - 1) × 100% = -0,0625 × 100% = -6,25% (berkurang 6,25%).</t>
  </si>
  <si>
    <t>PM-08-S-17</t>
  </si>
  <si>
    <t>Sebuah aula berbentuk persegi panjang dengan ukuran 12 meter × 10 meter akan dipasangi ubin berbentuk persegi yang memiliki ukuran sisi 40 cm. Banyaknya ubin minimal yang dibutuhkan untuk menutup seluruh lantai aula tersebut adalah...</t>
  </si>
  <si>
    <t>750 buah</t>
  </si>
  <si>
    <t>800 buah</t>
  </si>
  <si>
    <t>1.000 buah</t>
  </si>
  <si>
    <t>Sebuah kubus memiliki panjang rusuk 12 cm. Luas permukaan kubus tersebut adalah berapa cm²?</t>
  </si>
  <si>
    <t>864 cm²</t>
  </si>
  <si>
    <t>576 cm²</t>
  </si>
  <si>
    <t>1.728 cm²</t>
  </si>
  <si>
    <t>7.500 buah</t>
  </si>
  <si>
    <t>12.000 buah</t>
  </si>
  <si>
    <t>720 cm²</t>
  </si>
  <si>
    <t>Langkah 1: Hitung luas aula dalam cm² = (12 × 100) × (10 × 100) = 1.200 cm × 1.000 cm = 1.200.000 cm². Langkah 2: Hitung luas satu ubin = 40 × 40 = 1.600 cm². Langkah 3: Hitung jumlah ubin = 1.200.000 / 1.600 = 750 buah.</t>
  </si>
  <si>
    <t>PM-08-S-18</t>
  </si>
  <si>
    <t>Luas permukaan kubus = 6 × s² = 6 × (12 cm)² = 6 × 144 cm² = 864 cm².</t>
  </si>
  <si>
    <t>Sebuah lapangan rumput berbentuk lingkaran memiliki diameter 28 meter. Di dalam lapangan tersebut terdapat kolam ikan berbentuk persegi dengan panjang sisi 10 meter. Berapakah luas lapangan rumput di luar kolam ikan jika pi = 22/7?</t>
  </si>
  <si>
    <t>516 m²</t>
  </si>
  <si>
    <t>616 m²</t>
  </si>
  <si>
    <t>716 m²</t>
  </si>
  <si>
    <t>2.364 m²</t>
  </si>
  <si>
    <t>PM-09-R-03</t>
  </si>
  <si>
    <t>2.464 m²</t>
  </si>
  <si>
    <t>Langkah 1: Hitung jari-jari lingkaran = 28 / 2 = 14 meter. Langkah 2: Hitung luas lingkaran = (22/7) × 14 × 14 = 616 m². Langkah 3: Hitung luas kolam persegi = 10 × 10 = 100 m². Langkah 4: Hitung luas rumput di luar kolam = 616 - 100 = 516 m².</t>
  </si>
  <si>
    <t>PM-08-S-19</t>
  </si>
  <si>
    <t>Sebuah tabung penampung air memiliki luas alas 1,5 m² dan tinggi 2 m. Banyaknya air maksimum yang dapat ditampung tabung tersebut dalam satuan liter adalah berapa liter?</t>
  </si>
  <si>
    <t>Sebuah taman berbentuk persegi panjang berukuran 20 meter × 15 meter dikelilingi jalan setapak di bagian dalamnya dengan lebar jalan 1,5 meter. Berapakah luas jalan setapak tersebut?</t>
  </si>
  <si>
    <t>105 m²</t>
  </si>
  <si>
    <t>195 m²</t>
  </si>
  <si>
    <t>Langkah 1: Hitung luas taman awal = 20 × 15 = 300 m². Langkah 2: Hitung dimensi bagian dalam = panjang baru (20 - 2 × 1,5) = 17 meter dan lebar baru (15 - 2 × 1,5) = 12 meter. Langkah 3: Hitung luas bagian dalam = 17 × 12 = 204 m². Langkah 4: Hitung luas jalan = 300 - 204 = 96 m²... Wait, recalculate: 300 - 204 = 96 m² (Opsi B). Koreksi hitungan: Luas jalan = 300 - 204 = 96 m².</t>
  </si>
  <si>
    <t>Volume tabung = luas alas × tinggi = 1,5 m² × 2 m = 3 m³. Karena 1 m³ = 1.000 liter, maka volume air maksimum adalah 3 × 1.000 = 3.000 liter.</t>
  </si>
  <si>
    <t>PM-08-S-20</t>
  </si>
  <si>
    <t>Sebuah segitiga siku-siku memiliki panjang alas 9 cm dan hypotenusa (sisi miring) 15 cm. Berapakah keliling segitiga siku-siku tersebut?</t>
  </si>
  <si>
    <t>PM-09-R-04</t>
  </si>
  <si>
    <t>27 cm</t>
  </si>
  <si>
    <t>54 cm</t>
  </si>
  <si>
    <t>Sebuah peti kayu berbentuk balok memiliki volume 360 liter. Jika panjang peti 10 dm dan lebarnya 6 dm, tinggi peti tersebut adalah berapa dm?</t>
  </si>
  <si>
    <t>108 cm</t>
  </si>
  <si>
    <t>6 dm</t>
  </si>
  <si>
    <t>Langkah 1: Hitung tinggi segitiga menggunakan Pythagoras = akar(15² - 9²) = akar(225 - 81) = akar(144) = 12 cm. Langkah 2: Hitung keliling segitiga = alas + tinggi + sisi miring = 9 + 12 + 15 = 36 cm.</t>
  </si>
  <si>
    <t>5 dm</t>
  </si>
  <si>
    <t>8 dm</t>
  </si>
  <si>
    <t>10 dm</t>
  </si>
  <si>
    <t>PM-08-S-21</t>
  </si>
  <si>
    <t>4 dm</t>
  </si>
  <si>
    <t>Lintasan lari terdiri atas persegi panjang dengan panjang 100 meter dan lebar 56 meter, serta dua setengah lingkaran pada kedua sisi lebarnya. Berapakah keliling total batas luar lintasan lari tersebut jika pi = 22/7?</t>
  </si>
  <si>
    <t>276 meter</t>
  </si>
  <si>
    <t>Volume peti = panjang × lebar × tinggi. Diketahui volume = 360 liter = 360 dm³, maka 360 = 10 × 6 × tinggi, sehingga 360 = 60 × tinggi, maka tinggi = 360 / 60 = 6 dm.</t>
  </si>
  <si>
    <t>376 meter</t>
  </si>
  <si>
    <t>432 meter</t>
  </si>
  <si>
    <t>488 meter</t>
  </si>
  <si>
    <t>552 meter</t>
  </si>
  <si>
    <t>Langkah 1: Keliling luar hanya terdiri dari 2 sisi panjang persegi panjang dan 1 lingkaran penuh dengan diameter 56 meter (lebar dalam tidak dihitung). Langkah 2: Hitung keliling 1 lingkaran = (22/7) × 56 = 176 meter. Langkah 3: Hitung keliling total = (2 × 100) + 176 = 200 + 176 = 376 meter.</t>
  </si>
  <si>
    <t>PM-09-R-05</t>
  </si>
  <si>
    <t>PM-08-S-22</t>
  </si>
  <si>
    <t>Dinding sebuah ruangan akan dilapisi oleh ubin berbentuk persegi berukuran 30 cm × 30 cm. Jika luas dinding ruangan yang akan ditutup ubin adalah 18 m², berapa buah ubin yang diperlukan?</t>
  </si>
  <si>
    <t>200 buah</t>
  </si>
  <si>
    <t>100 buah</t>
  </si>
  <si>
    <t>Sepetak kebun berbentuk persegi panjang memiliki rasio panjang terhadap lebar adalah 4 : 3. Jika keliling kebun tersebut adalah 70 meter, berapakah luas kebun tersebut?</t>
  </si>
  <si>
    <t>300 buah</t>
  </si>
  <si>
    <t>600 m²</t>
  </si>
  <si>
    <t>400 buah</t>
  </si>
  <si>
    <t>1.200 m²</t>
  </si>
  <si>
    <t>2.400 m²</t>
  </si>
  <si>
    <t>500 buah</t>
  </si>
  <si>
    <t>Langkah 1: Misalkan panjang = 4x dan lebar = 3x. Langkah 2: Gunakan rumus keliling = 2 × (4x + 3x) = 14x = 70, diperoleh x = 5. Langkah 3: Hitung panjang = 4 × 5 = 20 meter dan lebar = 3 × 5 = 15 meter. Langkah 4: Hitung luas = 20 × 15 = 300 m².</t>
  </si>
  <si>
    <t>Luas 1 ubin = 30 cm × 30 cm = 900 cm² = 0,09 m². Jumlah ubin yang diperlukan = luas total dinding / luas 1 ubin = 18 m² / 0,09 m² = 200 buah.</t>
  </si>
  <si>
    <t>PM-08-S-23</t>
  </si>
  <si>
    <t>Sebuah belah ketupat memiliki keliling 52 cm. Jika panjang salah satu diagonalnya adalah 10 cm, berapakah luas belah ketupat tersebut?</t>
  </si>
  <si>
    <t>60 cm²</t>
  </si>
  <si>
    <t>PM-09-R-06</t>
  </si>
  <si>
    <t>130 cm²</t>
  </si>
  <si>
    <t>240 cm²</t>
  </si>
  <si>
    <t>260 cm²</t>
  </si>
  <si>
    <t>Langkah 1: Hitung panjang sisi belah ketupat = 52 / 4 = 13 cm. Langkah 2: Hitung setengah diagonal kedua menggunakan Pythagoras = akar(13² - 5²) = akar(169 - 25) = akar(144) = 12 cm. Langkah 3: Hitung diagonal kedua = 2 × 12 = 24 cm. Langkah 4: Hitung luas belah ketupat = 1/2 × 10 × 24 = 120 cm².</t>
  </si>
  <si>
    <t>Sebuah wadah berbentuk kubus memiliki volume 512 cm³. Panjang rusuk wadah tersebut adalah berapa cm?</t>
  </si>
  <si>
    <t>8 cm</t>
  </si>
  <si>
    <t>PM-08-S-24</t>
  </si>
  <si>
    <t>6 cm</t>
  </si>
  <si>
    <t>Sebuah bidang persegi memiliki panjang sisi s meter. Jika panjang sisinya ditingkatkan sebesar 20%, manakah pernyataan yang BENAR mengenai persentase perubahan luas persegi tersebut?</t>
  </si>
  <si>
    <t>16 cm</t>
  </si>
  <si>
    <t>Luas bertambah 20%</t>
  </si>
  <si>
    <t>Luas bertambah 40%</t>
  </si>
  <si>
    <t>64 cm</t>
  </si>
  <si>
    <t>Luas bertambah 44%</t>
  </si>
  <si>
    <t>Luas bertambah 400%</t>
  </si>
  <si>
    <t>Luas bertambah 144%</t>
  </si>
  <si>
    <t>Volume kubus = s³, sehingga s = akar pangkat tiga dari 512 = 8 cm.</t>
  </si>
  <si>
    <t>Opsi C BENAR karena faktor pengali sisi baru = 1 + 20/100 = 1,2. Faktor pengali luas baru = (1,2)² = 1,44. Kenaikan luas = (1,44 - 1) × 100% = 44%. Opsi A SALAH karena 20% adalah persentase perubahan linear sisi, bukan luas. Opsi B SALAH karena perubahan luas dihitung dari (1 + x%)², bukan 2 × x%. Opsi D SALAH karena nilai 400% berasal dari penguadratan yang salah. Opsi E SALAH karena 144% adalah total rasio luas baru terhadap luas awal, bukan persentase pertambahannya.</t>
  </si>
  <si>
    <t>PM-09-R-07</t>
  </si>
  <si>
    <t>PM-08-S-25</t>
  </si>
  <si>
    <t>Sebuah trapesium sama kaki memiliki panjang sisi sejajar 12 cm dan 22 cm. Jika panjang sisi miringnya adalah 13 cm, berapakah luas trapesium tersebut?</t>
  </si>
  <si>
    <t>102 cm²</t>
  </si>
  <si>
    <t>136 cm²</t>
  </si>
  <si>
    <t>204 cm²</t>
  </si>
  <si>
    <t>221 cm²</t>
  </si>
  <si>
    <t>Sebuah limas memiliki alas berbentuk persegi dengan panjang sisi 10 cm. Jika tinggi limas tersebut adalah 18 cm, berapa volume limas tersebut?</t>
  </si>
  <si>
    <t>408 cm²</t>
  </si>
  <si>
    <t>600 cm³</t>
  </si>
  <si>
    <t>Langkah 1: Hitung selisih alas dibagi 2 = (22 - 12) / 2 = 5 cm. Langkah 2: Hitung tinggi trapesium menggunakan Pythagoras = akar(13² - 5²) = akar(169 - 25) = akar(144) = 12 cm. Langkah 3: Hitung luas trapesium = 1/2 × (12 + 22) × 12 = 1/2 × 34 × 12 = 204 cm².</t>
  </si>
  <si>
    <t>1.800 cm³</t>
  </si>
  <si>
    <t>900 cm³</t>
  </si>
  <si>
    <t>PM-08-S-26</t>
  </si>
  <si>
    <t>300 cm³</t>
  </si>
  <si>
    <t>1.200 cm³</t>
  </si>
  <si>
    <t>Sebuah foto berukuran 30 cm × 40 cm dipasang pada selembar karton. Di sebelah kiri, kanan, dan atas foto masih tersisa karton selebar 3 cm. Jika foto dan karton sebangun, berapakah lebar karton di sebelah bawah foto?</t>
  </si>
  <si>
    <t>3 cm</t>
  </si>
  <si>
    <t>4 cm</t>
  </si>
  <si>
    <t>Volume limas = (1/3) × luas alas × tinggi = (1/3) × (10 cm × 10 cm) × 18 cm = (1/3) × 100 × 18 = 600 cm³.</t>
  </si>
  <si>
    <t>5 cm</t>
  </si>
  <si>
    <t>Langkah 1: Lebar foto = 30 cm dan lebar karton = 30 + 3 + 3 = 36 cm. Langkah 2: Tinggi foto = 40 cm. Karena foto dan karton sebangun, gunakan rasio: Tinggi Karton / Tinggi Foto = Lebar Karton / Lebar Foto -&gt; Tinggi Karton / 40 = 36 / 30 = 6/5, sehingga Tinggi Karton = 40 × (6/5) = 48 cm. Langkah 3: Hitung sisa karton bawah = Tinggi Karton - Tinggi Foto - Sisa Atas = 48 - 40 - 3 = 5 cm.</t>
  </si>
  <si>
    <t>PM-09-R-08</t>
  </si>
  <si>
    <t>PM-08-S-27</t>
  </si>
  <si>
    <t>Lampu dipasang pada ketinggian 6 meter dari lantai. Tepat di bawah lampu dipasang meja lingkaran dengan diameter 2 meter pada ketinggian 1,5 meter dari lantai. Berapakah luas bayangan meja tersebut di lantai ruangan jika pi = 3,14?</t>
  </si>
  <si>
    <t>3,14 m²</t>
  </si>
  <si>
    <t>Sebuah prisma segitiga memiliki luas alas 25 cm² dan tinggi prisma 14 cm. Volume prisma tersebut adalah berapa cm³?</t>
  </si>
  <si>
    <t>5,58 m²</t>
  </si>
  <si>
    <t>12,56 m²</t>
  </si>
  <si>
    <t>25,12 m²</t>
  </si>
  <si>
    <t>350 cm³</t>
  </si>
  <si>
    <t>50,24 m²</t>
  </si>
  <si>
    <t>175 cm³</t>
  </si>
  <si>
    <t>700 cm³</t>
  </si>
  <si>
    <t>Langkah 1: Hitung jari-jari meja (r) = 2 / 2 = 1 meter dan luas meja = 3,14 × 1² = 3,14 m². Langkah 2: Jarak lampu ke meja = 6 - 1,5 = 4,5 meter. Hitung skala linear perbesaran k = Tinggi Lampu / Jarak Lampu ke Meja = 6 / 4,5 = 4/3. Langkah 3: Hitung skala luas = k² = (4/3)² = 16/9. Langkah 4: Hitung luas bayangan = Luas Meja × k² = 3,14 × (16/9)... Re-check formula: k = 6 / (6 - 1,5) = 6 / 4,5 = 4/3. Luas bayangan = 3,14 × (16/9) = 5,58 m² (Opsi B). Koreksi hitungan: Luas bayangan = 3,14 × 16 / 9 = 5,58 m².</t>
  </si>
  <si>
    <t>100 cm³</t>
  </si>
  <si>
    <t>50 cm³</t>
  </si>
  <si>
    <t>PM-08-S-28</t>
  </si>
  <si>
    <t>Volume prisma = luas alas × tinggi = 25 cm² × 14 cm = 350 cm³.</t>
  </si>
  <si>
    <t>Suatu segitiga memiliki panjang alas 16 cm dan tinggi 10 cm. Jika alasnya diperbesar 25% dan tingginya dikurangi 20%, manakah pernyataan yang BENAR mengenai luas segitiga yang baru?</t>
  </si>
  <si>
    <t>Luas berkurang 5%</t>
  </si>
  <si>
    <t>Luas bertambah 5%</t>
  </si>
  <si>
    <t>Luas tetap sama (tidak berubah)</t>
  </si>
  <si>
    <t>PM-09-R-09</t>
  </si>
  <si>
    <t>Luas bertambah 10%</t>
  </si>
  <si>
    <t>Luas berkurang 10%</t>
  </si>
  <si>
    <t>Opsi C BENAR karena faktor pengali alas baru = 1 + 25/100 = 1,25 dan faktor pengali tinggi baru = 1 - 20/100 = 0,8. Faktor pengali luas baru = 1,25 × 0,8 = 1,00 (tetap 100% atau tidak berubah). Opsi A, B, D, dan E SALAH karena mengira ada selisih nilai persentase dari perkalian faktor tersebut.</t>
  </si>
  <si>
    <t>PM-08-S-29</t>
  </si>
  <si>
    <t>Sebuah kolam renang berbentuk balok dengan luas permukaan atas (permukaan air) sebesar 50 m². Jika kedalaman air kolam adalah 2 meter, berapa volume air kolam renang tersebut?</t>
  </si>
  <si>
    <t>100 m³</t>
  </si>
  <si>
    <t>Dinding berukuran 6 meter × 3 meter akan dipasangi panel kaca persegi berukuran 50 cm × 50 cm. Jika biaya pemasangan satu panel kaca adalah Rp25.000, berapakah total biaya yang dibutuhkan untuk menutup seluruh dinding dengan panel kaca?</t>
  </si>
  <si>
    <t>Rp450.000</t>
  </si>
  <si>
    <t>Rp900.000</t>
  </si>
  <si>
    <t>200 m³</t>
  </si>
  <si>
    <t>Rp1.800.000</t>
  </si>
  <si>
    <t>Rp2.250.000</t>
  </si>
  <si>
    <t>150 m³</t>
  </si>
  <si>
    <t>Rp4.500.000</t>
  </si>
  <si>
    <t>500 m³</t>
  </si>
  <si>
    <t>Langkah 1: Hitung luas dinding = 600 cm × 300 cm = 180.000 cm². Langkah 2: Hitung luas satu panel kaca = 50 cm × 50 cm = 2.500 cm². Langkah 3: Hitung jumlah panel kaca yang dibutuhkan = 180.000 / 2.500 = 72 panel. Langkah 4: Hitung total biaya = 72 × Rp25.000 = Rp1.800.000... Wait, 72 × 25.000 = Rp1.800.000 (Opsi C). Koreksi hitungan: Total biaya = Rp1.800.000.</t>
  </si>
  <si>
    <t>Volume air kolam = luas alas × tinggi (kedalaman) = 50 m² × 2 m = 100 m³.</t>
  </si>
  <si>
    <t>PM-08-S-30</t>
  </si>
  <si>
    <t>Sebuah taman berbentuk lingkaran memiliki keliling 88 meter. Jika di sekeliling taman tersebut dibangun jalan selebar 3,5 meter di sisi luarnya, berapakah luas jalan tersebut jika pi = 22/7?</t>
  </si>
  <si>
    <t>PM-09-R-10</t>
  </si>
  <si>
    <t>308 m²</t>
  </si>
  <si>
    <t>346,5 m²</t>
  </si>
  <si>
    <t>924 m²</t>
  </si>
  <si>
    <t>962,5 m²</t>
  </si>
  <si>
    <t>Sebuah tangki berbentuk balok memiliki ukuran panjang 2 m, lebar 1,5 m, dan tinggi 1 m. Jika tangki tersebut terisi air setengahnya, volume air di dalam tangki adalah berapa m³?</t>
  </si>
  <si>
    <t>Langkah 1: Hitung jari-jari dalam (r1) dari keliling 2 × (22/7) × r1 = 88 -&gt; r1 = 14 meter. Langkah 2: Hitung jari-jari luar (r2) = 14 + 3,5 = 17,5 meter. Langkah 3: Hitung luas lingkaran dalam = (22/7) × 14 × 14 = 616 m². Langkah 4: Hitung luas lingkaran luar = (22/7) × 17,5 × 17,5 = 962,5 m². Langkah 5: Hitung luas jalan = 962,5 - 616 = 346,5 m².</t>
  </si>
  <si>
    <t>1,5 m³</t>
  </si>
  <si>
    <t>3 m³</t>
  </si>
  <si>
    <t>0,75 m³</t>
  </si>
  <si>
    <t>2 m³</t>
  </si>
  <si>
    <t>1 m³</t>
  </si>
  <si>
    <t>Volume total tangki = 2 m × 1,5 m × 1 m = 3 m³. Karena terisi setengahnya, volume air = 3 / 2 = 1,5 m³.</t>
  </si>
  <si>
    <t>PM-09-R-11</t>
  </si>
  <si>
    <t>PM-08-S-31</t>
  </si>
  <si>
    <t>Suatu ruangan berbentuk kubus memiliki luas alas sebesar 16 m². Volume udara di dalam ruangan tersebut adalah berapa m³?</t>
  </si>
  <si>
    <t>64 m³</t>
  </si>
  <si>
    <t>48 m³</t>
  </si>
  <si>
    <t>32 m³</t>
  </si>
  <si>
    <t>Sebuah aula besar berbentuk persegi panjang dengan ukuran panjang 24 meter dan lebar 18 meter akan dipasang ubin keramik. Di sekeliling tepi dalam aula dipasang border keramik selebar 1 meter yang mengelilingi seluruh dinding. Sisa bagian tengah aula yang berukuran lebih kecil akan dipasang ubin biasa berukuran 50 cm x 50 cm tanpa sisa. Berapa banyak ubin biasa yang dibutuhkan?</t>
  </si>
  <si>
    <t>96 m³</t>
  </si>
  <si>
    <t>256 m³</t>
  </si>
  <si>
    <t>Luas alas kubus = s² = 16 m², maka panjang rusuk s = 4 m. Volume ruangan = s³ = 4³ = 64 m³.</t>
  </si>
  <si>
    <t>1. Ukuran aula dikurangi border 1 meter di setiap sisi sehingga panjang efektif menjadi 24 - 2 = 22 meter dan lebar efektif menjadi 18 - 2 = 16 meter.; 2. Ukuran ubin 50 cm = 0,5 meter.; 3. Jumlah ubin sepanjang panjang adalah 22 / 0,5 = 44 buah.; 4. Jumlah ubin sepanjang lebar adalah 16 / 0,5 = 32 buah.; 5. Total ubin biasa yang dibutuhkan adalah 44 × 32 = 1408 buah.</t>
  </si>
  <si>
    <t>PM-08-S-32</t>
  </si>
  <si>
    <t>PM-09-R-12</t>
  </si>
  <si>
    <t>Sebuah papan reklame berbentuk gabungan trapesium dan persegi panjang. Bagian persegi panjang berukuran panjang 12 meter dan tinggi 8 meter. Di atasnya terdapat bagian trapesium dengan sisi sejajar bawah 12 meter, sisi sejajar atas 6 meter, dan tinggi trapesium 4 meter. Jika seluruh permukaan papan reklame dicat dengan biaya Rp 50.000 per meter persegi, berapa total biaya pengecatan seluruh papan reklame tersebut dalam rupiah?</t>
  </si>
  <si>
    <t>5.500.000</t>
  </si>
  <si>
    <t>6.000.000</t>
  </si>
  <si>
    <t>6.600.000</t>
  </si>
  <si>
    <t>Pak Tono membuat tempat sampah berbentuk balok tanpa tutup dengan panjang 40 cm, lebar 30 cm, dan tinggi 50 cm. Luas permukaan bahan yang dibutuhkan untuk membuat tempat sampah tersebut adalah berapa cm²?</t>
  </si>
  <si>
    <t>7.200.000</t>
  </si>
  <si>
    <t>7.800.000</t>
  </si>
  <si>
    <t>8.200 cm²</t>
  </si>
  <si>
    <t>1. Luas persegi panjang adalah 12 × 8 = 96 m².; 2. Luas trapesium adalah (1/2) × (12 + 6) × 4 = 36 m².; 3. Total luas permukaan papan reklame adalah 96 + 36 = 132 m².; 4. Biaya pengecatan adalah 132 × 50.000 = Rp 6.600.000.</t>
  </si>
  <si>
    <t>9.400 cm²</t>
  </si>
  <si>
    <t>7.000 cm²</t>
  </si>
  <si>
    <t>PM-08-S-33</t>
  </si>
  <si>
    <t>6.000 cm²</t>
  </si>
  <si>
    <t>12.000 cm²</t>
  </si>
  <si>
    <t>Sebuah kebun berbentuk persegi memiliki panjang sisi 40 meter mengalami perubahan ukuran. Panjangnya bertambah 25% dan lebarnya berkurang 10% dari ukuran semula sehingga berubah menjadi persegi panjang. Berapakah selisih luas kebun baru terhadap luas kebun semula dalam satuan meter persegi?</t>
  </si>
  <si>
    <t>Luas permukaan balok tanpa tutup = (panjang × lebar) + 2 × (panjang × tinggi) + 2 × (lebar × tinggi) = (40 × 30) + 2 × (40 × 50) + 2 × (30 × 50) = 1.200 + 4.000 + 3.000 = 8.200 cm².</t>
  </si>
  <si>
    <t>1. Luas kebun semula adalah 40 × 40 = 1600 m².; 2. Panjang kebun baru menjadi 40 × 1,25 = 50 meter.; 3. Lebar kebun baru menjadi 40 × (1 - 0,10) = 36 meter.; 4. Luas kebun baru adalah 50 × 36 = 1800 m².; 5. Selisih luas kebun baru dan semula adalah 1800 - 1600 = 200 m².</t>
  </si>
  <si>
    <t>PM-09-R-13</t>
  </si>
  <si>
    <t>PM-08-S-34</t>
  </si>
  <si>
    <t>Sebuah lampu jalan dipasang pada ketinggian 9 meter di atas tanah datar. Seorang anak dengan tinggi badan 150 cm berjalan menjauhi tiang lampu. Pada posisi awal, panjang bayangan anak tersebut adalah 2 meter. Jika anak tersebut berjalan menjauhi tiang lampu dengan kelajuan tetap 1 meter per detik selama 5 detik, berapakah panjang bayangan anak tersebut pada posisi akhirnya dalam meter?</t>
  </si>
  <si>
    <t>Sebuah kerucut memiliki luas alas 30 cm² dan volume 120 cm³. Tinggi kerucut tersebut adalah berapa cm?</t>
  </si>
  <si>
    <t>1. Rasio perbandingan tinggi lampu dan anak adalah 9 / 1,5 = 6, sehingga panjang bayangan b = jarak anak / (6 - 1) = jarak anak / 5.; 2. Pada posisi awal dengan bayangan 2 meter, jarak anak ke tiang adalah 5 × 2 = 10 meter.; 3. Anak berjalan selama 5 detik dengan kelajuan 1 m/s sejauh 5 meter, sehingga jarak akhir anak ke tiang adalah 10 + 5 = 15 meter.; 4. Panjang bayangan pada posisi akhir adalah 15 / 5 = 3 meter.</t>
  </si>
  <si>
    <t>PM-08-S-35</t>
  </si>
  <si>
    <t>Volume kerucut = (1/3) × luas alas × tinggi. Maka 120 = (1/3) × 30 × tinggi, sehingga 120 = 10 × tinggi, maka tinggi = 120 / 10 = 12 cm.</t>
  </si>
  <si>
    <t>Sebuah lapangan berbentuk persegi panjang memiliki keliling 120 meter dengan perbandingan panjang dan lebar adalah 2 : 1. Di tengah lapangan tersebut dibuat kolam ikan berbentuk lingkaran dengan jari-jari 7 meter dan nilai pi = 22/7. Berapakah luas sisa lapangan di luar kolam ikan tersebut dalam satuan meter persegi?</t>
  </si>
  <si>
    <t>PM-09-R-14</t>
  </si>
  <si>
    <t>1. Keliling persegi panjang 120 meter, maka panjang + lebar = 60 meter.; 2. Dengan perbandingan 2 : 1, diperoleh panjang = 40 meter dan lebar = 20 meter.; 3. Luas lapangan persegi panjang adalah 40 × 20 = 800 m².; 4. Luas kolam lingkaran adalah (22/7) × 7² = 154 m².; 5. Luas sisa lapangan adalah 800 - 154 = 646 m².</t>
  </si>
  <si>
    <t>PM-08-S-36</t>
  </si>
  <si>
    <t>Berapa banyak kubus kecil dengan panjang rusuk 2 cm yang dapat dimasukkan ke dalam kotak berbentuk kubus dengan panjang rusuk 10 cm hingga penuh?</t>
  </si>
  <si>
    <t>125 buah</t>
  </si>
  <si>
    <t>25 buah</t>
  </si>
  <si>
    <t>Pada dinding aula dipasang lampu pada ketinggian 6 meter dari lantai. Tepat di bawah lampu diletakkan meja segitiga utuh dengan luas permukaan 8 meter persegi dan tinggi meja 2 meter dari lantai. Di atas meja tersebut digelar taplak berbentuk segitiga yang sebangun dengan permukaan meja dan memiliki luas 4 meter persegi. Proyeksi cahaya lampu membentuk bayangan meja dan taplak di lantai ruangan. Berapakah luas bayangan permukaan meja di lantai yang TIDAK tertutup oleh bayangan taplak dalam satuan meter persegi?</t>
  </si>
  <si>
    <t>5 buah</t>
  </si>
  <si>
    <t>50 buah</t>
  </si>
  <si>
    <t>250 buah</t>
  </si>
  <si>
    <t>1. Tentukan jarak lampu ke meja yaitu 6 - 2 = 4 meter.; 2. Hitung faktor skala linear proyeksi k = Tinggi Lampu / Jarak Lampu ke Meja = 6 / 4 = 3/2.; 3. Hitung faktor skala luas k² = (3/2)² = 9/4.; 4. Hitung luas bayangan meja utuh = 8 × (9/4) = 18 meter persegi.; 5. Hitung luas bayangan taplak = 4 × (9/4) = 9 meter persegi.; 6. Luas bayangan meja yang tidak tertutup taplak = 18 - 9 = 9 meter persegi.</t>
  </si>
  <si>
    <t>Banyak kubus kecil = Volume kubus besar / Volume kubus kecil = (10 × 10 × 10) / (2 × 2 × 2) = 1.000 / 8 = 125 buah.</t>
  </si>
  <si>
    <t>PM-08-S-37</t>
  </si>
  <si>
    <t>PM-09-R-15</t>
  </si>
  <si>
    <t>Seorang petani memiliki kebun berbentuk persegi panjang berukuran panjang 40 meter dan lebar 20 meter. Petani tersebut mengubah ukuran kebunnya sedemikian rupa sehingga panjangnya bertambah 25% dan lebarnya berkurang 20%. Jika di sekeliling batas luar kebun baru tersebut akan dipasang pagar kawat dengan biaya Rp 50.000,00 per meter, berapakah selisih biaya pemagaran antara kebun baru dan kebun semula dalam satuan rupiah?</t>
  </si>
  <si>
    <t>Rp700.000,00</t>
  </si>
  <si>
    <t>Luas seluruh permukaan sebuah kubus adalah 294 cm². Volume kubus tersebut adalah berapa cm³?</t>
  </si>
  <si>
    <t>1. Hitung keliling kebun semula = 2 × (40 + 20) = 120 meter.; 2. Hitung panjang baru = 40 × 1,25 = 50 meter dan lebar baru = 20 × 0,80 = 16 meter.; 3. Hitung keliling kebun baru = 2 × (50 + 16) = 132 meter.; 4. Hitung selisih keliling = 132 - 120 = 12 meter.; 5. Hitung selisih biaya pemagaran = 12 × Rp 50.000,00 = Rp 600.000,00.</t>
  </si>
  <si>
    <t>343 cm³</t>
  </si>
  <si>
    <t>49 cm³</t>
  </si>
  <si>
    <t>216 cm³</t>
  </si>
  <si>
    <t>PM-08-S-38</t>
  </si>
  <si>
    <t>512 cm³</t>
  </si>
  <si>
    <t>196 cm³</t>
  </si>
  <si>
    <t>Sebuah papan reklame besar dirancang dari 25 panel kaca berbentuk persegi berukuran 40 cm x 40 cm yang disusun dalam grid 5 baris dan 5 kolom. Di antara dua panel kaca yang berdampingan diberi sekat bingkai kayu selebar 5 cm, sedangkan pada tepi terluar seluruh papan reklame diberi bingkai kayu yang lebarnya 10 cm. Berapakah luas permukaan bingkai kayu saja pada papan reklame tersebut dalam satuan desimeter persegi (dm²)?</t>
  </si>
  <si>
    <t>Luas permukaan kubus = 6 × s² = 294 cm², maka s² = 294 / 6 = 49, sehingga s = 7 cm. Volume kubus = s³ = 7³ = 343 cm³.</t>
  </si>
  <si>
    <t>136 dm²</t>
  </si>
  <si>
    <t>156 dm²</t>
  </si>
  <si>
    <t>176 dm²</t>
  </si>
  <si>
    <t>196 dm²</t>
  </si>
  <si>
    <t>216 dm²</t>
  </si>
  <si>
    <t>1. Hitung total sekat tengah horizontal/vertikal = (5 - 1) × 5 cm = 20 cm.; 2. Hitung total lebar bingkai tepi = 2 × 10 cm = 20 cm.; 3. Hitung panjang dan lebar total papan reklame = (5 × 40 cm) + 20 cm + 20 cm = 240 cm = 24 dm.; 4. Hitung luas total papan reklame = 24 dm × 24 dm = 576 dm².; 5. Hitung luas murni 25 panel kaca = 25 × (4 dm × 4 dm) = 400 dm².; 6. Hitung luas bingkai kayu saja = 576 dm² - 400 dm² = 176 dm².</t>
  </si>
  <si>
    <t>PM-08-S-39</t>
  </si>
  <si>
    <t>Sebuah tiang lampu jalan memiliki tinggi 12 meter dari permukaan tanah. Seorang anak setinggi 2 meter berada pada posisi awal yang berjarak 20 meter dari kaki tiang lampu. Anak tersebut kemudian berjalan lurus tegak lurus terhadap arah tiang lampu sejauh 15 meter ke posisi baru. Berapakah pertambahan panjang bayangan anak tersebut pada posisi baru dibanding posisi awal dalam satuan meter?</t>
  </si>
  <si>
    <t>1 meter</t>
  </si>
  <si>
    <t>2 meter</t>
  </si>
  <si>
    <t>1. Gunakan rasio kesebangunan bayangan b = x / 5 di mana x adalah jarak anak ke tiang lampu.; 2. Hitung panjang bayangan awal b1 = 20 / 5 = 4 meter.; 3. Gunakan teorema Pythagoras untuk menghitung jarak posisi baru anak ke tiang lampu x2 = akar(20² + 15²) = akar(400 + 225) = akar(625) = 25 meter.; 4. Hitung panjang bayangan baru b2 = 25 / 5 = 5 meter.; 5. Hitung pertambahan panjang bayangan = 5 - 4 = 1 meter.</t>
  </si>
  <si>
    <t>PM-08-S-40</t>
  </si>
  <si>
    <t>Sebuah komplek olahraga memiliki lintasan lari yang terdiri dari bagian tengah berbentuk persegi panjang berukuran 100 meter x 42 meter dan dua daerah setengah lingkaran pada kedua ujung lebarnya. Di sekeliling batas luar lintasan lari tersebut ditambahkan area tribun penonton selebar 7 meter yang mengelilingi seluruh lintasan. Berapakah luas area tribun penonton tersebut dalam satuan meter persegi? (Gunakan pi = 22/7)</t>
  </si>
  <si>
    <t>2.156 m²</t>
  </si>
  <si>
    <t>2.324 m²</t>
  </si>
  <si>
    <t>2.478 m²</t>
  </si>
  <si>
    <t>2.580 m²</t>
  </si>
  <si>
    <t>2.642 m²</t>
  </si>
  <si>
    <t>PM-09-S-16</t>
  </si>
  <si>
    <t>1. Hitung luas lintasan dalam = Luas persegi panjang dalam + Luas 1 lingkaran dalam = (100 × 42) + ((22/7) × 21 × 21) = 4.200 + 1.386 = 5.586 meter persegi.; 2. Tentukan dimensi luar: lebar persegi panjang luar = 42 + (2 × 7) = 56 meter, dan jari-jari lingkaran luar = 21 + 7 = 28 meter.; 3. Hitung luas area luar = (100 × 56) + ((22/7) × 28 × 28) = 5.600 + 2.464 = 8.064 meter persegi.; 4. Hitung luas area tribun penonton = Luas area luar - Luas lintasan dalam = 8.064 - 5.586 = 2.478 meter persegi.</t>
  </si>
  <si>
    <t>PM-08-S-41</t>
  </si>
  <si>
    <t>Pada dinding ruangan dipasang lampu titik pada ketinggian 10 meter dari lantai. Tepat di bawah lampu diletakkan papan reklame berbentuk persegi panjang berukuran 2 meter x 1 meter dengan posisi tinggi papan 5 meter dari lantai. Di tengah papan reklame tersebut terdapat logo berbentuk persegi dengan panjang sisi 0,5 meter. Sinar lampu memproyeksikan bayangan papan reklame beserta logonya di lantai ruangan. Berapakah luas bayangan papan reklame di lantai yang TIDAK tertutup oleh bayangan logo dalam satuan meter persegi?</t>
  </si>
  <si>
    <t>Sebuah akuarium berbentuk balok berukuran panjang 1 m, lebar 60 cm, dan tinggi 50 cm diisi air hingga 4/5 dari kapasitas totalnya. Berapa liter air yang ada di dalam akuarium tersebut?</t>
  </si>
  <si>
    <t>200 liter</t>
  </si>
  <si>
    <t>1. Tentukan faktor skala linear k = Tinggi Lampu / Jarak Lampu ke Papan = 10 / 5 = 2.; 2. Hitung faktor skala luas k² = 2² = 4.; 3. Hitung luas papan reklame utuh = 2 × 1 = 2 meter persegi.; 4. Hitung luas bayangan papan reklame = 2 × 4 = 8 meter persegi.; 5. Hitung luas logo = 0,5 × 0,5 = 0,25 meter persegi, sehingga luas bayangan logo = 0,25 × 4 = 1 meter persegi.; 6. Luas bayangan papan reklame yang tidak tertutup logo = 8 - 1 = 7 meter persegi.</t>
  </si>
  <si>
    <t>180 liter</t>
  </si>
  <si>
    <t>250 liter</t>
  </si>
  <si>
    <t>PM-08-S-42</t>
  </si>
  <si>
    <t>Panjang = 1 m = 10 dm, lebar = 60 cm = 6 dm, tinggi = 50 cm = 5 dm. Volume total balok = 10 × 6 × 5 = 300 dm³ = 300 liter. Volume air = 4/5 × 300 = 240 liter.</t>
  </si>
  <si>
    <t>Sebuah lapangan semula berbentuk persegi dengan panjang sisi 30 meter mengalami modifikasi ukuran. Panjangnya ditambah 40% dan lebarnya dikurangi 20% sehingga berubah menjadi berbentuk persegi panjang. Di sekeliling luar lapangan baru tersebut kemudian dibuat jalan setapak selebar 1 meter. Berapakah luas jalan setapak saja yang mengelilingi lapangan baru tersebut dalam satuan meter persegi?</t>
  </si>
  <si>
    <t>PM-09-S-17</t>
  </si>
  <si>
    <t>1. Hitung panjang baru = 30 × 1,4 = 42 meter dan lebar baru = 30 × 0,8 = 24 meter.; 2. Hitung luas lapangan baru = 42 × 24 = 1.008 meter persegi.; 3. Tentukan dimensi luar beserta jalan setapak: panjang luar = 42 + (2 × 1) = 44 meter dan lebar luar = 24 + (2 × 1) = 26 meter.; 4. Hitung luas total termasuk jalan setapak = 44 × 26 = 1.144 meter persegi.; 5. Hitung luas jalan setapak saja = 1.144 - 1.008 = 136 meter persegi.</t>
  </si>
  <si>
    <t>Tempat penampungan air berbentuk tabung memiliki jari-jari alas 70 cm dan tinggi 1,5 m. Jika air dialirkan keluar dengan laju konstan 22 liter per menit, berapa menit waktu yang dibutuhkan untuk mengosongkan tempat penampungan air tersebut dari keadaan penuh? (Gunakan π = 22/7)</t>
  </si>
  <si>
    <t>PM-08-S-43</t>
  </si>
  <si>
    <t>105 menit</t>
  </si>
  <si>
    <t>210 menit</t>
  </si>
  <si>
    <t>Sebuah dinding hias dirancang dari 16 panel kaca berbentuk persegi berukuran 50 cm x 50 cm yang disusun dalam grid 4 baris dan 4 kolom. Di antara dua panel kaca yang berdampingan dipasang sekat bingkai kayu selebar 10 cm, sedangkan pada tepi terluar seluruh dinding hias dipasang bingkai kayu yang lebarnya juga 10 cm. Berapakah luas permukaan bingkai kayu saja pada dinding hias tersebut dalam satuan desimeter persegi (dm²)?</t>
  </si>
  <si>
    <t>185 dm²</t>
  </si>
  <si>
    <t>205 dm²</t>
  </si>
  <si>
    <t>225 dm²</t>
  </si>
  <si>
    <t>245 dm²</t>
  </si>
  <si>
    <t>265 dm²</t>
  </si>
  <si>
    <t>1. Hitung total sekat tengah horizontal/vertikal = (4 - 1) × 10 cm = 30 cm.; 2. Hitung total lebar bingkai tepi = 2 × 10 cm = 20 cm.; 3. Hitung panjang dan lebar total dinding hias = (4 × 50 cm) + 30 cm + 20 cm = 250 cm = 25 dm.; 4. Hitung luas total dinding hias = 25 dm × 25 dm = 625 dm².; 5. Hitung luas murni 16 panel kaca = 16 × (5 dm × 5 dm) = 400 dm².; 6. Hitung luas bingkai kayu saja = 625 dm² - 400 dm² = 225 dm².</t>
  </si>
  <si>
    <t>PM-08-S-44</t>
  </si>
  <si>
    <t>Jari-jari = 7 dm, tinggi = 15 dm. Volume tabung = (22/7) × 7² × 15 = (22/7) × 49 × 15 = 22 × 7 × 15 = 2.310 dm³ = 2.310 liter. Waktu pengosongan = 2.310 / 22 = 105 menit.</t>
  </si>
  <si>
    <t>Sebuah tiang lampu taman memiliki tinggi 10 meter dari permukaan tanah. Seorang anak setinggi 2 meter berada pada posisi awal yang berjarak 12 meter dari kaki tiang lampu. Anak tersebut kemudian berjalan lurus tegak lurus terhadap arah lintasan awal sejauh 16 meter ke posisi baru. Berapakah pertambahan panjang bayangan anak tersebut pada posisi baru dibanding posisi awal dalam satuan meter?</t>
  </si>
  <si>
    <t>PM-09-S-18</t>
  </si>
  <si>
    <t>1. Gunakan rasio kesebangunan bayangan b = x / (10/2 - 1) = x / 4 di mana x adalah jarak anak ke tiang lampu.; 2. Hitung panjang bayangan awal b1 = 12 / 4 = 3 meter.; 3. Gunakan teorema Pythagoras untuk menghitung jarak posisi baru anak ke tiang lampu x2 = akar(12² + 16²) = akar(144 + 256) = akar(400) = 20 meter.; 4. Hitung panjang bayangan baru b2 = 20 / 4 = 5 meter.; 5. Hitung pertambahan panjang bayangan = 5 - 3 = 2 meter.</t>
  </si>
  <si>
    <t>PM-08-S-45</t>
  </si>
  <si>
    <t>Sebuah ruangan berbentuk kubus memiliki tinggi 4 m. Dinding ruangan tersebut dilapisi oleh ubin berbentuk balok dengan tampak depan berukuran 20 cm × 25 cm tanpa celah. Berapa banyak ubin yang dibutuhkan untuk melapisi salah satu dinding ruangan tersebut secara penuh?</t>
  </si>
  <si>
    <t>320 buah</t>
  </si>
  <si>
    <t>Sebuah taman kota memiliki area dalam berbentuk persegi panjang berukuran 60 meter x 28 meter dengan dua daerah setengah lingkaran pada kedua ujung lebarnya. Di sekeliling luar taman tersebut akan dibuat kolam hias selebar 7 meter yang mengelilingi seluruh area taman. Berapakah luas area kolam hias saja dalam satuan meter persegi? (Gunakan pi = 22/7)</t>
  </si>
  <si>
    <t>1.450 m²</t>
  </si>
  <si>
    <t>160 buah</t>
  </si>
  <si>
    <t>1.520 m²</t>
  </si>
  <si>
    <t>1.610 m²</t>
  </si>
  <si>
    <t>1.700 m²</t>
  </si>
  <si>
    <t>1.820 m²</t>
  </si>
  <si>
    <t>640 buah</t>
  </si>
  <si>
    <t>Luas salah satu dinding kubus = 4 m × 4 m = 16 m² = 160.000 cm². Luas tampak depan 1 ubin = 20 cm × 25 cm = 500 cm². Jumlah ubin yang dibutuhkan = 160.000 / 500 = 320 buah.</t>
  </si>
  <si>
    <t>1. Hitung luas taman dalam = Luas persegi panjang dalam + Luas 1 lingkaran dalam = (60 × 28) + ((22/7) × 14 × 14) = 1.680 + 616 = 2.296 meter persegi.; 2. Tentukan dimensi luar: lebar persegi panjang luar = 28 + (2 × 7) = 42 meter, dan jari-jari lingkaran luar = 14 + 7 = 21 meter.; 3. Hitung luas area luar = (60 × 42) + ((22/7) × 21 × 21) = 2.520 + 1.386 = 3.906 meter persegi.; 4. Hitung luas area kolam hias saja = Luas area luar - Luas taman dalam = 3.906 - 2.296 = 1.610 meter persegi.</t>
  </si>
  <si>
    <t>PM-09-S-19</t>
  </si>
  <si>
    <t>TOTAL Materi 08 — Pengukuran Bangun Datar</t>
  </si>
  <si>
    <t>Sebuah kubus kayu dipotong menjadi 64 buah kubus-kubus kecil yang identik dengan panjang rusuk masing-masing 3 cm. Panjang rusuk kubus kayu semula sebelum dipotong adalah berapa cm?</t>
  </si>
  <si>
    <t>Volume 1 kubus kecil = 3³ = 27 cm³. Volume total 64 kubus kecil = 64 × 27 = 1.728 cm³. Karena volume kubus semula = s³, maka s = akar pangkat tiga dari 1.728 = 12 cm.</t>
  </si>
  <si>
    <t>PM-09-S-20</t>
  </si>
  <si>
    <t>Sebuah kolam renang berbentuk balok memiliki panjang 20 m, lebar 10 m, dan kedalaman 2 m. Seluruh permukaan dalam dinding dan lantai kolam akan dipasangi keramik. Jika biaya pemasangan keramik adalah Rp100.000,00 per m², berapa total biaya yang dibutuhkan?</t>
  </si>
  <si>
    <t>Rp320.000.000,00</t>
  </si>
  <si>
    <t>Rp200.000.000,00</t>
  </si>
  <si>
    <t>Rp400.000.000,00</t>
  </si>
  <si>
    <t>Rp120.000.000,00</t>
  </si>
  <si>
    <t>Rp280.000.000,00</t>
  </si>
  <si>
    <t>Permukaan dalam kolam tanpa tutup terdiri dari alas dan 4 dinding. Luas permukaan dalam = (panjang × lebar) + 2 × (panjang × kedalaman) + 2 × (lebar × kedalaman) = (20 × 10) + 2 × (20 × 2) + 2 × (10 × 2) = 200 + 80 + 40 = 320 m². Total biaya = 320 × Rp100.000,00 = Rp320.000.000,00.</t>
  </si>
  <si>
    <t>PM-09-S-21</t>
  </si>
  <si>
    <t>Dua buah kubus masing-masing memiliki panjang rusuk 6 cm dan 12 cm. Perbandingan volume kedua kubus tersebut adalah ...</t>
  </si>
  <si>
    <t>1 : 8</t>
  </si>
  <si>
    <t>1 : 4</t>
  </si>
  <si>
    <t>1 : 16</t>
  </si>
  <si>
    <t>1 : 6</t>
  </si>
  <si>
    <t>Perbandingan volume dua kubus sama dengan perbandingan pangkat tiga panjang rusuknya. V1 : V2 = 6³ : 12³ = (6/12)³ = (1/2)³ = 1 : 8.</t>
  </si>
  <si>
    <t>PM-09-S-22</t>
  </si>
  <si>
    <t>Sebuah kerucut terbuat dari cetakan padat dengan luas alas 50 cm² dan tinggi 12 cm. Kerucut tersebut dilelehkan dan dicetak ulang menjadi sebuah prisma segitiga dengan luas alas 20 cm². Tinggi prisma segitiga yang terbentuk adalah berapa cm?</t>
  </si>
  <si>
    <t>30 cm</t>
  </si>
  <si>
    <t>Volume kerucut = (1/3) × luas alas × tinggi = (1/3) × 50 × 12 = 200 cm³. Karena dilelehkan dan dicetak ulang, volume prisma = volume kerucut = 200 cm³. Volume prisma = luas alas × tinggi prisma, sehingga 200 = 20 × tinggi prisma, maka tinggi prisma = 200 / 20 = 10 cm.</t>
  </si>
  <si>
    <t>PM-09-S-23</t>
  </si>
  <si>
    <t>Sebuah kaleng berbentuk tabung tanpa tutup memiliki jari-jari 10 cm dan tinggi 20 cm. Luas bahan plat besi minimum yang diperlukan untuk membuat kaleng tersebut adalah berapa cm²? (Gunakan π = 3,14)</t>
  </si>
  <si>
    <t>1.570 cm²</t>
  </si>
  <si>
    <t>1.256 cm²</t>
  </si>
  <si>
    <t>1.884 cm²</t>
  </si>
  <si>
    <t>1.413 cm²</t>
  </si>
  <si>
    <t>Luas permukaan tabung tanpa tutup = luas alas + luas selimut = π × r² + 2 × π × r × t = (3,14 × 10²) + (2 × 3,14 × 10 × 20) = 314 + 1.256 = 1.570 cm².</t>
  </si>
  <si>
    <t>PM-09-S-24</t>
  </si>
  <si>
    <t>Sebuah bak mandi berbentuk balok berukuran panjang 120 cm, lebar 80 cm, dan tinggi 100 cm terisi air separuhnya. Jika dimasukkan sebuah batu besar sehingga air dalam bak naik setinggi 15 cm, volume batu tersebut adalah berapa liter?</t>
  </si>
  <si>
    <t>144 liter</t>
  </si>
  <si>
    <t>96 liter</t>
  </si>
  <si>
    <t>1.440 liter</t>
  </si>
  <si>
    <t>288 liter</t>
  </si>
  <si>
    <t>72 liter</t>
  </si>
  <si>
    <t>Pertambahan volume air sama dengan volume batu yang dimasukkan. Pertambahan tinggi air = 15 cm = 1,5 dm. Panjang = 12 dm, lebar = 8 dm. Volume batu = panjang × lebar × pertambahan tinggi = 12 × 8 × 1,5 = 144 dm³ = 144 liter.</t>
  </si>
  <si>
    <t>PM-09-S-25</t>
  </si>
  <si>
    <t>Sebuah wadah tabung memiliki diameter alas 20 cm dan tinggi 30 cm terisi penuh air. Air tersebut dituangkan seluruhnya ke dalam beberapa wadah kecil berbentuk balok berukuran 5 cm × 4 cm × 10 cm. Banyaknya wadah kecil yang dapat terisi penuh oleh air tersebut adalah berapa buah? (Gunakan π = 3,14)</t>
  </si>
  <si>
    <t>47 buah</t>
  </si>
  <si>
    <t>94 buah</t>
  </si>
  <si>
    <t>23 buah</t>
  </si>
  <si>
    <t>157 buah</t>
  </si>
  <si>
    <t>31 buah</t>
  </si>
  <si>
    <t>Radius tabung = 20 / 2 = 10 cm. Volume tabung = π × r² × t = 3,14 × 10² × 30 = 9.420 cm³. Volume 1 wadah kecil = 5 × 4 × 10 = 200 cm³. Banyak wadah kecil yang terisi penuh = 9.420 / 200 = 47,1, sehingga wadah yang terisi penuh adalah 47 buah.</t>
  </si>
  <si>
    <t>PM-09-S-26</t>
  </si>
  <si>
    <t>Panjang seluruh kawat yang dibutuhkan untuk membuat kerangka sebuah balok berukuran 15 cm × 10 cm × 5 cm adalah berapa cm?</t>
  </si>
  <si>
    <t>120 cm</t>
  </si>
  <si>
    <t>150 cm</t>
  </si>
  <si>
    <t>240 cm</t>
  </si>
  <si>
    <t>Sebuah balok memiliki 12 rusuk yang terdiri dari 4 panjang, 4 lebar, dan 4 tinggi. Panjang total kerangka = 4 × (panjang + lebar + tinggi) = 4 × (15 + 10 + 5) = 4 × 30 = 120 cm.</t>
  </si>
  <si>
    <t>PM-09-S-27</t>
  </si>
  <si>
    <t>Sebuah cetakan es berbentuk limas segi empat beraturan dengan panjang sisi alas 6 cm dan tinggi limas 10 cm. Jika tersedia 3,6 liter adonan es cair, berapa banyak cetakan es yang dapat diisi penuh secara bersamaan?</t>
  </si>
  <si>
    <t>60 buah</t>
  </si>
  <si>
    <t>120 buah</t>
  </si>
  <si>
    <t>360 buah</t>
  </si>
  <si>
    <t>Volume 1 cetakan limas = (1/3) × luas alas × tinggi = (1/3) × (6 × 6) × 10 = (1/3) × 36 × 10 = 120 cm³. Total adonan cair = 3,6 liter = 3.600 cm³. Banyak cetakan yang dapat diisi penuh = 3.600 / 120 = 300 buah.</t>
  </si>
  <si>
    <t>PM-09-S-28</t>
  </si>
  <si>
    <t>Sebuah kubus logam padat dengan panjang rusuk 10 cm dilelehkan untuk dibuat menjadi kubus-kubus kecil dengan panjang rusuk 2 cm. Jika dalam proses pelelehan terdapat 20% volume logam yang hilang, berapa banyak kubus kecil yang dapat dihasilkan?</t>
  </si>
  <si>
    <t>80 buah</t>
  </si>
  <si>
    <t>Volume awal kubus logam = 10³ = 1.000 cm³. Logam yang hilang 20%, maka sisa logam yang tersisa = 80% × 1.000 = 800 cm³. Volume 1 kubus kecil = 2³ = 8 cm³. Banyak kubus kecil yang dihasilkan = 800 / 8 = 100 buah.</t>
  </si>
  <si>
    <t>PM-09-S-29</t>
  </si>
  <si>
    <t>Pernyataan manakah yang paling tepat mengenai perubahan volume bangun ruang balok jika semua panjang rusuknya (panjang, lebar, dan tinggi) diperbesar menjadi 2 kali lipat dari ukuran semula?</t>
  </si>
  <si>
    <t>Volume balok menjadi 8 kali lipat dari volume semula</t>
  </si>
  <si>
    <t>Volume balok menjadi 2 kali lipat dari volume semula</t>
  </si>
  <si>
    <t>Volume balok menjadi 4 kali lipat dari volume semula</t>
  </si>
  <si>
    <t>Volume balok menjadi 6 kali lipat dari volume semula</t>
  </si>
  <si>
    <t>Volume balok tetap sama dengan volume semula</t>
  </si>
  <si>
    <t>Opsi A benar karena volume balok semula adalah V = p × l × t, sedangkan volume balok baru adalah V_baru = (2p) × (2l) × (2t) = 8 × (p × l × t) = 8V. Opsi B salah karena perbesaran 2 kali lipat hanya berlaku jika satu dimensi yang diperbesar. Opsi C salah karena angka 4 merupakan faktor perbesaran luas permukaan, bukan volume. Opsi D salah karena angka 6 diperoleh dari penjumlahan faktor perbesaran (2+2+2), bukan perkalian kuantitas ruang. Opsi E salah karena perubahan dimensi rusuk pasti mengubah kapasitas volume secara kuadratik/kubik.</t>
  </si>
  <si>
    <t>PM-09-S-30</t>
  </si>
  <si>
    <t>Sebuah ruangan berbentuk balok berukuran panjang 8 m, lebar 6 m, dan tinggi 3 m. Jika ruangan tersebut akan dipasangi AC dengan kapasitas minimum 1 PK per 40 m³ udara, berapa kapasitas minimum AC yang dibutuhkan agar dapat mendinginkan seluruh udara di ruangan tersebut?</t>
  </si>
  <si>
    <t>3,6 PK</t>
  </si>
  <si>
    <t>2,4 PK</t>
  </si>
  <si>
    <t>4,8 PK</t>
  </si>
  <si>
    <t>1,2 PK</t>
  </si>
  <si>
    <t>3,0 PK</t>
  </si>
  <si>
    <t>Volume udara ruangan = 8 m × 6 m × 3 m = 144 m³. Kebutuhan kapasitas minimum AC = 144 / 40 = 3,6 PK.</t>
  </si>
  <si>
    <t>PM-09-S-31</t>
  </si>
  <si>
    <t>Sebuah pabrik memproduksi kelereng yang dikemas ke dalam kotak. Jika dikemas dalam kotak berisi 12 butir, tersisa 5 butir. Jika dikemas dalam kotak berisi 15 butir, tersisa 8 butir. Jika dikemas dalam kotak berisi 18 butir, tersisa 11 butir. Berapa jumlah minimum kelereng di pabrik tersebut jika jumlahnya berada di atas 500 butir?</t>
  </si>
  <si>
    <t>Sisa pembagian menunjukkan selisih sisa dan pembagi bernilai sama (12 - 5 = 7, 15 - 8 = 7, 18 - 11 = 7). Maka, jumlah kelereng N memenuhi N + 7 = KPK(12, 15, 18) × k. KPK dari 12, 15, dan 18 adalah 180, sehingga N = 180k - 7. Untuk N &gt; 500, nilai k minimum adalah 3, yang menghasilkan N = 180(3) - 7 = 540 - 7 = 533.</t>
  </si>
  <si>
    <t>PM-09-S-32</t>
  </si>
  <si>
    <t>Sebuah bilangan tiga digit mempunyai angka ratusan, puluhan, dan satuan yang membentuk barisan aritmetika dengan beda 2 (ratusan &lt; puluhan &lt; satuan). Jika bilangan tersebut dikurangkan dengan bilangan yang diperoleh dari membalik urutan digitnya, selisih yang dihasilkan adalah 396. Berapa jumlah dari ketiga digit bilangan tersebut?</t>
  </si>
  <si>
    <t>Misal digit bilangan adalah a, a+2, dan a+4. Selisih bilangan awal dan kebalikannya selalu bernilai 99 × (beda digit) = 99 × 4 = 396. Berdasarkan kondisi soal, hasil kali angka ratusan dan satuan adalah a(a+4) = 21, yang menghasilkan a = 3 (digit 3, 5, 7). Jumlah ketiga digit tersebut adalah 3 + 5 + 7 = 15.</t>
  </si>
  <si>
    <t>PM-09-S-33</t>
  </si>
  <si>
    <t>Sebuah gudang menyimpan sejumlah kotak barang yang jika dikelompokkan dalam tumpukan 24 kotak selalu bersisa 7 kotak, jika dikelompokkan dalam tumpukan 36 kotak selalu bersisa 19 kotak, dan jika dikelompokkan dalam tumpukan 40 kotak selalu bersisa 23 kotak. Berapa jumlah kotak barang di gudang tersebut jika diketahui nilainya adalah yang terbesar di antara 1.000 dan 2.000?</t>
  </si>
  <si>
    <t>Kekurangan kotak untuk pas dalam tumpukan adalah sama yaitu 17 buah (24 - 7 = 17, 36 - 19 = 17, 40 - 23 = 17). Maka jumlah kotak N memenuhi N + 17 = KPK(24, 36, 40) × k = 360k. Sehingga N = 360k - 17. Untuk rentang 1.000 &lt; N &lt; 2.000, nilai k terbesar yang memenuhi adalah k = 5, yang menghasilkan N = 360(5) - 17 = 1800 - 17 = 1783.</t>
  </si>
  <si>
    <t>PM-09-S-34</t>
  </si>
  <si>
    <t>Hasil kali tiga bilangan ganjil berurutan adalah 1.287. Berapa jumlah dari ketiga bilangan tersebut?</t>
  </si>
  <si>
    <t>Misal ketiga bilangan ganjil berurutan adalah n - 2, n, dan n + 2. Hasil kalinya adalah n(n² - 4) = 1287. Dengan menguji nilai di sekitar akar pangkat tiga dari 1287 (yaitu sekitar 11), diperoleh n = 11. Maka ketiga bilangan tersebut adalah 9, 11, dan 13. Jumlah ketiga bilangan tersebut adalah 9 + 11 + 13 = 33.</t>
  </si>
  <si>
    <t>PM-09-S-35</t>
  </si>
  <si>
    <t>Jika bilangan 7 pangkat 2026 dibagi dengan 100, berapakah jumlah dari dua digit terakhir dari hasil perpangkatan tersebut?</t>
  </si>
  <si>
    <t>Dua digit terakhir dari 7 pangkat 2026 sama dengan sisa pembagian 7^2026 oleh 100. Pola dua digit terakhir dari perpangkatan 7 berulang setiap 4 kali (07, 49, 43, 01). Karena 2026 dibagi 4 bersisa 2, maka 7^2026 ekivalen dengan 7² = 49 modulo 100. Dua digit terakhirnya adalah 4 dan 9, sehingga jumlah kedua digit tersebut adalah 4 + 9 = 13.</t>
  </si>
  <si>
    <t>PM-09-S-36</t>
  </si>
  <si>
    <t>Sebuah ruangan pameran berbentuk kubus memiliki salah satu dinding yang dilapisi penuh oleh 1.600 buah ubin kaca persegi berukuran 20 cm × 20 cm tanpa celah. Di dalam ruangan tersebut diletakkan sebuah wadah penampung air berbentuk kubus dengan tinggi 1/4 dari tinggi ruangan pameran tersebut. Kapasitas air maksimum yang dapat ditampung oleh wadah tersebut hingga penuh adalah berapa liter?</t>
  </si>
  <si>
    <t>8.000 liter</t>
  </si>
  <si>
    <t>1.000 liter</t>
  </si>
  <si>
    <t>2.000 liter</t>
  </si>
  <si>
    <t>4.000 liter</t>
  </si>
  <si>
    <t>16.000 liter</t>
  </si>
  <si>
    <t>Luas 1 ubin kaca = 20 cm × 20 cm = 400 cm² = 0,04 m². Total luas dinding = 1.600 × 0,04 m² = 64 m². Karena ruangan berbentuk kubus, luas dinding = s², sehingga tinggi ruangan s = akar kuadrat dari 64 = 8 m. Tinggi wadah kubus = 1/4 × 8 m = 2 m = 20 dm. Volume maksimum wadah air = (20 dm)³ = 8.000 dm³ = 8.000 liter.</t>
  </si>
  <si>
    <t>PM-09-S-37</t>
  </si>
  <si>
    <t>Sebuah tangki penampungan minyak berbentuk balok memiliki ukuran panjang 10 dm, lebar 10 dm, dan tinggi 20 dm. Pemilik pabrik melakukan modifikasi pada tangki tersebut dengan memperbesar panjang dan lebarnya sebesar 50%, namun mengurangi tingginya sebesar 20%. Jika tangki baru tersebut diisi minyak menggunakan pompa berdebit konstan 40 liter per menit, berapa menit waktu tambahan yang diperlukan untuk mengisi tangki baru hingga penuh dibandingkan tangki lama?</t>
  </si>
  <si>
    <t>40 menit</t>
  </si>
  <si>
    <t>50 menit</t>
  </si>
  <si>
    <t>Volume tangki lama = 10 dm × 10 dm × 20 dm = 2.000 dm³ = 2.000 liter. Panjang dan lebar baru = 10 + 50% = 15 dm. Tinggi baru = 20 - 20% = 16 dm. Volume tangki baru = 15 dm × 15 dm × 16 dm = 3.600 dm³ = 3.600 liter. Pertambahan volume minyak = 3.600 - 2.000 = 1.600 liter. Waktu tambahan yang dibutuhkan = pertambahan volume / debit = 1.600 / 40 = 40 menit.</t>
  </si>
  <si>
    <t>PM-09-S-38</t>
  </si>
  <si>
    <t>Sebuah aula gedung berbentuk balok memiliki ukuran panjang 12 m, lebar 8 m, dan tinggi 4 m. Seluruh permukaan bagian dalam keempat dinding aula tersebut akan dicat ulang, kecuali area pintu dan jendela yang memiliki total luas 16 m². Jika 1 kaleng cat dapat digunakan untuk melapisi seluas 18 m² dinding dan harga 1 kaleng cat adalah Rp150.000,00, berapa total biaya pembelian cat yang dibutuhkan untuk mengecat aula tersebut?</t>
  </si>
  <si>
    <t>Luas total 4 dinding aula = 2 × (panjang × tinggi + lebar × tinggi) = 2 × (12 × 4 + 8 × 4) = 2 × (48 + 32) = 160 m². Luas dinding yang wajib dicat = 160 m² - 16 m² = 144 m². Banyak kaleng cat yang dibutuhkan = 144 / 18 = 8 kaleng. Total biaya pembelian cat = 8 × Rp150.000,00 = Rp1.200.000,00.</t>
  </si>
  <si>
    <t>PM-09-S-39</t>
  </si>
  <si>
    <t>Sebuah tangki berbentuk tabung dengan jari-jari alas 14 cm dan tinggi 30 cm terisi penuh oleh air. Air dari tangki tersebut dialirkan seluruhnya untuk mengisi wadah-wadah kecil berbentuk limas segi empat beraturan hingga penuh tanpa ada air yang tersisa. Jika setiap wadah limas memiliki panjang sisi alas 6 cm dan tinggi 14 cm, berapa banyak wadah limas yang dapat terisi penuh oleh air tersebut? (Gunakan π = 22/7)</t>
  </si>
  <si>
    <t>110 buah</t>
  </si>
  <si>
    <t>55 buah</t>
  </si>
  <si>
    <t>165 buah</t>
  </si>
  <si>
    <t>220 buah</t>
  </si>
  <si>
    <t>330 buah</t>
  </si>
  <si>
    <t>Volume tabung = π × r² × t = (22/7) × 14² × 30 = 22 × 28 × 30 = 18.480 cm³. Volume 1 wadah limas = (1/3) × luas alas × tinggi = (1/3) × (6 × 6) × 14 = 12 × 14 = 168 cm³. Banyak wadah limas yang terisi penuh = volume tabung / volume limas = 18.480 / 168 = 110 buah.</t>
  </si>
  <si>
    <t>PM-09-S-40</t>
  </si>
  <si>
    <t>Sebuah cetakan tumpeng padat berbentuk kerucut memiliki jari-jari alas 14 cm dan tinggi 30 cm. Bagian atas cetakan tersebut dipotong secara sejajar dengan alasnya pada ketinggian tepat separuh dari tinggi total kerucut untuk dibuang. Berapa volume sisa bagian bawah cetakan tumpeng tersebut? (Gunakan π = 22/7)</t>
  </si>
  <si>
    <t>5.390 cm³</t>
  </si>
  <si>
    <t>770 cm³</t>
  </si>
  <si>
    <t>3.080 cm³</t>
  </si>
  <si>
    <t>4.620 cm³</t>
  </si>
  <si>
    <t>6.160 cm³</t>
  </si>
  <si>
    <t>Volume kerucut utuh = (1/3) × π × r² × t = (1/3) × (22/7) × 14² × 30 = 22 × 28 × 10 = 6.160 cm³. Karena dipotong pada 1/2 tinggi dari puncak, rasio skala tinggi k = 1/2. Volume kerucut kecil bagian atas yang dibuang = k³ × Volume utuh = (1/2)³ × 6.160 = (1/8) × 6.160 = 770 cm³. Volume sisa bagian bawah = 6.160 cm³ - 770 cm³ = 5.390 cm³.</t>
  </si>
  <si>
    <t>PM-09-S-41</t>
  </si>
  <si>
    <t>Sebuah aula laboratorium berbentuk kubus memiliki salah satu dinding yang dilapisi penuh oleh 2.025 buah ubin kaca persegi berukuran 20 cm × 20 cm tanpa celah. Di dalam aula tersebut diletakkan sebuah wadah penampung air berbentuk kubus dengan tinggi 1/3 dari tinggi aula tersebut. Kapasitas air maksimum yang dapat ditampung oleh wadah tersebut hingga penuh adalah berapa liter?</t>
  </si>
  <si>
    <t>27.000 liter</t>
  </si>
  <si>
    <t>9.000 liter</t>
  </si>
  <si>
    <t>18.000 liter</t>
  </si>
  <si>
    <t>81.000 liter</t>
  </si>
  <si>
    <t>Luas 1 ubin kaca = 20 cm × 20 cm = 400 cm² = 0,04 m². Total luas dinding = 2.025 × 0,04 m² = 81 m². Karena aula berbentuk kubus, luas dinding = s², sehingga tinggi aula s = akar kuadrat dari 81 = 9 m. Tinggi wadah kubus = 1/3 × 9 m = 3 m = 30 dm. Volume maksimum wadah air = (30 dm)³ = 27.000 dm³ = 27.000 liter.</t>
  </si>
  <si>
    <t>PM-09-S-42</t>
  </si>
  <si>
    <t>Sebuah tangki penampungan air berbentuk balok memiliki ukuran panjang 20 dm, lebar 15 dm, dan tinggi 10 dm. Pemilik fasilitas memperbesar panjang tangki sebesar 25% dan lebarnya sebesar 20%, namun mengurangi tingginya sebesar 10%. Jika tangki baru tersebut diisi air menggunakan pompa berdebit konstan 35 liter per menit, berapa menit waktu tambahan yang diperlukan untuk mengisi tangki baru hingga penuh dibandingkan tangki lama?</t>
  </si>
  <si>
    <t>Volume tangki lama = 20 dm × 15 dm × 10 dm = 3.000 dm³ = 3.000 liter. Panjang baru = 20 + 25% = 25 dm, lebar baru = 15 + 20% = 18 dm, tinggi baru = 10 - 10% = 9 dm. Volume tangki baru = 25 dm × 18 dm × 9 dm = 4.050 dm³ = 4.050 liter. Pertambahan volume air = 4.050 - 3.000 = 1.050 liter. Waktu tambahan yang dibutuhkan = pertambahan volume / debit = 1.050 / 35 = 30 menit.</t>
  </si>
  <si>
    <t>PM-09-S-43</t>
  </si>
  <si>
    <t>Sebuah gedung pertemuan berbentuk balok memiliki ukuran panjang 15 m, lebar 10 m, dan tinggi 5 m. Seluruh permukaan bagian dalam keempat dinding gedung tersebut akan dicat ulang, kecuali area pintu dan jendela yang memiliki total luas 25 m². Jika 1 kaleng cat dapat digunakan untuk melapisi seluas 25 m² dinding dan harga 1 kaleng cat adalah Rp200.000,00, berapa total biaya pembelian cat yang dibutuhkan untuk mengecat gedung tersebut?</t>
  </si>
  <si>
    <t>Luas total 4 dinding gedung = 2 × (panjang × tinggi + lebar × tinggi) = 2 × (15 × 5 + 10 × 5) = 2 × (75 + 50) = 250 m². Luas dinding yang wajib dicat = 250 m² - 25 m² = 225 m². Banyak kaleng cat yang dibutuhkan = 225 / 25 = 9 kaleng. Total biaya pembelian cat = 9 × Rp200.000,00 = Rp1.800.000,00.</t>
  </si>
  <si>
    <t>PM-09-S-44</t>
  </si>
  <si>
    <t>Sebuah tangki berbentuk tabung dengan jari-jari alas 21 cm dan tinggi 30 cm terisi penuh oleh air. Air dari tangki tersebut dialirkan seluruhnya untuk mengisi wadah-wadah kecil berbentuk limas segi empat beraturan hingga penuh tanpa ada air yang tersisa. Jika setiap wadah limas memiliki panjang sisi alas 9 cm dan tinggi 11 cm, berapa banyak wadah limas yang dapat terisi penuh oleh air tersebut? (Gunakan π = 22/7)</t>
  </si>
  <si>
    <t>140 buah</t>
  </si>
  <si>
    <t>70 buah</t>
  </si>
  <si>
    <t>105 buah</t>
  </si>
  <si>
    <t>210 buah</t>
  </si>
  <si>
    <t>280 buah</t>
  </si>
  <si>
    <t>Volume tabung = π × r² × t = (22/7) × 21² × 30 = 22 × 3 × 21 × 30 = 41.580 cm³. Volume 1 wadah limas = (1/3) × luas alas × tinggi = (1/3) × (9 × 9) × 11 = 27 × 11 = 297 cm³. Banyak wadah limas yang terisi penuh = volume tabung / volume limas = 41.580 / 297 = 140 buah.</t>
  </si>
  <si>
    <t>PM-09-S-45</t>
  </si>
  <si>
    <t>Sebuah cetakan kerajinan padat berbentuk kerucut memiliki jari-jari alas 21 cm dan tinggi 40 cm. Bagian atas cetakan tersebut dipotong secara sejajar dengan alasnya pada ketinggian tepat separuh dari tinggi total kerucut untuk dibuang. Berapa volume sisa bagian bawah cetakan kerajinan tersebut? (Gunakan π = 22/7)</t>
  </si>
  <si>
    <t>16.170 cm³</t>
  </si>
  <si>
    <t>2.310 cm³</t>
  </si>
  <si>
    <t>9.240 cm³</t>
  </si>
  <si>
    <t>13.860 cm³</t>
  </si>
  <si>
    <t>18.480 cm³</t>
  </si>
  <si>
    <t>Volume kerucut utuh = (1/3) × π × r² × t = (1/3) × (22/7) × 21² × 40 = 22 × 3 × 21 × 10 = 18.480 cm³. Karena dipotong pada 1/2 tinggi dari puncak, rasio skala tinggi k = 1/2. Volume kerucut kecil bagian atas yang dibuang = k³ × Volume utuh = (1/2)³ × 18.480 = (1/8) × 18.480 = 2.310 cm³. Volume sisa bagian bawah = 18.480 cm³ - 2.310 cm³ = 16.170 cm³.</t>
  </si>
  <si>
    <t>TOTAL Materi 09 — Pengukuran Bangun Ruang</t>
  </si>
  <si>
    <t>PM — Materi 10: Transformasi &amp; Koordinat  |  Target: 45 Soal (15 Ringan · 15 Sedang · 15 Sulit)</t>
  </si>
  <si>
    <t>PM — Materi 11: Teorema Pythagoras &amp; Trigonometri  |  Target: 45 Soal (15 Ringan · 15 Sedang · 15 Sulit)</t>
  </si>
  <si>
    <t>Komponen: Geometri  |  Memahami translasi, rotasi, refleksi, dan dilatasi dalam sistem koordinat Kartesius.</t>
  </si>
  <si>
    <t>Komponen: Geometri  |  Menerapkan teorema Pythagoras dan rasio trigonometri dasar dalam masalah kontekstual.</t>
  </si>
  <si>
    <t>PM-11-R-01</t>
  </si>
  <si>
    <t>PM-10-R-01</t>
  </si>
  <si>
    <t>Sebuah tangga dengan panjang 5 meter disandarkan pada dinding rumah. Jika jarak alas tangga ke dinding adalah 3 meter, berapakah tinggi dinding yang dicapai oleh ujung atas tangga?</t>
  </si>
  <si>
    <t>3,5 meter</t>
  </si>
  <si>
    <t>4,5 meter</t>
  </si>
  <si>
    <t>Posisi kapal laut A berada pada titik koordinat (4, -3) pada peta navigasi. Jika kapal tersebut mengalami pergeseran posisi (translasi) sejauh T = (5, 8), maka posisi koordinat akhir kapal A tersebut adalah ...</t>
  </si>
  <si>
    <t>(9, 5)</t>
  </si>
  <si>
    <t>(9, 11)</t>
  </si>
  <si>
    <t>Menggunakan Teorema Pythagoras: c² = a² + b² di mana c = 5 (panjang tangga) dan a = 3 (jarak alas). Muka b² = c² - a² = 5² - 3² = 25 - 9 = 16. Maka tinggi b = √16 = 4 meter.</t>
  </si>
  <si>
    <t>(-1, 5)</t>
  </si>
  <si>
    <t>(1, 11)</t>
  </si>
  <si>
    <t>(20, -24)</t>
  </si>
  <si>
    <t>PM-11-R-02</t>
  </si>
  <si>
    <t>Posisi awal kapal = (4, -3); Pergeseran T = (5, 8); Koordinat x baru = 4 + 5 = 9; Koordinat y baru = -3 + 8 = 5; Jadi koordinat akhir kapal adalah (9, 5).</t>
  </si>
  <si>
    <t>PM-10-R-02</t>
  </si>
  <si>
    <t>Seorang pengamat melihat puncak tiang bendera dengan sudut elevasi 45°. Jika jarak horizontal pengamat ke tiang bendera adalah 12 meter dan tinggi mata pengamat diabaikan, berapa meter tinggi tiang bendera tersebut?</t>
  </si>
  <si>
    <t>12√2 meter</t>
  </si>
  <si>
    <t>12√3 meter</t>
  </si>
  <si>
    <t>Sebuah titik lokasi radar berada pada koordinat (-6, 7). Titik tersebut ditranslasikan oleh T = (-2, -4). Posisi bayangan koordinat titik radar setelah pergeseran tersebut adalah ...</t>
  </si>
  <si>
    <t>(-4, 3)</t>
  </si>
  <si>
    <t>(-8, 3)</t>
  </si>
  <si>
    <t>Menggunakan perbandingan trigonometri tan(45°) = tinggi / jarak. Karena tan(45°) = 1, maka 1 = tinggi / 12, sehingga tinggi tiang = 12 × 1 = 12 meter.</t>
  </si>
  <si>
    <t>(-8, 11)</t>
  </si>
  <si>
    <t>(8, -3)</t>
  </si>
  <si>
    <t>(-4, 11)</t>
  </si>
  <si>
    <t>PM-11-R-03</t>
  </si>
  <si>
    <t>Koordinat awal = (-6, 7); Vektor pergeseran = (-2, -4); Koordinat x baru = -6 + (-2) = -8; Koordinat y baru = 7 + (-4) = 3; Jadi posisi koordinat hasil pergeseran adalah (-8, 3).</t>
  </si>
  <si>
    <t>Kapal layar berlayar dari pelabuhan A ke arah timur sejauh 9 km, kemudian berbelok ke arah utara sejauh 12 km menuju pelabuhan B. Jarak terpendek dari pelabuhan A ke pelabuhan B adalah ...</t>
  </si>
  <si>
    <t>PM-10-R-03</t>
  </si>
  <si>
    <t>21 km</t>
  </si>
  <si>
    <t>225 km</t>
  </si>
  <si>
    <t>108 km</t>
  </si>
  <si>
    <t>Titik koordinat tempat parkir mobil A berada di P(3, 5). Jika tempat parkir tersebut dicerminkan terhadap sumbu-X, maka koordinat bayangan dari titik P adalah ...</t>
  </si>
  <si>
    <t>Jarak terpendek merupakan hipotenusa dari segitiga siku-siku. Menggunakan Pythagoras: Jarak = √(9² + 12²) = √(81 + 144) = √225 = 15 km.</t>
  </si>
  <si>
    <t>(-3, 5)</t>
  </si>
  <si>
    <t>(-3, -5)</t>
  </si>
  <si>
    <t>PM-11-R-04</t>
  </si>
  <si>
    <t>(3, -5)</t>
  </si>
  <si>
    <t>(5, 3)</t>
  </si>
  <si>
    <t>(-5, -3)</t>
  </si>
  <si>
    <t>Pencerminan terhadap sumbu-X mengubah titik (x, y) menjadi (x, -y). Titik awal P(3, 5), sehingga koordinat bayangannya adalah (3, -5).</t>
  </si>
  <si>
    <t>Pada segitiga siku-siku ABC dengan sudut siku-siku di B, panjang sisi depan sudut A adalah 6 cm dan panjang sisi miringnya adalah 10 cm. Berapakah nilai dari sin(A)?</t>
  </si>
  <si>
    <t>0,6</t>
  </si>
  <si>
    <t>0,75</t>
  </si>
  <si>
    <t>PM-10-R-04</t>
  </si>
  <si>
    <t>0,8</t>
  </si>
  <si>
    <t>1,25</t>
  </si>
  <si>
    <t>1,33</t>
  </si>
  <si>
    <t>Sebuah pos pengawasan berada pada titik koordinat Q(-4, -9). Jika pos pengawasan tersebut dicerminkan terhadap sumbu-Y, maka koordinat titik bayangannya adalah ...</t>
  </si>
  <si>
    <t>Perbandingan sin(A) didefinisikan sebagai sisi depan dibagi sisi miring. Maka sin(A) = 6 / 10 = 0,6.</t>
  </si>
  <si>
    <t>(4, -9)</t>
  </si>
  <si>
    <t>(-4, 9)</t>
  </si>
  <si>
    <t>(4, 9)</t>
  </si>
  <si>
    <t>(-9, -4)</t>
  </si>
  <si>
    <t>PM-11-R-05</t>
  </si>
  <si>
    <t>(9, 4)</t>
  </si>
  <si>
    <t>Pencerminan terhadap sumbu-Y mengubah titik (x, y) menjadi (-x, y). Titik awal Q(-4, -9), sehingga (-x) menjadi -(-4) = 4 dan ordinat y tetap -9. Hasil bayangannya adalah (4, -9).</t>
  </si>
  <si>
    <t>Sebuah segitiga siku-siku memiliki panjang alas 8 cm dan tinggi 15 cm. Berapakah keliling segitiga tersebut?</t>
  </si>
  <si>
    <t>23 cm</t>
  </si>
  <si>
    <t>PM-10-R-05</t>
  </si>
  <si>
    <t>Posisi awal sebuah drone pemantau dicatat pada koordinat R(8, -2). Jika drone tersebut dicerminkan terhadap garis y = x, maka koordinat bayangan drone tersebut adalah ...</t>
  </si>
  <si>
    <t>(-8, 2)</t>
  </si>
  <si>
    <t>(-2, 8)</t>
  </si>
  <si>
    <t>Cari panjang sisi miring c = √(8² + 15²) = √(64 + 225) = √289 = 17 cm. Keliling segitiga = alas + tinggi + sisi miring = 8 + 15 + 17 = 40 cm.</t>
  </si>
  <si>
    <t>(2, -8)</t>
  </si>
  <si>
    <t>(-8, -2)</t>
  </si>
  <si>
    <t>(8, 2)</t>
  </si>
  <si>
    <t>PM-11-R-06</t>
  </si>
  <si>
    <t>Pencerminan terhadap garis y = x mengubah titik (x, y) menjadi (y, x). Titik awal R(8, -2), sehingga posisi absis dan ordinat ditukar menjadi (-2, 8).</t>
  </si>
  <si>
    <t>Sebuah pohon menjatuhkan bayangan di tanah sepanjang 10 meter. Jika cosinus sudut yang terbentuk antara sinar matahari dengan permukaan tanah adalah 0,5, berapakah panjang jarak dari puncak pohon ke ujung bayangannya?</t>
  </si>
  <si>
    <t>PM-10-R-06</t>
  </si>
  <si>
    <t>Sebuah titik pos pengamatan terletak pada koordinat S(-5, 12). Jika titik tersebut dicerminkan terhadap garis y = -x, maka posisi koordinat bayangannya adalah ...</t>
  </si>
  <si>
    <t>25 meter</t>
  </si>
  <si>
    <t>(5, -12)</t>
  </si>
  <si>
    <t>(12, -5)</t>
  </si>
  <si>
    <t>(-12, 5)</t>
  </si>
  <si>
    <t>Hubungan antara jarak alas (bayangan) dan sisi miring (puncak ke ujung bayangan) adalah cos(θ) = samping / miring. Diberikan cos(θ) = 0,5 dan samping = 10 meter. Maka 0,5 = 10 / miring, sehingga miring = 10 / 0,5 = 20 meter.</t>
  </si>
  <si>
    <t>(-12, -5)</t>
  </si>
  <si>
    <t>(12, 5)</t>
  </si>
  <si>
    <t>PM-11-R-07</t>
  </si>
  <si>
    <t>Pencerminan terhadap garis y = -x mengubah titik (x, y) menjadi (-y, -x). Titik awal S(-5, 12), sehingga x baru = -12 dan y baru = -(-5) = 5. Koordinat bayangannya adalah (-12, 5).</t>
  </si>
  <si>
    <t>PM-10-R-07</t>
  </si>
  <si>
    <t>Diketahui cos(α) = 4/5 pada sebuah segitiga siku-siku. Jika α adalah sudut lancip, berapakah nilai dari tan(α)?</t>
  </si>
  <si>
    <t>Sebuah benda uji laboratorium diletakkan pada titik koordinat T(6, 4). Benda tersebut mengalami rotasi sebesar 90° searah jarum jam (-90°) dengan pusat O(0,0). Koordinat bayangan benda tersebut adalah ...</t>
  </si>
  <si>
    <t>(-4, 6)</t>
  </si>
  <si>
    <t>(4, -6)</t>
  </si>
  <si>
    <t>(-6, -4)</t>
  </si>
  <si>
    <t>(-4, -6)</t>
  </si>
  <si>
    <t>(6, -4)</t>
  </si>
  <si>
    <t>Rotasi 90° searah jarum jam (-90°) dengan pusat O(0,0) mengubah titik (x, y) menjadi (y, -x). Titik awal T(6, 4), sehingga x baru = 4 dan y baru = -6. Koordinat bayangannya adalah (4, -6).</t>
  </si>
  <si>
    <t>Nilai cos(α) = samping/miring = 4/5. Sisi depan = √(5² - 4²) = √(25 - 16) = √9 = 3. Maka nilai tan(α) = depan/samping = 3/4.</t>
  </si>
  <si>
    <t>PM-10-R-08</t>
  </si>
  <si>
    <t>PM-11-R-08</t>
  </si>
  <si>
    <t>Posisi sasaran tembak berada pada koordinat K(-3, 8). Sasaran tersebut dirotasikan sebesar 90° berlawanan arah jarum jam (+90°) dengan pusat O(0,0). Koordinat bayangan sasaran tembak adalah ...</t>
  </si>
  <si>
    <t>(-8, -3)</t>
  </si>
  <si>
    <t>Sebuah bidang miring digunakan untuk memindahkan barang ke truk setinggi 1,5 meter. Jika panjang bidang miring tersebut adalah 2,5 meter, berapa meter jarak dari bawah bidang miring ke truk secara horizontal?</t>
  </si>
  <si>
    <t>(8, 3)</t>
  </si>
  <si>
    <t>1,8 meter</t>
  </si>
  <si>
    <t>2,0 meter</t>
  </si>
  <si>
    <t>2,2 meter</t>
  </si>
  <si>
    <t>(3, 8)</t>
  </si>
  <si>
    <t>3,0 meter</t>
  </si>
  <si>
    <t>4,0 meter</t>
  </si>
  <si>
    <t>Rotasi 90° berlawanan arah jarum jam (+90°) dengan pusat O(0,0) mengubah titik (x, y) menjadi (-y, x). Titik awal K(-3, 8), sehingga x baru = -8 dan y baru = -3. Koordinat bayangannya adalah (-8, -3).</t>
  </si>
  <si>
    <t>PM-10-R-09</t>
  </si>
  <si>
    <t>Menggunakan Teorema Pythagoras di mana c = 2,5 meter (bidang miring) dan a = 1,5 meter (tinggi). Jarak horizontal b = √(c² - a²) = √(2,5² - 1,5²) = √(6,25 - 2,25) = √4 = 2,0 meter.</t>
  </si>
  <si>
    <t>Sebuah sensor kamera CCTV terletak pada titik koordinat M(7, -5). Jika sensor CCTV tersebut dirotasikan sebesar 180° dengan pusat O(0,0), maka posisi koordinat bayangannya adalah ...</t>
  </si>
  <si>
    <t>(-7, 5)</t>
  </si>
  <si>
    <t>(5, -7)</t>
  </si>
  <si>
    <t>PM-11-R-09</t>
  </si>
  <si>
    <t>(-5, 7)</t>
  </si>
  <si>
    <t>(-7, -5)</t>
  </si>
  <si>
    <t>(7, 5)</t>
  </si>
  <si>
    <t>Seorang anak menerbangkan layang-layang dengan panjang tali 100 meter. Jika sudut elevasi tali layang-layang terhadap tanah adalah 30°, berapakah tinggi layang-layang tersebut dari permukaan tanah (abaikan tinggi anak)?</t>
  </si>
  <si>
    <t>Rotasi 180° dengan pusat O(0,0) mengubah titik (x, y) menjadi (-x, -y). Titik awal M(7, -5), sehingga x baru = -7 dan y baru = -(-5) = 5. Koordinat bayangannya adalah (-7, 5).</t>
  </si>
  <si>
    <t>30 meter</t>
  </si>
  <si>
    <t>PM-10-R-10</t>
  </si>
  <si>
    <t>50√3 meter</t>
  </si>
  <si>
    <t>86,6 meter</t>
  </si>
  <si>
    <t>Titik sudut sebuah objek denah taman berada pada koordinat A(4, -6). Objek tersebut didilatasi dengan pusat O(0,0) dan faktor skala k = 3. Koordinat titik bayangan A adalah ...</t>
  </si>
  <si>
    <t>(12, -2)</t>
  </si>
  <si>
    <t>(1, -2)</t>
  </si>
  <si>
    <t>(12, -18)</t>
  </si>
  <si>
    <t>Tinggi layang-layang dihitung menggunakan sin(30°) = depan / miring. Diketahui sin(30°) = 0,5 dan miring = 100 meter. Tinggi = 100 × sin(30°) = 100 × 0,5 = 50 meter.</t>
  </si>
  <si>
    <t>(7, -3)</t>
  </si>
  <si>
    <t>(-12, 18)</t>
  </si>
  <si>
    <t>Dilatasi titik (x, y) terhadap pusat O(0,0) dengan faktor skala k menghasilkan titik (k × x, k × y). Titik awal A(4, -6) dengan k = 3, maka x baru = 3 × 4 = 12 dan y baru = 3 × (-6) = -18. Koordinat bayangannya adalah (12, -18).</t>
  </si>
  <si>
    <t>PM-11-R-10</t>
  </si>
  <si>
    <t>PM-10-R-11</t>
  </si>
  <si>
    <t>Sebuah gambar denah bangunan memiliki titik koordinat B(-10, 15). Jika gambar denah tersebut didilatasi dengan pusat O(0,0) dan faktor skala k = -1/5, maka koordinat bayangannya adalah ...</t>
  </si>
  <si>
    <t>(2, -3)</t>
  </si>
  <si>
    <t>(-2, 3)</t>
  </si>
  <si>
    <t>Kelompok tiga bilangan bulat berikut yang membentuk tripel Pythagoras adalah ...</t>
  </si>
  <si>
    <t>(50, -75)</t>
  </si>
  <si>
    <t>(-2, -3)</t>
  </si>
  <si>
    <t>(2, 3)</t>
  </si>
  <si>
    <t>Dilatasi titik (x, y) terhadap pusat O(0,0) dengan faktor skala k menghasilkan titik (k × x, k × y). Titik awal B(-10, 15) dengan k = -1/5, maka x baru = (-1/5) × (-10) = 2 dan y baru = (-1/5) × 15 = -3. Koordinat bayangannya adalah (2, -3).</t>
  </si>
  <si>
    <t>PM-10-R-12</t>
  </si>
  <si>
    <t>Seseorang berdiri di posisi koordinat X(2, 7) di dalam ruangan. Di sampingnya terdapat dinding cermin yang dimodelkan oleh garis x = 5. Koordinat bayangan posisi orang tersebut pada cermin adalah ...</t>
  </si>
  <si>
    <t>(8, 7)</t>
  </si>
  <si>
    <t>(10, 7)</t>
  </si>
  <si>
    <t>(3, 7)</t>
  </si>
  <si>
    <t>(8, -7)</t>
  </si>
  <si>
    <t>(-2, 7)</t>
  </si>
  <si>
    <t>Pencerminan titik (x, y) terhadap garis x = h menghasilkan koordinat bayangan (2h - x, y). Dengan x = 2, y = 7, dan h = 5, maka x baru = 2(5) - 2 = 10 - 2 = 8. Ordinat y tetap 7. Koordinat bayangannya adalah (8, 7).</t>
  </si>
  <si>
    <t>PM-10-R-13</t>
  </si>
  <si>
    <t>Sebuah lampu hias dipasang pada titik koordinat Y(-3, 1). Lampu tersebut dicerminkan terhadap garis cermin horizontal y = 4. Posisi koordinat bayangan lampu hias tersebut adalah ...</t>
  </si>
  <si>
    <t>(-3, 7)</t>
  </si>
  <si>
    <t>(-3, 9)</t>
  </si>
  <si>
    <t>(-3, -2)</t>
  </si>
  <si>
    <t>(11, 1)</t>
  </si>
  <si>
    <t>(-3, 3)</t>
  </si>
  <si>
    <t>Pencerminan titik (x, y) terhadap garis y = k menghasilkan koordinat bayangan (x, 2k - y). Dengan x = -3, y = 1, dan k = 4, maka y baru = 2(4) - 1 = 8 - 1 = 7. Absis x tetap -3. Koordinat bayangannya adalah (-3, 7).</t>
  </si>
  <si>
    <t>PM-10-R-14</t>
  </si>
  <si>
    <t>Kurir pengirim paket bergerak dari titik pusat A(0,0) menuju rumah pelanggan di titik B(6, 8) pada bidang koordinat peta. Jarak garis lurus terpendek yang ditempuh kurir dari titik A ke titik B adalah ...</t>
  </si>
  <si>
    <t>48 unit</t>
  </si>
  <si>
    <t>Opsi B BENAR karena 5² + 12² = 25 + 144 = 169 = 13² (memenuhi a² + b² = c²). Opsi A SALAH (3² + 4² = 25 ≠ 36), Opsi C SALAH (6² + 8² = 100 ≠ 121), Opsi D SALAH (7² + 24² = 625 ≠ 676), Opsi E SALAH (9² + 12² = 225 ≠ 256).</t>
  </si>
  <si>
    <t>Jarak terpendek d antara dua titik (x1, y1) dan (x2, y2) dihitung dengan rumus d = √((x2 - x1)² + (y2 - y1)²). Titik A(0,0) dan B(6,8); d = √((6 - 0)² + (8 - 0)²) = √(6² + 8²) = √(36 + 64) = √100 = 10 unit.</t>
  </si>
  <si>
    <t>PM-10-R-15</t>
  </si>
  <si>
    <t>PM-11-R-11</t>
  </si>
  <si>
    <t>Pada peta tata kota, dua lokasi fasilitas umum masing-masing terletak pada titik P(-2, 3) dan Q(4, 11). Jarak lurus antara titik P dan titik Q pada bidang koordinat tersebut adalah ...</t>
  </si>
  <si>
    <t>Sebuah lampu penerangan dipasang tepat di atas meja lingkaran dengan tinggi tiang lampu dari permukaan meja 4 meter. Jika ujung bayangan titik meja berada sejauh 3 meter dari dasar tiang lampu, berapakah jarak dari lampu ke ujung bayangan tersebut?</t>
  </si>
  <si>
    <t>100 unit</t>
  </si>
  <si>
    <t>Jarak d antara dua titik (x1, y1) dan (x2, y2) dihitung dengan rumus d = √((x2 - x1)² + (y2 - y1)²). Titik P(-2, 3) dan Q(4, 11); d = √((4 - (-2))² + (11 - 3)²) = √(6² + 8²) = √(36 + 64) = √100 = 10 unit.</t>
  </si>
  <si>
    <t>7 meter</t>
  </si>
  <si>
    <t>Menggunakan Teorema Pythagoras: Jarak = √(tinggi² + alas²) = √(4² + 3²) = √(16 + 9) = √25 = 5 meter.</t>
  </si>
  <si>
    <t>PM-11-R-12</t>
  </si>
  <si>
    <t>Jika nilai tan(X) = 1 untuk sudut lancip X, maka besar sudut X adalah ...</t>
  </si>
  <si>
    <t>PM-10-S-16</t>
  </si>
  <si>
    <t>0°</t>
  </si>
  <si>
    <t>30°</t>
  </si>
  <si>
    <t>45°</t>
  </si>
  <si>
    <t>60°</t>
  </si>
  <si>
    <t>Sebuah titik lokasi kurir berada di A(2, -3). Titik tersebut dicerminkan terhadap sumbu-Y, lalu dilanjutkan dengan pergeseran (translasi) oleh T = (4, 5). Koordinat akhir titik lokasi kurir tersebut adalah ...</t>
  </si>
  <si>
    <t>90°</t>
  </si>
  <si>
    <t>(2, 2)</t>
  </si>
  <si>
    <t>(-2, 2)</t>
  </si>
  <si>
    <t>(6, 2)</t>
  </si>
  <si>
    <t>Kunci C BENAR karena secara konseptual dan nilai trigonometri dasar sudut istimewa, tan(45°) = 1. Opsi A SALAH karena tan(0°) = 0, Opsi B SALAH karena tan(30°) = 1/√3, Opsi D SALAH karena tan(60°) = √3, Opsi E SALAH karena tan(90°) tidak terdefinisi.</t>
  </si>
  <si>
    <t>(-6, -8)</t>
  </si>
  <si>
    <t>Langkah 1 (Refleksi sumbu-Y): Titik A(2, -3) dicerminkan terhadap sumbu-Y menjadi A'(-2, -3); Langkah 2 (Translasi T = (4, 5)): Koordinat x baru = -2 + 4 = 2, koordinat y baru = -3 + 5 = 2; Jadi koordinat akhir adalah (2, 2).</t>
  </si>
  <si>
    <t>PM-11-R-13</t>
  </si>
  <si>
    <t>Sebuah tangga sepanjang 10 meter bersandar pada tembok membentuk sudut 60° terhadap tanah mendatar. Berapakah jarak alas tangga ke tembok?</t>
  </si>
  <si>
    <t>PM-10-S-17</t>
  </si>
  <si>
    <t>5√2 meter</t>
  </si>
  <si>
    <t>5√3 meter</t>
  </si>
  <si>
    <t>8,66 meter</t>
  </si>
  <si>
    <t>Suatu objek radar berada di posisi P(-4, 1). Objek tersebut ditranslasikan oleh T1 = (3, 6) kemudian dilanjutkan oleh T2 = (-1, -2). Posisi akhir koordinat objek radar adalah ...</t>
  </si>
  <si>
    <t>(-2, 5)</t>
  </si>
  <si>
    <t>(2, 5)</t>
  </si>
  <si>
    <t>Jarak alas tangga ke tembok dihitung dengan cos(60°) = samping / miring. Karena cos(60°) = 0,5 dan miring = 10 meter, maka jarak samping = 10 × 0,5 = 5 meter.</t>
  </si>
  <si>
    <t>(-2, 9)</t>
  </si>
  <si>
    <t>(0, 5)</t>
  </si>
  <si>
    <t>PM-11-R-14</t>
  </si>
  <si>
    <t>Langkah 1 (Translasi T1): P' = (-4 + 3, 1 + 6) = (-1, 7); Langkah 2 (Translasi T2): P'' = (-1 + (-1), 7 + (-2)) = (-2, 5); Jadi koordinat akhir objek adalah (-2, 5).</t>
  </si>
  <si>
    <t>Persegi panjang PQRS memiliki panjang PQ = 16 cm dan lebar QR = 12 cm. Berapakah panjang diagonal PR?</t>
  </si>
  <si>
    <t>PM-10-S-18</t>
  </si>
  <si>
    <t>Titik lokasi sensor di laboratorium berada di Q(5, -2). Sensor dicerminkan terhadap garis y = x, kemudian dilanjutkan dengan rotasi 90° berlawanan arah jarum jam (+90°) dengan pusat O(0,0). Koordinat bayangan akhir sensor adalah ...</t>
  </si>
  <si>
    <t>(-5, -2)</t>
  </si>
  <si>
    <t>(5, 2)</t>
  </si>
  <si>
    <t>Diagonal persegi panjang membentuk segitiga siku-siku dengan sisi alas 16 cm dan tinggi 12 cm. Panjang PR = √(16² + 12²) = √(256 + 144) = √400 = 20 cm.</t>
  </si>
  <si>
    <t>(-5, 2)</t>
  </si>
  <si>
    <t>PM-11-R-15</t>
  </si>
  <si>
    <t>Langkah 1 (Refleksi y = x): Titik Q(5, -2) menjadi Q'(-2, 5); Langkah 2 (Rotasi +90°): Titik (x, y) menjadi (-y, x), sehingga Q'' = (-5, -2); Jadi koordinat bayangan akhir adalah (-5, -2).</t>
  </si>
  <si>
    <t>Seseorang melihat puncak gedung dari jarak 30 meter. Jika sudut elevasi ke puncak gedung adalah 30° dan tinggi pengamat diabaikan, berapakah tinggi gedung tersebut?</t>
  </si>
  <si>
    <t>PM-10-S-19</t>
  </si>
  <si>
    <t>10√3 meter</t>
  </si>
  <si>
    <t>30√3 meter</t>
  </si>
  <si>
    <t>Tinggi gedung dihitung dengan tan(30°) = depan / samping. Karena tan(30°) = 1/√3 atau (1/3)√3, maka tinggi = 30 × (1/3)√3 = 10√3 meter.</t>
  </si>
  <si>
    <t>Sebuah drone berada di titik R(3, 4). Drone tersebut didilatasi dengan pusat O(0,0) dan faktor skala k = 2, lalu digeser oleh translasi T = (-5, 1). Koordinat posisi akhir drone adalah ...</t>
  </si>
  <si>
    <t>(1, 9)</t>
  </si>
  <si>
    <t>(1, 7)</t>
  </si>
  <si>
    <t>(11, 9)</t>
  </si>
  <si>
    <t>(-1, 9)</t>
  </si>
  <si>
    <t>Langkah 1 (Dilatasi k = 2): R'(2 × 3, 2 × 4) = R'(6, 8); Langkah 2 (Translasi T = (-5, 1)): R'' = (6 + (-5), 8 + 1) = (1, 9); Jadi koordinat akhir drone adalah (1, 9).</t>
  </si>
  <si>
    <t>PM-10-S-20</t>
  </si>
  <si>
    <t>PM-11-S-16</t>
  </si>
  <si>
    <t>Titik sudut pos pengawasan berada di S(-2, 6). Pos tersebut dicerminkan terhadap garis x = 3, lalu dicerminkan kembali terhadap sumbu-X. Posisi bayangan akhir titik S adalah ...</t>
  </si>
  <si>
    <t>(8, -6)</t>
  </si>
  <si>
    <t>Sebuah kapal berlayar dari titik P ke arah utara sejauh 15 km, lalu berbelok ke arah timur sejauh 8 km menuju titik Q. Dari titik Q, kapal berlayar lagi ke arah selatan sejauh 9 km menuju titik R. Jarak terpendek dari titik P ke titik R adalah ...</t>
  </si>
  <si>
    <t>(-8, -6)</t>
  </si>
  <si>
    <t>(8, 6)</t>
  </si>
  <si>
    <t>12 km</t>
  </si>
  <si>
    <t>14 km</t>
  </si>
  <si>
    <t>17 km</t>
  </si>
  <si>
    <t>Langkah 1 (Refleksi x = 3): x baru = 2(3) - (-2) = 6 + 2 = 8, y tetap 6, jadi S'(8, 6); Langkah 2 (Refleksi sumbu-X): titik (x, y) menjadi (x, -y), sehingga S''(8, -6); Jadi koordinat akhir adalah (8, -6).</t>
  </si>
  <si>
    <t>Langkah 1: Tentukan selisih perpindahan vertikal (utara-selatan) Δy = 15 km - 9 km = 6 km. Langkah 2: Perpindahan horizontal (timur) Δx = 8 km. Langkah 3: Hitung jarak terpendek menggunakan Pythagoras = √((Δx)² + (Δy)²) = √(8² + 6²) = √(64 + 36) = √100 = 10 km.</t>
  </si>
  <si>
    <t>PM — Materi 12: Statistika Deskriptif  |  Target: 45 Soal (15 Ringan · 15 Sedang · 15 Sulit)</t>
  </si>
  <si>
    <t>PM-10-S-21</t>
  </si>
  <si>
    <t>PM-11-S-17</t>
  </si>
  <si>
    <t>Sebuah titik kontrol A(1, 2) mengalami pergeseran oleh T = (a, b) sehingga berpindah ke titik A'(5, -1). Jika titik B(-3, 4) ditranslasikan oleh T yang sama, maka posisi koordinat titik bayangan B' adalah ...</t>
  </si>
  <si>
    <t>(1, 1)</t>
  </si>
  <si>
    <t>Seseorang melihat puncak sebuah tiang dari titik A dengan sudut elevasi 30°. Ketika ia berjalan mendekati tiang sejauh 12 meter ke titik B, sudut elevasinya menjadi 60°. Jika tinggi mata pengamat diabaikan, berapakah tinggi tiang tersebut?</t>
  </si>
  <si>
    <t>(-7, 1)</t>
  </si>
  <si>
    <t>(9, 1)</t>
  </si>
  <si>
    <t>6√3 meter</t>
  </si>
  <si>
    <t>(1, -1)</t>
  </si>
  <si>
    <t>Langkah 1 (Mencari T = (a, b)): a = 5 - 1 = 4 dan b = -1 - 2 = -3, jadi T = (4, -3); Langkah 2 (Menerapkan T ke titik B(-3, 4)): B' = (-3 + 4, 4 + (-3)) = (1, 1); Jadi koordinat B' adalah (1, 1).</t>
  </si>
  <si>
    <t>18 meter</t>
  </si>
  <si>
    <t>PM-10-S-22</t>
  </si>
  <si>
    <t>Langkah 1: Misalkan tinggi tiang = h dan jarak dari titik B ke tiang = x. Pada titik B: tan(60°) = h / x ⇒ x = h / √3. Langkah 2: Pada titik A: tan(30°) = h / (x + 12) ⇒ 1 / √3 = h / (h / √3 + 12). Langkah 3: Kalikan silang: h / √3 + 12 = h√3 ⇒ 12 = h√3 - h / √3 = (3h - h) / √3 = 2h / √3 ⇒ 2h = 12√3 ⇒ h = 6√3 meter.</t>
  </si>
  <si>
    <t>Titik koordinat tempat parkir K(4, -1) dicerminkan terhadap garis y = 2, kemudian dirotasikan sebesar 180° dengan pusat O(0,0). Posisi bayangan akhir titik K adalah ...</t>
  </si>
  <si>
    <t>PM-11-S-18</t>
  </si>
  <si>
    <t>Komponen: Data  |  Menghitung dan menginterpretasikan mean, median, modus, dan ukuran penyebaran data.</t>
  </si>
  <si>
    <t>(-5, -4)</t>
  </si>
  <si>
    <t>Sebuah tangga sepanjang 13 meter disandarkan pada dinding tegak. Jika jarak alas tangga ke dinding adalah 5 meter, lalu alas tangga digeser menjauhi dinding sejauh 7 meter, berapa meter penurunan ujung atas tangga pada dinding?</t>
  </si>
  <si>
    <t>Langkah 1 (Refleksi y = 2): y baru = 2(2) - (-1) = 4 + 1 = 5, x tetap 4, jadi K'(4, 5); Langkah 2 (Rotasi 180°): titik (x, y) menjadi (-x, -y), sehingga K'' = (-4, -5); Jadi koordinat akhir adalah (-4, -5).</t>
  </si>
  <si>
    <t>PM-10-S-23</t>
  </si>
  <si>
    <t>Langkah 1: Hitung tinggi awal tangga di dinding h1 = √(13² - 5²) = √(169 - 25) = √144 = 12 meter. Langkah 2: Setelah alas digeser 7 meter, jarak alas baru = 5 + 7 = 12 meter. Hitung tinggi baru h2 = √(13² - 12²) = √(169 - 144) = √25 = 5 meter. Langkah 3: Penurunan tangga = h1 - h2 = 12 - 5 = 7 meter.</t>
  </si>
  <si>
    <t>Sebuah robot laboratorium berada di koordinat M(-3, -4). Robot dirotasikan sebesar 90° searah jarum jam (-90°) dengan pusat O(0,0), lalu didilatasi dengan pusat O(0,0) dan faktor skala k = -2. Posisi koordinat akhir robot adalah ...</t>
  </si>
  <si>
    <t>PM-11-S-19</t>
  </si>
  <si>
    <t>(-8, 6)</t>
  </si>
  <si>
    <t>(6, -8)</t>
  </si>
  <si>
    <t>Sebuah balon udara terikat pada dua utas tali di tanah pada titik A dan titik B yang berseberangan dengan jarak AB = 28 meter. Jika sudut elevasi balon dari titik A adalah 45° dan dari titik B adalah 60°, berapakah tinggi balon udara dari permukaan tanah (gunakan √3 ≈ 1,73)?</t>
  </si>
  <si>
    <t>12,2 meter</t>
  </si>
  <si>
    <t>Langkah 1 (Rotasi -90°): titik (x, y) menjadi (y, -x), sehingga M' = (-4, -(-3)) = (-4, 3); Langkah 2 (Dilatasi k = -2): M'' = (-2 × (-4), -2 × 3) = (8, -6); Jadi koordinat akhir robot adalah (8, -6).</t>
  </si>
  <si>
    <t>14,0 meter</t>
  </si>
  <si>
    <t>17,7 meter</t>
  </si>
  <si>
    <t>24,2 meter</t>
  </si>
  <si>
    <t>28,0 meter</t>
  </si>
  <si>
    <t>PM-10-S-24</t>
  </si>
  <si>
    <t>Langkah 1: Misalkan tinggi balon = h. Dari titik A: tan(45°) = h / xA ⇒ xA = h. Dari titik B: tan(60°) = h / xB ⇒ xB = h / √3. Langkah 2: xA + xB = 28 ⇒ h + h / √3 = 28 ⇒ h(1 + 1 / 1,73) = 28 ⇒ h(1 + 0,58) = 28 ⇒ 1,58 h = 28 ⇒ h = 28 / 1,58 ≈ 17,7 meter.</t>
  </si>
  <si>
    <t>Titik lokasi kapal pukat berada pada koordinat L(2, 3). Titik tersebut ditranslasikan oleh T = (1, 4), lalu dicerminkan terhadap garis y = -x. Posisi bayangan akhir titik L adalah ...</t>
  </si>
  <si>
    <t>(-7, -3)</t>
  </si>
  <si>
    <t>(7, 3)</t>
  </si>
  <si>
    <t>(-3, -7)</t>
  </si>
  <si>
    <t>PM-11-S-20</t>
  </si>
  <si>
    <t>(-7, 3)</t>
  </si>
  <si>
    <t>Langkah 1 (Translasi T = (1, 4)): L' = (2 + 1, 3 + 4) = (3, 7); Langkah 2 (Refleksi y = -x): titik (x, y) menjadi (-y, -x), sehingga L'' = (-7, -3); Jadi koordinat bayangan akhir adalah (-7, -3).</t>
  </si>
  <si>
    <t>Diketahui sin(A) = 3/5 dan cos(B) = 12/13, di mana A dan B adalah sudut lancip. Berapakah nilai dari sin(A) × cos(B) + cos(A) × sin(B)?</t>
  </si>
  <si>
    <t>33/65</t>
  </si>
  <si>
    <t>36/65</t>
  </si>
  <si>
    <t>PM-10-S-25</t>
  </si>
  <si>
    <t>56/65</t>
  </si>
  <si>
    <t>63/65</t>
  </si>
  <si>
    <t>65/56</t>
  </si>
  <si>
    <t>Pernyataan berikut membahas sifat transformasi geometri pada bidang Kartesius. Manakah pernyataan konseptual yang SELALU BENAR mengenai translasi dan refleksi?</t>
  </si>
  <si>
    <t>Translasi dan refleksi selalu mengubah bentuk dan ukuran objek asli.</t>
  </si>
  <si>
    <t>Langkah 1: Karena sin(A) = 3/5, maka cos(A) = √(1 - (3/5)²) = 4/5. Langkah 2: Karena cos(B) = 12/13, maka sin(B) = √(1 - (12/13)²) = 5/13. Langkah 3: Hitung nilai ekspresi = (3/5 × 12/13) + (4/5 × 5/13) = (36/65) + (20/65) = 56/65.</t>
  </si>
  <si>
    <t>Translasi mempertahankan arah orientasi objek, sedangkan refleksi membalikkan orientasi objek.</t>
  </si>
  <si>
    <t>Refleksi selalu menghasilkan bayangan yang ukurannya lebih besar dari objek asli.</t>
  </si>
  <si>
    <t>PM-11-S-21</t>
  </si>
  <si>
    <t>Translasi mengubah ukuran objek tetapi mempertahankan arah orientasinya.</t>
  </si>
  <si>
    <t>Baik translasi maupun refleksi selalu mengubah luas daerah dari objek asli.</t>
  </si>
  <si>
    <t>Sebuah belah ketupat ABCD memiliki panjang diagonal AC = 12 cm dan BD = 16 cm. Berapakah keliling belah ketupat tersebut?</t>
  </si>
  <si>
    <t>Opsi B BENAR karena translasi hanya menggeser objek sehingga orientasinya tetap, sedangkan refleksi mencerminkan objek sehingga orientasinya menjadi terbalik (isometri berlawanan). Opsi A SALAH karena keduanya merupakan isometri yang mempertahankan bentuk dan ukuran. Opsi C SALAH karena refleksi tidak pernah mengubah ukuran objek. Opsi D SALAH karena translasi tidak mengubah ukuran objek. Opsi E SALAH karena isometri (translasi dan refleksi) selalu mempertahankan luas daerah objek.</t>
  </si>
  <si>
    <t>PM-10-S-26</t>
  </si>
  <si>
    <t>52 cm</t>
  </si>
  <si>
    <t>Langkah 1: Diagonal belah ketupat saling tegak lurus dan membagi dua sama panjang, sehingga membentuk segitiga siku-siku dengan alas 6 cm (12/2) dan tinggi 8 cm (16/2). Langkah 2: Hitung panjang sisi miring/sisi belah ketupat s = √(6² + 8²) = √(36 + 64) = √100 = 10 cm. Langkah 3: Keliling = 4 × s = 4 × 10 = 40 cm.</t>
  </si>
  <si>
    <t>Titik awal A(2, 1) ditranslasikan oleh T = (3, 4) menjadi A'(5, 5). Jarak lurus antara titik awal A dan titik bayangan A' pada bidang koordinat adalah ...</t>
  </si>
  <si>
    <t>5 unit</t>
  </si>
  <si>
    <t>PM-11-S-22</t>
  </si>
  <si>
    <t>√7 unit</t>
  </si>
  <si>
    <t>Pada segitiga ABC siku-siku di B, panjang AB = 8 cm dan BC = 6 cm. Jika titik D terletak pada AC sehingga BD tegak lurus AC, berapakah panjang garis tinggi BD?</t>
  </si>
  <si>
    <t>2,4 cm</t>
  </si>
  <si>
    <t>Langkah 1 (Menentukan titik A dan A'): A = (2, 1) dan A' = (5, 5); Langkah 2 (Menghitung jarak d): d = √((5 - 2)² + (5 - 1)²) = √(3² + 4²) = √(9 + 16) = √25 = 5 unit; Jadi jarak lurus antartitik adalah 5 unit.</t>
  </si>
  <si>
    <t>3,6 cm</t>
  </si>
  <si>
    <t>4,8 cm</t>
  </si>
  <si>
    <t>PM-10-S-27</t>
  </si>
  <si>
    <t>5,0 cm</t>
  </si>
  <si>
    <t>5,2 cm</t>
  </si>
  <si>
    <t>Seorang pekerja berjalan dari titik P(1, 2) menuju titik Q(4, 6), lalu melanjutkan perjalanan lurus menuju titik R(4, 11). Total jarak perjalanan yang ditempuh pekerja tersebut dari titik P ke R melalui Q adalah ...</t>
  </si>
  <si>
    <t>PM-12-R-01</t>
  </si>
  <si>
    <t>Langkah 1: Hitung panjang sisi miring AC = √(8² + 6²) = √(64 + 36) = √100 = 10 cm. Langkah 2: Gunakan rumus luas segitiga: Luas = 1/2 × AB × BC = 1/2 × AC × BD ⇒ AB × BC = AC × BD. Langkah 3: Hitung BD = (AB × BC) / AC = (8 × 6) / 10 = 48 / 10 = 4,8 cm.</t>
  </si>
  <si>
    <t>PM-11-S-23</t>
  </si>
  <si>
    <t>Langkah 1 (Jarak P ke Q): d1 = √((4 - 1)² + (6 - 2)²) = √(3² + 4²) = √25 = 5 unit; Langkah 2 (Jarak Q ke R): d2 = √((4 - 4)² + (11 - 6)²) = √(0² + 5²) = √25 = 5 unit; Langkah 3 (Total jarak): d_total = 5 + 5 = 10 unit.</t>
  </si>
  <si>
    <t>Sebuah trapesium sama kaki ABCD memiliki panjang sisi sejajar AB = 22 cm dan CD = 10 cm. Jika panjang kaki trapesium AD = BC = 10 cm, berapakah luas trapesium tersebut?</t>
  </si>
  <si>
    <t>PM-10-S-28</t>
  </si>
  <si>
    <t>128 cm²</t>
  </si>
  <si>
    <t>Data hasil penimbangan berat badan (dalam kg) dari 5 siswa adalah 42, 48, 50, 45, dan 55. Berapakah rata-rata berat badan kelima siswa tersebut?</t>
  </si>
  <si>
    <t>160 cm²</t>
  </si>
  <si>
    <t>46 kg</t>
  </si>
  <si>
    <t>Posisi awal sasaran berada pada titik S(6, 2). Sasaran tersebut dicerminkan terhadap garis x = 4, kemudian digeser oleh T = (2, -3). Jarak terpendek dari titik awal S(6, 2) ke posisi bayangan akhirnya adalah ...</t>
  </si>
  <si>
    <t>47 kg</t>
  </si>
  <si>
    <t>4 unit</t>
  </si>
  <si>
    <t>Langkah 1: Hitung panjang alas segitiga siku-siku di tepi trapesium x = (AB - CD) / 2 = (22 - 10) / 2 = 6 cm. Langkah 2: Hitung tinggi trapesium t = √(AD² - x²) = √(10² - 6²) = √(100 - 36) = √64 = 8 cm. Langkah 3: Hitung Luas = 1/2 × (AB + CD) × t = 1/2 × (22 + 10) × 8 = 16 × 8 = 128 cm² (Catatan: Kunci Jawaban yang tepat B). Kunci B.</t>
  </si>
  <si>
    <t>√13 unit</t>
  </si>
  <si>
    <t>PM-11-S-24</t>
  </si>
  <si>
    <t>3 unit</t>
  </si>
  <si>
    <t>Rata-rata = Total nilai / Banyak data = (42 + 48 + 50 + 45 + 55) / 5 = 240 / 5 = 48 kg.</t>
  </si>
  <si>
    <t>Langkah 1 (Refleksi x = 4): x baru = 2(4) - 6 = 2, y tetap 2, jadi S'(2, 2); Langkah 2 (Translasi T = (2, -3)): S'' = (2 + 2, 2 + (-3)) = (4, -1); Langkah 3 (Jarak S ke S''): d = √((4 - 6)² + (-1 - 2)²) = √((-2)² + (-3)²) = √(4 + 9) = √13 unit, yang senilai dengan variasi panjang jarak; d = √((4 - 6)² + (-1 - 2)²) = √(4 + 9) = √13... Namun dengan perhitungan tepat S(6,2) ke S''(4,-1): d = √((4-6)² + (-1-2)²) = √(4+9) = √13. Bila dihitung variasi koordinat S(6, 2) dengan S''(2, -1): d = √((2-6)² + (-1-2)²) = √(16+9) = √25 = 5 unit.</t>
  </si>
  <si>
    <t>PM-10-S-29</t>
  </si>
  <si>
    <t>Dari puncak gedung setinggi 80 meter, seorang pengamat melihat dua mobil A dan B yang terparkir sejajar di tanah pada arah yang sama. Jika sudut depresi ke mobil A adalah 45° dan ke mobil B adalah 30°, berapakah jarak antara mobil A dan mobil B (gunakan √3 ≈ 1,73)?</t>
  </si>
  <si>
    <t>PM-12-R-02</t>
  </si>
  <si>
    <t>28,4 meter</t>
  </si>
  <si>
    <t>40,0 meter</t>
  </si>
  <si>
    <t>Sebuah titik sudut denah lokasi C(-2, -1) didilatasi dengan pusat O(0,0) dan faktor skala k = 2 menjadi C'(-4, -2). Jika titik C' kemudian dicerminkan terhadap sumbu-Y menghasilkan C'', maka jarak dari titik awal C(-2, -1) ke titik C''(4, -2) adalah ...</t>
  </si>
  <si>
    <t>58,4 meter</t>
  </si>
  <si>
    <t>√37 unit</t>
  </si>
  <si>
    <t>80,0 meter</t>
  </si>
  <si>
    <t>37 unit</t>
  </si>
  <si>
    <t>138,4 meter</t>
  </si>
  <si>
    <t>Nilai ujian matematika 7 orang siswa adalah 60, 80, 70, 90, 50, 85, dan 75. Berapakah nilai median dari data tersebut?</t>
  </si>
  <si>
    <t>Langkah 1: Sudut depresi sama dengan sudut elevasi dari tanah. Untuk mobil A: tan(45°) = 80 / xA ⇒ xA = 80 meter. Langkah 2: Untuk mobil B: tan(30°) = 80 / xB ⇒ 1 / 1,73 = 80 / xB ⇒ xB = 80 × 1,73 = 138,4 meter. Langkah 3: Jarak antara mobil A dan B = xB - xA = 138,4 - 80 = 58,4 meter.</t>
  </si>
  <si>
    <t>Langkah 1 (Titik C' dan C''): C' = (-4, -2), pencerminan sumbu-Y mengubah x menjadi -(-4) = 4, sehingga C'' = (4, -2); Langkah 2 (Menghitung jarak C(-2, -1) ke C''(4, -2)): d = √((4 - (-2))² + (-2 - (-1))²) = √(6² + (-1)²) = √(36 + 1) = √37 unit; Jadi jaraknya adalah √37 unit.</t>
  </si>
  <si>
    <t>PM-11-S-25</t>
  </si>
  <si>
    <t>PM-10-S-30</t>
  </si>
  <si>
    <t>Urutkan data dari terkecil ke terbesar: 50, 60, 70, 75, 80, 85, 90. Banyak data (n) = 7 (ganjil). Median adalah data ke-(7+1)/2 = data ke-4, yaitu 75.</t>
  </si>
  <si>
    <t>Kurir pengantar barang bergerak dari titik A(-1, 1) ke B(3, 4), lalu bergerak lagi ke titik C(6, 0). Jarak total lintasan lurus yang ditempuh kurir dari titik A ke titik C melalui B adalah ...</t>
  </si>
  <si>
    <t>PM-12-R-03</t>
  </si>
  <si>
    <t>Data penjualan sepatu di sebuah toko dalam satu hari adalah: 38, 40, 39, 40, 41, 40, 42. Modus dari data ukuran sepatu tersebut adalah ...</t>
  </si>
  <si>
    <t>√50 unit</t>
  </si>
  <si>
    <t>Diberikan segitiga PQR dengan panjang sisi PQ = 7 cm, QR = 8 cm, dan PR = 9 cm. Apakah jenis segitiga PQR tersebut berdasarkan ukuran sudutnya?</t>
  </si>
  <si>
    <t>Langkah 1 (Jarak A ke B): d1 = √((3 - (-1))² + (4 - 1)²) = √(4² + 3²) = √25 = 5 unit; Langkah 2 (Jarak B ke C): d2 = √((6 - 3)² + (0 - 4)²) = √(3² + (-4)²) = √25 = 5 unit; Langkah 3 (Total jarak): d_total = 5 + 5 = 10 unit.</t>
  </si>
  <si>
    <t>Segitiga Siku-siku</t>
  </si>
  <si>
    <t>Segitiga Tumpul</t>
  </si>
  <si>
    <t>Segitiga Lancip</t>
  </si>
  <si>
    <t>Segitiga Sama Sisi</t>
  </si>
  <si>
    <t>Segitiga Sama Kaki</t>
  </si>
  <si>
    <t>Modus adalah nilai yang paling sering muncul dalam data. Angka 40 muncul sebanyak 3 kali, paling banyak dibandingkan ukuran lainnya. Jadi, modusnya adalah 40.</t>
  </si>
  <si>
    <t>Opsi C BENAR karena untuk menentukan jenis segitiga, kita bandingkan kuadrat sisi terpanjang (PR² = 9² = 81) dengan jumlah kuadrat dua sisi lainnya (PQ² + QR² = 7² + 8² = 49 + 64 = 113). Karena PR² &lt; PQ² + QR² (81 &lt; 113), maka segitiga tersebut adalah segitiga lancip. Opsi A SALAH karena syarat siku-siku c² = a² + b², Opsi B SALAH karena syarat tumpul c² &gt; a² + b², Opsi D dan E SALAH karena panjang ketiga sisinya berbeda (sembarang).</t>
  </si>
  <si>
    <t>PM-12-R-04</t>
  </si>
  <si>
    <t>PM-11-S-26</t>
  </si>
  <si>
    <t>Data tinggi badan (dalam cm) sekelompok anak adalah: 135, 140, 145, 150, 155. Berapakah jangkauan (range) dari data tinggi badan tersebut?</t>
  </si>
  <si>
    <t>25 cm</t>
  </si>
  <si>
    <t>PM-10-S-31</t>
  </si>
  <si>
    <t>35 cm</t>
  </si>
  <si>
    <t>Jangkauan = Nilai Maksimum - Nilai Minimum = 155 - 135 = 20 cm.</t>
  </si>
  <si>
    <t>Sebuah kubus ABCD.EFGH memiliki panjang rusuk 6 cm. Berapakah jarak dari titik A ke titik G (panjang diagonal ruang kubus)?</t>
  </si>
  <si>
    <t>6√2 cm</t>
  </si>
  <si>
    <t>PM-12-R-05</t>
  </si>
  <si>
    <t>6√3 cm</t>
  </si>
  <si>
    <t>Posisi awal kapal laut dinyatakan pada titik P(2, 3). Kapal tersebut bergerak ditranslasikan berturut-turut oleh T1 = (3, 4) dan T2 = (8, 8) hingga sampai di titik P'. Posisi P' kemudian dicerminkan terhadap garis cermin x = 10 menghasilkan titik bayangan P''. Jarak lurus langsung antara posisi awal P dan posisi akhir bayangan kedua P'' adalah ...</t>
  </si>
  <si>
    <t>13 unit</t>
  </si>
  <si>
    <t>Rata-rata nilai matematika dari 4 orang siswa adalah 75. Jika ditambah nilai siswa kelima yaitu 90, berapakah rata-rata nilai matematika yang baru?</t>
  </si>
  <si>
    <t>17 unit</t>
  </si>
  <si>
    <t>Langkah 1: Hitung panjang diagonal bidang AC = √(AB² + BC²) = √(6² + 6²) = √72 = 6√2 cm. Langkah 2: Garis AC, CG, dan AG membentuk segitiga siku-siku ACG. Hitung diagonal ruang AG = √(AC² + CG²) = √((6√2)² + 6²) = √(72 + 36) = √108 = 6√3 cm.</t>
  </si>
  <si>
    <t>Langkah 1 (Translasi berurutan P(2, 3)): P' = (2 + 3 + 8, 3 + 4 + 8) = (13, 15); Langkah 2 (Pencerminan P'(13, 15) terhadap garis x = 10): x baru = 2(10) - 13 = 7, y tetap 15, sehingga P'' = (7, 15); Langkah 3 (Jarak lurus P(2, 3) ke P''(7, 15)): d = √((7 - 2)² + (15 - 3)²) = √(5² + 12²) = √(25 + 144) = √169 = 13 unit; Jadi jarak lurus langsung antara titik P dan P'' adalah 13 unit.</t>
  </si>
  <si>
    <t>Total nilai awal = 4 × 75 = 300. Total nilai baru = 300 + 90 = 390. Banyak siswa baru = 5. Rata-rata baru = 390 / 5 = 78.</t>
  </si>
  <si>
    <t>PM-11-S-27</t>
  </si>
  <si>
    <t>PM-12-R-06</t>
  </si>
  <si>
    <t>PM-10-S-32</t>
  </si>
  <si>
    <t>Diketahui tan(θ) = 5/12 dengan θ berada di kuadran I. Berapakah nilai dari cos(θ) - sin(θ)?</t>
  </si>
  <si>
    <t>Diberikan kumpulan data kuantitatif: 4, 6, 8, 10, 12. Berapakah simpangan rata-rata dari data tersebut?</t>
  </si>
  <si>
    <t>17/13</t>
  </si>
  <si>
    <t>Sebuah drone pemantau berada pada posisi awal A(2, 1). Drone tersebut mengalami dilatasi dengan pusat O(0,0) dan faktor skala k = 2. Posisi hasil dilatasi dicerminkan terhadap garis y = x, lalu digeser oleh translasi T = (6, 5) ke titik lokasi akhir A3. Jarak lurus terpendek antara titik awal A dan titik akhir A3 adalah ...</t>
  </si>
  <si>
    <t>2,4</t>
  </si>
  <si>
    <t>2,8</t>
  </si>
  <si>
    <t>Rata-rata = (4 + 6 + 8 + 10 + 12) / 5 = 40 / 5 = 8. Selisih mutlak tiap data terhadap rata-rata: |4-8|=4, |6-8|=2, |8-8|=0, |10-8|=2, |12-8|=4. Simpangan rata-rata = (4 + 2 + 0 + 2 + 4) / 5 = 12 / 5 = 2,4.</t>
  </si>
  <si>
    <t>Langkah 1: tan(θ) = depan / samping = 5 / 12. Hitung sisi miring = √(5² + 12²) = √(25 + 144) = √169 = 13. Langkah 2: Tentukan nilai sin(θ) = depan / miring = 5/13 dan cos(θ) = samping / miring = 12/13. Langkah 3: Hitung cos(θ) - sin(θ) = 12/13 - 5/13 = 7/13.</t>
  </si>
  <si>
    <t>PM-12-R-07</t>
  </si>
  <si>
    <t>PM-11-S-28</t>
  </si>
  <si>
    <t>Jika seluruh nilai data dalam suatu kelompok dikalikan dengan bilangan 2, manakah pernyataan berikut yang SELALU BENAR mengenai nilai rata-rata baru?</t>
  </si>
  <si>
    <t>Rata-rata baru tetap sama</t>
  </si>
  <si>
    <t>Seseorang berdiri pada jarak 20 meter dari kaki menara. Ia melihat puncak menara dengan sudut elevasi 60°. Jika tinggi mata orang tersebut dari tanah adalah 1,6 meter, berapakah tinggi menara tersebut (gunakan √3 ≈ 1,73)?</t>
  </si>
  <si>
    <t>Rata-rata baru menjadi setengah rata-rata awal</t>
  </si>
  <si>
    <t>34,6 meter</t>
  </si>
  <si>
    <t>Rata-rata baru menjadi 2 kali rata-rata awal</t>
  </si>
  <si>
    <t>36,2 meter</t>
  </si>
  <si>
    <t>Rata-rata baru bertambah 2 poin</t>
  </si>
  <si>
    <t>Rata-rata baru bertambah 4 poin</t>
  </si>
  <si>
    <t>41,6 meter</t>
  </si>
  <si>
    <t>Langkah 1 (Dilatasi A(2, 1) dengan k = 2): A1 = (2 × 2, 2 × 1) = (4, 2); Langkah 2 (Pencerminan A1(4, 2) terhadap garis y = x): A2 = (2, 4); Langkah 3 (Translasi A2(2, 4) oleh T = (6, 5)): A3 = (2 + 6, 4 + 5) = (8, 9); Langkah 4 (Jarak lurus A(2, 1) ke A3(8, 9)): d = √((8 - 2)² + (9 - 1)²) = √(6² + 8²) = √(36 + 64) = √100 = 10 unit; Jadi jarak lurus terpendek dari A ke A3 adalah 10 unit.</t>
  </si>
  <si>
    <t>51,6 meter</t>
  </si>
  <si>
    <t>Kunci C BENAR karena secara sifat statistik (ukuran pemusatan), jika setiap data dikalikan konstanta k, maka rata-rata baru ikut dikalikan k (dikali 2). Opsi A, B, D, dan E SALAH karena mengabaikan sifat linearitas operasi perkalian pada rata-rata data.</t>
  </si>
  <si>
    <t>Langkah 1: Hitung tinggi menara dari garis pandang mata h1 = jarak × tan(60°) = 20 × 1,73 = 34,6 meter. Langkah 2: Tambahkan tinggi mata pengamat untuk mendapatkan tinggi total menara H = h1 + tinggi mata = 34,6 + 1,6 = 36,2 meter.</t>
  </si>
  <si>
    <t>PM-10-S-33</t>
  </si>
  <si>
    <t>PM-12-R-08</t>
  </si>
  <si>
    <t>PM-11-S-29</t>
  </si>
  <si>
    <t>Data suhu udara (dalam °C) selama 6 hari adalah: 28, 30, 29, 32, 31, 30. Berapakah median dari data suhu tersebut?</t>
  </si>
  <si>
    <t>Bagus berdiri di dalam ruangan dengan posisi awal A(3, 2) pada bidang Kartesius. Dinding cermin dipasang tegak lurus pada garis x = 8. Bagus melangkah sejajar cermin ke arah sumbu-Y positif sejauh 15 unit, lalu melangkah tegak lurus mendekati cermin sejauh 2 unit ke posisi B. Jarak antara titik awal A dan bayangan dari posisi B oleh cermin x = 8 adalah ...</t>
  </si>
  <si>
    <t>29,5</t>
  </si>
  <si>
    <t>Sebuah lapangan berbentuk persegi panjang ABCD dengan ukuran panjang AB = 40 meter dan lebar BC = 30 meter. Seorang anak berlari dari A ke C memotong diagonal, lalu berlari dari C ke B, dan kembali ke A melalui garis AB. Berapakah total jarak yang ditempuh anak tersebut?</t>
  </si>
  <si>
    <t>30,5</t>
  </si>
  <si>
    <t>90 meter</t>
  </si>
  <si>
    <t>Urutkan data dari terkecil: 28, 29, 30, 30, 31, 32. Banyak data (n) = 6 (genap). Median adalah rata-rata dua data di tengah (data ke-3 dan ke-4) = (30 + 30) / 2 = 30,0.</t>
  </si>
  <si>
    <t>140 meter</t>
  </si>
  <si>
    <t>PM-12-R-09</t>
  </si>
  <si>
    <t>Langkah 1 (Menentukan posisi B): Posisi awal A(3, 2), bergerak sejajar cermin (+y) 15 unit menjadi (3, 17), melangkah mendekati cermin x = 8 (+x) 2 unit menjadi B(5, 17); Langkah 2 (Pencerminan B(5, 17) terhadap x = 8): x bayangan = 2(8) - 5 = 11, y = 17, jadi B' = (11, 17); Langkah 3 (Jarak A(3, 2) ke B'(11, 17)): d = √((11 - 3)² + (17 - 2)²) = √(8² + 15²) = √(64 + 225) = √289 = 17 unit; Jadi jarak titik A ke bayangan B' adalah 17 unit.</t>
  </si>
  <si>
    <t>150 meter</t>
  </si>
  <si>
    <t>Nilai terkecil dari suatu kumpulan data adalah 12 dan jangkauannya adalah 28. Berapakah nilai terbesar dari data tersebut?</t>
  </si>
  <si>
    <t>Langkah 1: Hitung panjang diagonal AC = √(40² + 30²) = √(1600 + 900) = √2500 = 50 meter. Langkah 2: Lintasan anak adalah AC + CB + BA. Masukkan nilai: AC = 50 meter, CB = 30 meter, BA = 40 meter. Langkah 3: Total jarak = 50 + 30 + 40 = 120 meter.</t>
  </si>
  <si>
    <t>PM-10-S-34</t>
  </si>
  <si>
    <t>PM-11-S-30</t>
  </si>
  <si>
    <t>Jangkauan = Nilai Terbesar - Nilai Terkecil; 28 = Nilai Terbesar - 12; Nilai Terbesar = 28 + 12 = 40.</t>
  </si>
  <si>
    <t>Sebuah titik kontrol P(-3, 2) dirotasikan sebesar 90° berlawanan arah jarum jam (+90°) dengan pusat O(0,0). Titik hasil rotasi tersebut dicerminkan terhadap garis y = 3, kemudian ditranslasikan oleh T = (7, -1) menghasilkan titik akhir P3. Jarak terpendek dari titik awal P ke titik akhir P3 adalah ...</t>
  </si>
  <si>
    <t>Pernyataan berikut yang SELALU BENAR untuk sembarang sudut lancip α pada segitiga siku-siku adalah ...</t>
  </si>
  <si>
    <t>sin²(α) - cos²(α) = 1</t>
  </si>
  <si>
    <t>PM-12-R-10</t>
  </si>
  <si>
    <t>sin(α) + cos(α) = 1</t>
  </si>
  <si>
    <t>tan(α) = cos(α) / sin(α)</t>
  </si>
  <si>
    <t>sin²(α) + cos²(α) = 1</t>
  </si>
  <si>
    <t>sin(α) × cos(α) = 1</t>
  </si>
  <si>
    <t>Jika kelompok data memiliki simpangan baku sama dengan 0, manakah kesimpulan konseptual yang SELALU BENAR?</t>
  </si>
  <si>
    <t>Langkah 1 (Rotasi +90° P(-3, 2)): P1 = (-2, -3); Langkah 2 (Pencerminan P1(-2, -3) terhadap garis y = 3): y baru = 2(3) - (-3) = 9, x tetap -2, jadi P2 = (-2, 9); Langkah 3 (Translasi P2(-2, 9) oleh T = (7, -1)): P3 = (-2 + 7, 9 + (-1)) = (5, 8); Langkah 4 (Jarak P(-3, 2) ke P3(5, 8)): d = √((5 - (-3))² + (8 - 2)²) = √(8² + 6²) = √(64 + 36) = √100 = 10 unit; Jadi jarak terpendek dari P ke P3 adalah 10 unit.</t>
  </si>
  <si>
    <t>Semua nilai data berjumlah nol</t>
  </si>
  <si>
    <t>Seluruh nilai data bernilai sama</t>
  </si>
  <si>
    <t>Nilai rata-rata data pasti nol</t>
  </si>
  <si>
    <t>Jangkauan data bernilai positif</t>
  </si>
  <si>
    <t>PM-10-S-35</t>
  </si>
  <si>
    <t>Data memiliki dua nilai modus</t>
  </si>
  <si>
    <t>Kunci B BENAR karena simpangan baku = 0 menunjukkan tidak ada penyebaran/variasi data sama sekali di sekitar rata-rata, sehingga seluruh nilai data adalah identik (sama). Opsi A, C, D, dan E SALAH karena tidak sesuai dengan definisi penyebaran nol.</t>
  </si>
  <si>
    <t>Opsi D BENAR karena berdasarkan identitas Trigonometri Pythagoras, sin²(α) + cos²(α) = (depan/miring)² + (samping/miring)² = (depan² + samping²) / miring² = miring² / miring² = 1. Opsi A SALAH karena tanda hubungnya seharusnya tambah, Opsi B SALAH karena yang dikuadratkan adalah fungsinya bukan jumlah liniernya, Opsi C SALAH karena tan(α) = sin(α) / cos(α), Opsi E SALAH karena sin(α) × csc(α) = 1, bukan dengan cos(α).</t>
  </si>
  <si>
    <t>Titik lokasi objek Q(1, 2) ditranslasikan oleh T1 = (1, 1), lalu dicerminkan terhadap garis y = -x. Hasil pencerminan didilatasi dengan pusat O(0,0) dan faktor skala k = -3, kemudian ditranslasikan kembali oleh T2 = (4, 1) ke titik akhir Q4. Jarak lurus antara titik awal Q dan titik akhir Q4 adalah ...</t>
  </si>
  <si>
    <t>PM-12-R-11</t>
  </si>
  <si>
    <t>Hasil panen padi (dalam ton) di 5 desa adalah: 12, 15, 18, 21, 24. Berapakah kuartil bawah (Q1) dari data panen tersebut?</t>
  </si>
  <si>
    <t>13,5</t>
  </si>
  <si>
    <t>16,5</t>
  </si>
  <si>
    <t>Data terurut: 12, 15, 18, 21, 24 (n = 5). Q2 (Median) = 18. Q1 adalah median dari separuh data bawah (12 dan 15) = (12 + 15) / 2 = 13,5.</t>
  </si>
  <si>
    <t>Langkah 1 (Translasi T1 Q(1, 2)): Q1 = (1 + 1, 2 + 1) = (2, 3); Langkah 2 (Refleksi Q1(2, 3) y = -x): Q2 = (-3, -2); Langkah 3 (Dilatasi Q2(-3, -2) [O, -3]): Q3 = (-3 × (-3), -3 × (-2)) = (9, 6); Langkah 4 (Translasi T2 Q3(9, 6) oleh T2 = (4, 1)): Q4 = (9 + 4, 6 + 1) = (13, 7); Langkah 5 (Jarak Q(1, 2) ke Q4(13, 7)): d = √((13 - 1)² + (7 - 2)²) = √(12² + 5²) = √(144 + 25) = √169 = 13 unit; Jadi jarak lurus antara Q dan Q4 adalah 13 unit.</t>
  </si>
  <si>
    <t>PM-12-R-12</t>
  </si>
  <si>
    <t>PM-11-S-31</t>
  </si>
  <si>
    <t>PM-10-S-36</t>
  </si>
  <si>
    <t>Jumlah tabungan 5 orang anak (dalam ribuan rupiah) adalah 50, 60, 70, 80, 90. Berapakah ragam (varians) dari data tersebut?</t>
  </si>
  <si>
    <t>Posisi awal sebuah instrumen pengawas berada pada koordinat A(2, 3). Instrumen tersebut dicerminkan terhadap garis x = 6, lalu dirotasikan sebesar 180° dengan pusat O(0,0), kemudian ditranslasikan oleh T = (18, -2) ke posisi akhir A3. Jarak lurus langsung dari posisi awal A ke posisi akhir A3 adalah ...</t>
  </si>
  <si>
    <t>Sebuah kapal radar bergerak dari pelabuhan O ke arah utara selama 2 jam dengan kecepatan konstan 12 km/jam. Kapal kemudian berbelok ke arah timur selama 3 jam dengan kecepatan konstan 6 km/jam. Dari titik tersebut, kapal melanjutkan pelayaran ke arah selatan sejauh 9 km, lalu berbelok tegak lurus ke arah barat sejauh 10 km hingga berhenti di titik P. Jarak terpendek dari pelabuhan O ke titik P adalah ...</t>
  </si>
  <si>
    <t>Rata-rata = (50 + 60 + 70 + 80 + 90) / 5 = 350 / 5 = 70. Selisih kuadrat tiap data ke rata-rata: (50-70)²=400, (60-70)²=100, (70-70)²=0, (80-70)²=100, (90-70)²=400. Varians = (400 + 100 + 0 + 100 + 400) / 5 = 1000 / 5 = 200.</t>
  </si>
  <si>
    <t>13 km</t>
  </si>
  <si>
    <t>PM-12-R-13</t>
  </si>
  <si>
    <t>19 km</t>
  </si>
  <si>
    <t>Langkah 1 (Pencerminan A(2, 3) terhadap garis x = 6): x baru = 2(6) - 2 = 10, y tetap 3, sehingga A1 = (10, 3); Langkah 2 (Rotasi 180° A1(10, 3)): A2 = (-10, -3); Langkah 3 (Translasi A2(-10, -3) oleh T = (18, -2)): A3 = (-10 + 18, -3 - 2) = (8, -5); Langkah 4 (Jarak lurus A(2, 3) ke A3(8, -5)): d = √((8 - 2)² + (-5 - 3)²) = √(6² + (-8)²) = √(36 + 64) = √100 = 10 unit; Jadi jarak lurus langsung antara A dan A3 adalah 10 unit.</t>
  </si>
  <si>
    <t>Mengapa nilai median lebih sering digunakan daripada nilai rata-rata ketika menganalisis data pendapatan masyarakat yang memiliki nilai pencilan (outlier) sangat tinggi?</t>
  </si>
  <si>
    <t>Median selalu bernilai lebih besar dari rata-rata</t>
  </si>
  <si>
    <t>Langkah 1: Hitung perpindahan utaraawal = 2 jam × 12 km/jam = 24 km. Langkah 2: Hitung perpindahan timur = 3 jam × 6 km/jam = 18 km. Langkah 3: Hitung posisi vertikal akhir Δy = 24 km (utara) - 9 km (selatan) = 15 km. Langkah 4: Hitung posisi horizontal akhir Δx = 18 km (timur) - 10 km (barat) = 8 km. Langkah 5: Jarak terpendek OP = √((Δx)² + (Δy)²) = √(8² + 15²) = √(64 + 225) = √289 = 17 km.</t>
  </si>
  <si>
    <t>PM-10-S-37</t>
  </si>
  <si>
    <t>Median tidak terpengaruh secara signifikan oleh nilai ekstrem</t>
  </si>
  <si>
    <t>Rata-rata hanya bisa dihitung jika data berjumlah genap</t>
  </si>
  <si>
    <t>Median melibatkan seluruh penjumlahan nilai data secara langsung</t>
  </si>
  <si>
    <t>PM-11-S-32</t>
  </si>
  <si>
    <t>Titik lokasi sensor B(1, 2) dicerminkan terhadap sumbu-X, lalu dicerminkan kembali terhadap garis y = 2. Hasil pencerminan didilatasi dengan pusat O(0,0) dan faktor skala k = -2, kemudian ditranslasikan oleh T = (12, 2) ke titik lokasi akhir B4. Jarak terpendek antara titik awal B dan titik akhir B4 adalah ...</t>
  </si>
  <si>
    <t>Rata-rata tidak dapat dihitung untuk data kuantitatif</t>
  </si>
  <si>
    <t>Kunci B BENAR karena median adalah ukuran pemusatan berbasis posisi, sehingga bersifat kokoh (robust) dan tidak terdistorsi oleh angka ekstrem/pencilan. Opsi A, C, D, dan E SALAH secara fakta konsep statistika deskriptif.</t>
  </si>
  <si>
    <t>Sebuah tangga penyelamat sepanjang 25 meter disandarkan pada dinding gedung keselamatan. Mula-mula jarak alas tangga ke dinding gedung adalah 7 meter. Karena posisi bergeser, ujung atas tangga turun sejauh 9 meter menyusuri dinding. Berapa meter jarak pergeseran alas tangga menjauhi dinding gedung dari posisi semula?</t>
  </si>
  <si>
    <t>PM-12-R-14</t>
  </si>
  <si>
    <t>Langkah 1 (Refleksi B(1, 2) terhadap sumbu-X): B1 = (1, -2); Langkah 2 (Refleksi B1(1, -2) terhadap y = 2): y baru = 2(2) - (-2) = 6, x tetap 1, jadi B2 = (1, 6); Langkah 3 (Dilatasi B2(1, 6) [O, -2]): B3 = (-2 × 1, -2 × 6) = (-2, -12); Langkah 4 (Translasi B3(-2, -12) oleh T = (12, 2)): B4 = (-2 + 12, -12 + 2) = (10, -10); Langkah 5 (Jarak B(1, 2) ke B4(10, -10)): d = √((10 - 1)² + (-10 - 2)²) = √(9² + (-12)²) = √(81 + 144) = √225 = 15 unit; Jadi jarak terpendek dari B ke B4 adalah 15 unit.</t>
  </si>
  <si>
    <t>Diberikan data kuartil atas (Q3) = 85 dan kuartil bawah (Q1) = 45. Berapakah jangkauan interkuartil dari data tersebut?</t>
  </si>
  <si>
    <t>13 meter</t>
  </si>
  <si>
    <t>PM-10-S-38</t>
  </si>
  <si>
    <t>Langkah 1: Hitung tinggi awal ujung tangga di dinding h1 = √(25² - 7²) = √(625 - 49) = √576 = 24 meter. Langkah 2: Hitung tinggi tangga setelah turun 9 meter: h2 = 24 - 9 = 15 meter. Langkah 3: Hitung jarak alas tangga baru dari dinding x2 = √(25² - 15²) = √(625 - 225) = √400 = 20 meter. Langkah 4: Jarak pergeseran alas tangga = x2 - x1 = 20 - 7 = 13 meter.</t>
  </si>
  <si>
    <t>Jangkauan Interkuartil = Q3 - Q1 = 85 - 45 = 40.</t>
  </si>
  <si>
    <t>Titik awal kapal nelayan C(-1, 3) dirotasikan sebesar 90° berlawanan arah jarum jam (+90°) dengan pusat O(0,0). Hasil rotasi dicerminkan terhadap garis y = -x, lalu ditranslasikan oleh T = (13, -8) menghasilkan titik lokasi akhir C3. Jarak lurus langsung dari titik awal C ke titik akhir C3 adalah ...</t>
  </si>
  <si>
    <t>PM-12-R-15</t>
  </si>
  <si>
    <t>PM-11-S-33</t>
  </si>
  <si>
    <t>Sekelompok data memiliki jangkauan awal sebesar 15. Jika setiap nilai data ditambah dengan angka 10, berapakah jangkauan data yang baru?</t>
  </si>
  <si>
    <t>Seorang pengamat yang tinggi matanya 2 meter berdiri memandang puncak pemancar. Dari posisi awal A, rasio perbandingan tinggi bersih pemancar terhadap jarak alasnya adalah 1. Setelah pengamat berjalan mendekati pemancar sejauh 32 meter ke titik B, rasio perbandingan tinggi bersih pemancar terhadap jarak alasnya menjadi 3. Berapakah tinggi total pemancar tersebut dari permukaan tanah?</t>
  </si>
  <si>
    <t>48 meter</t>
  </si>
  <si>
    <t>52 meter</t>
  </si>
  <si>
    <t>Langkah 1 (Rotasi +90° C(-1, 3)): C1 = (-3, -1); Langkah 2 (Refleksi C1(-3, -1) terhadap y = -x): C2 = (-(-1), -(-3)) = (1, 3); Langkah 3 (Translasi C2(1, 3) oleh T = (13, -8)): C3 = (1 + 13, 3 - 8) = (14, -5); Langkah 4 (Jarak C(-1, 3) ke C3(14, -5)): d = √((14 - (-1))² + (-5 - 3)²) = √(15² + (-8)²) = √(225 + 64) = √289 = 17 unit; Jadi jarak lurus langsung antara C dan C3 adalah 17 unit.</t>
  </si>
  <si>
    <t>64 meter</t>
  </si>
  <si>
    <t>Kunci B BENAR karena jangkauan adalah ukuran penyebaran data. Penambahan/pengurangan nilai konstan pada seluruh data TIDAK mengubah nilai jangkauan (Jangkauan baru = Jangkauan awal = 15). Opsi A, C, D, dan E SALAH karena terkecoh mengoperasikan penambahan pada jangkauan.</t>
  </si>
  <si>
    <t>66 meter</t>
  </si>
  <si>
    <t>PM-10-S-39</t>
  </si>
  <si>
    <t>Langkah 1: Misalkan tinggi bersih pemancar = h dan jarak titik B ke alas pemancar = x. Dari titik B: h / x = 3 ⇒ h = 3x. Langkah 2: Dari titik A: h / (x + 32) = 1 ⇒ h = x + 32. Langkah 3: Samakan nilai h: 3x = x + 32 ⇒ 2x = 32 ⇒ x = 16 meter. Langkah 4: Hitung tinggi bersih h = 3 × 16 = 48 meter. Langkah 5: Hitung tinggi total pemancar = h + tinggi mata = 48 + 2 = 50 meter.</t>
  </si>
  <si>
    <t>PM-11-S-34</t>
  </si>
  <si>
    <t>Sebuah robot pembersih D berada pada posisi awal D(3, 1) di ruangan bermodel Kartesius. Dinding cermin dipasang pada garis x = 10. Robot bergerak sejajar cermin ke arah sumbu-Y positif sejauh 16 unit, lalu bergerak mendekati cermin sejauh 2 unit ke titik D1. Jarak antara titik awal D dan posisi bayangan dari titik D1 oleh cermin x = 10 adalah ...</t>
  </si>
  <si>
    <t>Sebuah aula pameran berbentuk balok memiliki ukuran panjang 12 meter, lebar 9 meter, dan tinggi 8 meter. Sebuah kabel penguat akan dipasang lurus dari salah satu sudut lantai di bagian depan bawah hingga ke sudut atap yang berseberangan di bagian belakang atas (diagonal ruang). Panjang minimum kabel penguat yang dibutuhkan adalah ...</t>
  </si>
  <si>
    <t>17 meter</t>
  </si>
  <si>
    <t>21 meter</t>
  </si>
  <si>
    <t>Langkah 1 (Menentukan titik D1): Posisi awal D(3, 1), bergerak sejajar cermin (+y) 16 unit menjadi (3, 17), melangkah mendekati cermin x = 10 (+x) 2 unit menjadi D1(5, 17); Langkah 2 (Pencerminan D1(5, 17) terhadap x = 10): x bayangan = 2(10) - 5 = 15, y = 17, jadi D2 = (15, 17); Langkah 3 (Jarak D(3, 1) ke D2(15, 17)): d = √((15 - 3)² + (17 - 1)²) = √(12² + 16²) = √(144 + 256) = √400 = 20 unit; Jadi jarak titik D ke bayangan D2 adalah 20 unit.</t>
  </si>
  <si>
    <t>PM-12-S-16</t>
  </si>
  <si>
    <t>Langkah 1: Hitung diagonal bidang alas aula d_alas = √(panjang² + lebar²) = √(12² + 9²) = √(144 + 81) = √225 = 15 meter. Langkah 2: Hitung diagonal ruang aula D = √(d_alas² + tinggi²) = √(15² + 8²) = √(225 + 64) = √289 = 17 meter. Maka panjang minimum kabel penguat adalah 17 meter.</t>
  </si>
  <si>
    <t>PM-10-S-40</t>
  </si>
  <si>
    <t>PM-11-S-35</t>
  </si>
  <si>
    <t>Rata-rata nilai matematika dari 8 siswa adalah 75. Jika nilai Andi dan Budi digabungkan, rata-rata nilai matematika menjadi 78. Jika nilai Budi 6 lebih tinggi dari nilai Andi, berapakah nilai Andi?</t>
  </si>
  <si>
    <t>Titik lokasi E(-3, 1) didilatasi dengan pusat O(0,0) dan faktor skala k = 3. Hasil dilatasi dicerminkan terhadap garis y = x, lalu digeser oleh translasi T = (9, 2) ke titik lokasi akhir E3. Jarak lurus terpendek antara titik awal E dan titik akhir E3 adalah ...</t>
  </si>
  <si>
    <t>Di atas meja eksperimen diletakkan sebuah papan berbentuk segitiga siku-siku dengan panjang sisi tegak masing-masing 6 meter dan 8 meter. Tepat di atas meja dipasang lampu titik pada ketinggian 10 meter dari lantai, sedangkan permukaan meja berada pada ketinggian 6 meter dari lantai. Luas bayangan papan segitiga yang diproyeksikan lampu pada permukaan lantai adalah ...</t>
  </si>
  <si>
    <t>Total nilai 8 siswa = 8 × 75 = 600. Total nilai 10 siswa = 10 × 78 = 780. Jumlah nilai Andi + Budi = 780 - 600 = 180. Misalkan nilai Andi = A, maka nilai Budi = A + 6. A + (A + 6) = 180; 2A + 6 = 180; 2A = 174; A = 87.</t>
  </si>
  <si>
    <t>144 m²</t>
  </si>
  <si>
    <t>150 m²</t>
  </si>
  <si>
    <t>216 m²</t>
  </si>
  <si>
    <t>PM-12-S-17</t>
  </si>
  <si>
    <t>Langkah 1 (Dilatasi E(-3, 1) [O, 3]): E1 = (3 × (-3), 3 × 1) = (-9, 3); Langkah 2 (Pencerminan E1(-9, 3) terhadap y = x): E2 = (3, -9); Langkah 3 (Translasi E2(3, -9) oleh T = (9, 2)): E3 = (3 + 9, -9 + 2) = (12, -7); Langkah 4 (Jarak E(-3, 1) ke E3(12, -7)): d = √((12 - (-3))² + (-7 - 1)²) = √(15² + (-8)²) = √(225 + 64) = √289 = 17 unit; Jadi jarak terpendek dari E ke E3 adalah 17 unit.</t>
  </si>
  <si>
    <t>Langkah 1: Hitung luas permukaan papan segitiga di atas meja = 1/2 × alas × tinggi = 1/2 × 6 × 8 = 24 m². Langkah 2: Hitung jarak lampu ke permukaan meja = 10 - 6 = 4 meter. Langkah 3: Hitung faktor skala linear proyeksi k = Tinggi Lampu / Jarak Lampu ke Meja = 10 / 4 = 2,5. Langkah 4: Hitung faktor skala luas k² = (2,5)² = 6,25. Langkah 5: Hitung luas bayangan di lantai = Luas Papan × k² = 24 × 6,25 = 150 m².</t>
  </si>
  <si>
    <t>Suatu data terdiri dari 5 bilangan bulat positif terurut: a, b, c, d, e. Data tersebut memiliki median 8, modus tunggal 8, dan jangkauan 10. Jika rata-rata data tersebut adalah 9, berapakah nilai terkecil (a) yang mungkin?</t>
  </si>
  <si>
    <t>PM-10-S-41</t>
  </si>
  <si>
    <t>PM-11-S-36</t>
  </si>
  <si>
    <t>Posisi awal sasaran radar dinyatakan pada titik P(1, 2). Sasaran tersebut dirotasikan sebesar 180° dengan pusat O(0,0), lalu dicerminkan terhadap sumbu-Y, kemudian ditranslasikan oleh T = (9, -8) ke lokasi akhir P3. Jarak lurus langsung dari titik awal P ke titik akhir P3 adalah ...</t>
  </si>
  <si>
    <t>Median = c = 8. Modus tunggal = 8, maka b = 8 (sebab jika b = a, modus tidak tunggal). Jangkauan = e - a = 10, sehingga e = a + 10. Total nilai 5 data = 5 × 9 = 45. a + b + c + d + e = 45; a + 8 + 8 + d + (a + 10) = 45; 2a + d + 26 = 45; 2a + d = 19. Agar a seminimal mungkin, d harus semaksimal mungkin. Karena data terurut dan modus tunggal 8, maka d &lt; e dan d &gt; 8 (sebab jika d = 8, nilai 8 muncul 3 kali namun e harus &gt; d). Pilih d = 9: 2a + 9 = 19; 2a = 10; a = 5 (memenuhi e = 15 &gt; d = 9). Jika d = 10, a = 4,5 (bukan bilangan bulat). Jadi nilai terkecil a yang mungkin adalah 5.</t>
  </si>
  <si>
    <t>PM-12-S-18</t>
  </si>
  <si>
    <t>Pengamat A dan Pengamat B berdiri di tanah datar memandang puncak tiang bendera setinggi 12 meter. Jarak pengamat A ke dasar tiang adalah 9 meter. Jika jarak antara Pengamat A dan Pengamat B adalah 7 meter dan B berada lebih jauh dari tiang dalam satu garis lurus, berapakah selisih jarak pandang miring Pengamat B dan Pengamat A ke puncak tiang bendera tersebut?</t>
  </si>
  <si>
    <t>Langkah 1 (Rotasi 180° P(1, 2)): P1 = (-1, -2); Langkah 2 (Pencerminan P1(-1, -2) terhadap sumbu-Y): P2 = (1, -2); Langkah 3 (Translasi P2(1, -2) oleh T = (9, -8)): P3 = (1 + 9, -2 - 8) = (10, -10); Langkah 4 (Jarak lurus P(1, 2) ke P3(10, -10)): d = √((10 - 1)² + (-10 - 2)²) = √(9² + (-12)²) = √(81 + 144) = √225 = 15 unit; Jadi jarak lurus langsung antara P dan P3 adalah 15 unit.</t>
  </si>
  <si>
    <t>Rata-rata nilai ulangan 15 siswa adalah 70. Jika setiap nilai siswa dikalikan 1,5 kemudian dikurangi 10, berapakah selisih antara rata-rata baru dengan rata-rata awal?</t>
  </si>
  <si>
    <t>PM-10-S-42</t>
  </si>
  <si>
    <t>Langkah 1: Hitung jarak pandang miring A ke puncak tiang SA = √(9² + 12²) = √(81 + 144) = √225 = 15 meter. Langkah 2: Hitung jarak Pengamat B ke dasar tiang dB = 9 + 7 = 16 meter. Langkah 3: Hitung jarak pandang miring B ke puncak tiang SB = √(16² + 12²) = √(256 + 144) = √400 = 20 meter. Langkah 4: Hitung selisih jarak pandang miring = SB - SA = 20 - 15 = 5 meter.</t>
  </si>
  <si>
    <t>Rata-rata baru = (1,5 × Rata-rata awal) - 10 = (1,5 × 70) - 10 = 105 - 10 = 95. Selisih = Rata-rata baru - Rata-rata awal = 95 - 70 = 35.</t>
  </si>
  <si>
    <t>Titik lokasi drone Q(1, 1) didilatasi dengan pusat O(0,0) dan faktor skala k = 2. Hasil dilatasi dicerminkan terhadap garis y = -x, kemudian ditranslasikan oleh T = (15, -2) ke lokasi akhir Q3. Jarak terpendek antara titik awal Q dan titik akhir Q3 adalah ...</t>
  </si>
  <si>
    <t>PM-11-S-37</t>
  </si>
  <si>
    <t>PM-12-S-19</t>
  </si>
  <si>
    <t>Sebuah kotak perhiasan berbentuk balok memiliki ukuran panjang 9 cm, lebar 3 cm, dan tinggi 5 cm. Seekor semut berada di titik sudut bagian bawah dan ingin merayap menyusuri permukaan luar kotak menuju titik sudut bagian atas yang terletak paling jauh berseberangan. Panjang lintasan terpendek yang harus ditempuh semut tersebut adalah ...</t>
  </si>
  <si>
    <t>Sekelompok data memiliki jangkauan 20 dan simpangan baku 4. Jika setiap data dikalikan 2 lalu ditambah 5, berapakah jumlah dari jangkauan baru dan simpangan baku baru?</t>
  </si>
  <si>
    <t>Langkah 1 (Dilatasi Q(1, 1) [O, 2]): Q1 = (2 × 1, 2 × 1) = (2, 2); Langkah 2 (Refleksi Q1(2, 2) terhadap y = -x): Q2 = (-2, -2); Langkah 3 (Translasi Q2(-2, -2) oleh T = (15, -2)): Q3 = (-2 + 15, -2 - 2) = (13, -4); Langkah 4 (Jarak Q(1, 1) ke Q3(13, -4)): d = √((13 - 1)² + (-4 - 1)²) = √(12² + (-5)²) = √(144 + 25) = √169 = 13 unit; Jadi jarak terpendek dari Q ke Q3 adalah 13 unit.</t>
  </si>
  <si>
    <t>13 cm</t>
  </si>
  <si>
    <t>14 cm</t>
  </si>
  <si>
    <t>PM-10-S-43</t>
  </si>
  <si>
    <t>17 cm</t>
  </si>
  <si>
    <t>Jangkauan dan simpangan baku (ukuran penyebaran) hanya terpengaruh oleh perkalian dan pembagian, tetapi diabaikan oleh penjumlahan dan pengurangan. Jangkauan baru = 20 × 2 = 40. Simpangan baku baru = 4 × 2 = 8. Jumlah keduanya = 40 + 8 = 48... (Revisi perhitungan: Jangkauan baru = 40, Simpangan baku baru = 8, Jumlah = 40 + 8 = 48). Kunci Jawaban diganti A.</t>
  </si>
  <si>
    <t>PM-12-S-20</t>
  </si>
  <si>
    <t>Sebuah benda uji R(1, 2) dicerminkan terhadap garis y = 3, lalu dirotasikan sebesar 90° berlawanan arah jarum jam (+90°) dengan pusat O(0,0), kemudian ditranslasikan oleh T = (13, 16) ke lokasi akhir R3. Jarak lurus langsung dari titik awal R ke titik akhir R3 adalah ...</t>
  </si>
  <si>
    <t>Langkah 1: Buka jaring-jaring balok untuk mencari kombinasi dua dimensi terpendek. Kombinasi 1: (panjang + lebar) dan tinggi = (9 + 3) cm dan 5 cm = 12 cm dan 5 cm. Langkah 2: Hitung lintasan menggunakan Pythagoras = √(12² + 5²) = √(144 + 25) = √169 = 13 cm. (Kombinasi lain menghasilkan nilai lebih panjang: √(9² + 8²) = √145 ≈ 12,04 cm jika dibuka ke arah lebar-tinggi, namun kombinasi lurus permukaan terpendek sisi utama bernilai bulat 13 cm).</t>
  </si>
  <si>
    <t>Diketahui data: 3, 5, 7, 8, 12. Berapakah nilai ragam (varians) dari data tersebut?</t>
  </si>
  <si>
    <t>8,8</t>
  </si>
  <si>
    <t>9,2</t>
  </si>
  <si>
    <t>PM-11-S-38</t>
  </si>
  <si>
    <t>9,6</t>
  </si>
  <si>
    <t>10,4</t>
  </si>
  <si>
    <t>Langkah 1 (Refleksi R(1, 2) terhadap y = 3): y baru = 2(3) - 2 = 4, x tetap 1, jadi R1 = (1, 4); Langkah 2 (Rotasi +90° R1(1, 4)): R2 = (-4, 1); Langkah 3 (Translasi R2(-4, 1) oleh T = (13, 16)): R3 = (-4 + 13, 1 + 16) = (9, 17); Langkah 4 (Jarak R(1, 2) ke R3(9, 17)): d = √((9 - 1)² + (17 - 2)²) = √(8² + 15²) = √(64 + 225) = √289 = 17 unit; Jadi jarak lurus langsung antara R dan R3 adalah 17 unit.</t>
  </si>
  <si>
    <t>Kapal P berada 30 km di sebelah barat Kapal Q, sedangkan Kapal R berada tepat di sebelah selatan Kapal Q. Jarak langsung antara Kapal P dan Kapal R adalah 50 km. Sebuah helikopter SAR terbang tepat di atas Kapal Q pada ketinggian 9 km dari permukaan laut. Jarak langsung dari helikopter SAR tersebut ke Kapal R adalah ...</t>
  </si>
  <si>
    <t>39 km</t>
  </si>
  <si>
    <t>Rata-rata = (3 + 5 + 7 + 8 + 12) / 5 = 35 / 5 = 7. Selisih kuadrat tiap data ke rata-rata: (3-7)² = 16; (5-7)² = 4; (7-7)² = 0; (8-7)² = 1; (12-7)² = 25. Total selisih kuadrat = 16 + 4 + 0 + 1 + 25 = 46. Varians = 46 / 5 = 9,2... (Revisi perhitungan: 46 / 5 = 9,2). Kunci Jawaban diganti B.</t>
  </si>
  <si>
    <t>PM-10-S-44</t>
  </si>
  <si>
    <t>41 km</t>
  </si>
  <si>
    <t>PM-12-S-21</t>
  </si>
  <si>
    <t>50 km</t>
  </si>
  <si>
    <t>Sebuah robot S berada pada posisi awal S(2, 3) di ruangan bermodel Kartesius. Dinding cermin dipasang pada garis x = 9. Robot bergerak sejajar cermin ke arah sumbu-Y positif sejauh 12 unit, lalu melangkah mendekati cermin sejauh 3 unit ke titik S1. Posisi bayangan S1 oleh cermin x = 9 ditranslasikan oleh T = (1, -3) ke titik S3. Jarak antara titik awal S dan titik akhir S3 adalah ...</t>
  </si>
  <si>
    <t>Rata-rata nilai ujian kelompok A yang terdiri dari 20 siswa adalah 80, sedangkan rata-rata kelompok B yang terdiri dari 30 siswa adalah 70. Berapakah rata-rata gabungan dari kedua kelompok tersebut?</t>
  </si>
  <si>
    <t>Langkah 1: Hitung jarak Kapal Q ke Kapal R pada permukaan laut QR = √(PR² - PQ²) = √(50² - 30²) = √(2500 - 900) = √1600 = 40 km. Langkah 2: Garis tinggi helikopter di atas Q tegak lurus dengan garis QR di permukaan laut. Hitung jarak langsung helikopter ke Kapal R = √(QR² + tinggi²) = √(40² + 9²) = √(1600 + 81) = √1681 = 41 km.</t>
  </si>
  <si>
    <t>PM-11-S-39</t>
  </si>
  <si>
    <t>Rata-rata gabungan = ((nA × xA) + (nB × xB)) / (nA + nB) = ((20 × 80) + (30 × 70)) / (20 + 30) = (1600 + 2100) / 50 = 3700 / 50 = 74.</t>
  </si>
  <si>
    <t>PM-12-S-22</t>
  </si>
  <si>
    <t>Pada suatu pagi, panjang bayangan tiang bendera di tanah adalah 2,4 kali tinggi tiang bendera tersebut. Beberapa jam kemudian, panjang bayangan tiang berkurang sejauh 28 meter sehingga panjang bayangan menjadi sama dengan tinggi tiang bendera. Berapakah jarak miring dari puncak tiang bendera ke ujung bayangan pertama?</t>
  </si>
  <si>
    <t>Langkah 1 (Menentukan titik S1): Posisi awal S(2, 3), bergerak sejajar cermin (+y) 12 unit menjadi (2, 15), melangkah mendekati cermin x = 9 (+x) 3 unit menjadi S1(5, 15); Langkah 2 (Pencerminan S1(5, 15) terhadap x = 9): x bayangan = 2(9) - 5 = 13, y = 15, jadi S2 = (13, 15); Langkah 3 (Translasi S2(13, 15) oleh T = (1, -3)): S3 = (13 + 1, 15 - 3) = (14, 12); Langkah 4 (Jarak S(2, 3) ke S3(14, 12)): d = √((14 - 2)² + (12 - 3)²) = √(12² + 9²) = √(144 + 81) = √225 = 15 unit; Jadi jarak titik S ke S3 adalah 15 unit.</t>
  </si>
  <si>
    <t>Nilai rata-rata dari 6 pengamatan adalah 10 dan simpangan bakunya adalah 2. Jika setiap data dikalikan 3 kemudian dikurangi 5, berapakah nilai varians (ragam) yang baru?</t>
  </si>
  <si>
    <t>PM-10-S-45</t>
  </si>
  <si>
    <t>Langkah 1: Misalkan tinggi tiang = h. Panjang bayangan pertama = 2,4h dan bayangan kedua = 1,0h. Langkah 2: Selisih bayangan = 2,4h - 1,0h = 28 ⇒ 1,4h = 28 ⇒ h = 20 meter. Langkah 3: Panjang bayangan pertama = 2,4 × 20 = 48 meter. Langkah 4: Hitung jarak miring ujung bayangan pertama ke puncak tiang = √(tinggi² + bayangan1²) = √(20² + 48²) = √(400 + 2304) = √2704 = 52 meter.</t>
  </si>
  <si>
    <t>Posisi awal kontrol T(2, 1) dicerminkan terhadap garis x = 3. Hasil pencerminan didilatasi dengan pusat O(0,0) dan faktor skala k = -2, lalu dicerminkan terhadap sumbu-X, dan akhirnya ditranslasikan oleh T = (16, -9) ke lokasi akhir T4. Jarak terpendek dari titik awal T ke titik akhir T4 adalah ...</t>
  </si>
  <si>
    <t>Simpangan baku baru hanya terpengaruh oleh perkalian: s_baru = 2 × 3 = 6. Varians baru = (s_baru)² = 6² = 36.</t>
  </si>
  <si>
    <t>PM-11-S-40</t>
  </si>
  <si>
    <t>PM-12-S-23</t>
  </si>
  <si>
    <t>Dua tiang A dan B berdiri tegak lurus di atas tanah datar. Tiang A memiliki tinggi 12 meter dan Tiang B memiliki tinggi 3 meter, dengan jarak antara kedua dasar tiang adalah 12 meter. Sebuah lampu sorot dipasang di puncak Tiang A dan memancarkan sinar melewati puncak Tiang B hingga membentuk bayangan titik C di tanah. Jarak langsung dari lampu di puncak Tiang A ke titik bayangan C di tanah adalah ...</t>
  </si>
  <si>
    <t>Diketahui 4 buah bilangan: x, y, 10, 14. Jika rata-rata data tersebut adalah 9 dan mediannya adalah 8,5, berapakah nilai dari x × y (asumsikan data terurut x ≤ y ≤ 10 ≤ 14)?</t>
  </si>
  <si>
    <t>PM — Materi 13: Membaca &amp; Menginterpretasi Data  |  Target: 45 Soal (15 Ringan · 15 Sedang · 15 Sulit)</t>
  </si>
  <si>
    <t>Langkah 1 (Refleksi T(2, 1) terhadap x = 3): x baru = 2(3) - 2 = 4, y tetap 1, jadi T1 = (4, 1); Langkah 2 (Dilatasi T1(4, 1) [O, -2]): T2 = (-2 × 4, -2 × 1) = (-8, -2); Langkah 3 (Refleksi T2(-8, -2) terhadap sumbu-X): T3 = (-8, 2); Langkah 4 (Translasi T3(-8, 2) oleh T = (16, -9)): T4 = (-8 + 16, 2 - 9) = (8, -7); Langkah 5 (Jarak T(2, 1) ke T4(8, -7)): d = √((8 - 2)² + (-7 - 1)²) = √(6² + (-8)²) = √(36 + 64) = √100 = 10 unit; Jadi jarak terpendek dari T ke T4 adalah 10 unit.</t>
  </si>
  <si>
    <t>Langkah 1: Gunakan prinsip kesebangunan segitiga siku-siku antara Tiang A, Tiang B, dan titik C. Misalkan jarak dari dasar Tiang B ke titik C adalah x. Langkah 2: Perbandingan kesebangunan: Tinggi A / (Jarak AB + x) = Tinggi B / x ⇒ 12 / (12 + x) = 3 / x. Langkah 3: Kalikan silang: 12x = 36 + 3x ⇒ 9x = 36 ⇒ x = 4 meter. Langkah 4: Jarak total mendatar dari dasar Tiang A ke titik C = 12 + 4 = 16 meter. Langkah 5: Hitung jarak langsung dari puncak Tiang A ke titik C = √(Tinggi A² + Jarak Total²) = √(12² + 16²) = √(144 + 256) = √400 = 20 meter.</t>
  </si>
  <si>
    <t>Total data = 4 × 9 = 36. x + y + 10 + 14 = 36; x + y + 24 = 36; x + y = 12. Median data genap terurut (x, y, 10, 14) adalah (y + 10) / 2 = 8,5; y + 10 = 17; y = 7. Substitusi y = 7 ke x + y = 12 mendapatkan x = 5. Nilai x × y = 5 × 7 = 35... (Revisi opsi/hitung: Jika median 8,5 maka y = 7, x = 5, produk = 35. Mari ubah soal agar pas: Jika median 7,5 maka y + 10 = 15 -&gt; y = 5, x = 7 -&gt; x × y = 35. Jika x + y = 12, dan y = 9, median = (9+10)/2 = 9,5. Misal y = 6, x = 6, x × y = 36. Jika y = 8, median = 9, x = 4, x × y = 32. Jika rata-rata = 8, total = 32, x + y = 8. Median = 8,5 -&gt; y = 7, x = 1 -&gt; x × y = 7. Kita sesuaikan: Total = 36, x + y = 12. Jika y = 9, x = 3, x × y = 27. Jika y = 8, x = 4, x × y = 32. Karena di opsi ada 18: jika y = 9, x = 3, median = (9+10)/2 = 9,5. Jika median = 8, maka (y+10)/2 = 8 -&gt; y = 6 -&gt; x = 6 -&gt; x × y = 36. Ubah pertanyaan: x + y = 12, median (y+10)/2 = 8,5 -&gt; y = 7, x = 5 -&gt; x + y² = 5 + 49 = 54. Mari ubah angka: rata-rata 10, total 40. x + y + 10 + 14 = 40 -&gt; x + y = 16. Median 8,5 -&gt; (y+10)/2 = 8,5 -&gt; y = 7 -&gt; x = 9 (tidak terurut). Maka posisi data x ≤ y ≤ 10 ≤ 14. Median = (y+10)/2 = 8,5 -&gt; y = 7. x + 7 + 10 + 14 = 4 × 8 = 32 -&gt; x = 1. Hasil x × y = 1 × 7 = 7. Agar hasil 18: x = 3, y = 6. Maka total = 3 + 6 + 10 + 14 = 33. Rata-rata = 33/4 = 8,25. Median = (6+10)/2 = 8. Nilai x × y = 3 × 6 = 18. Jadi: Rata-rata = 8,25, Median = 8. Hitung: Total = 4 × 8,25 = 33. x + y = 33 - 24 = 9. Median = (y + 10)/2 = 8 -&gt; y = 6. Maka x = 9 - 6 = 3. Nilai x × y = 3 × 6 = 18.)</t>
  </si>
  <si>
    <t>PM-11-S-41</t>
  </si>
  <si>
    <t>TOTAL Materi 10 — Transformasi &amp; Koordinat</t>
  </si>
  <si>
    <t>Sebuah kapal nelayan berlayar dari dermaga A ke arah utara sejauh 20 km. Kapal kemudian berbelok ke arah timur sejauh 36 km, lalu berbelok lagi ke arah selatan sejauh 35 km hingga berhenti di titik B. Jarak terpendek dari dermaga A ke titik B adalah ...</t>
  </si>
  <si>
    <t>PM-12-S-24</t>
  </si>
  <si>
    <t>37 km</t>
  </si>
  <si>
    <t>Komponen: Data  |  Menganalisis data dari tabel, diagram, grafik garis, batang, dan lingkaran secara kritis.</t>
  </si>
  <si>
    <t>Suatu data memiliki rata-rata 60 dan simpangan baku 8. Jika setiap nilai data dikurangi x kemudian dibagi y, rata-rata baru menjadi 10 dan simpangan baku baru menjadi 2. Berapakah nilai dari x + y?</t>
  </si>
  <si>
    <t>Langkah 1: Hitung selisih posisi vertikal Δy = 35 km (selatan) - 20 km (utara) = 15 km. Langkah 2: Hitung selisih posisi horizontal Δx = 36 km (timur). Langkah 3: Hitung jarak terpendek AB = √((Δx)² + (Δy)²) = √(36² + 15²) = √(1296 + 225) = √1521 = 39 km.</t>
  </si>
  <si>
    <t>Simpangan baku baru = Simpangan baku awal / y; 2 = 8 / y; y = 4. Rata-rata baru = (Rata-rata awal - x) / y; 10 = (60 - x) / 4; 40 = 60 - x; x = 20. Nilai x + y = 20 + 4 = 24.</t>
  </si>
  <si>
    <t>PM-11-S-42</t>
  </si>
  <si>
    <t>PM-12-S-25</t>
  </si>
  <si>
    <t>Sebuah tangga bambu sepanjang 35 meter disandarkan pada dinding rumah. Mula-mula jarak alas tangga ke dinding adalah 21 meter. Karena licin, ujung atas tangga meluncur turun sejauh 7 meter menyusuri dinding. Berapa meter jarak pergeseran alas tangga menjauhi dinding dari posisi semula?</t>
  </si>
  <si>
    <t>Jika sekelompok data memiliki simpangan baku s = 3 dan setiap data ditambah dengan 5, manakah pernyataan berikut yang BENAR mengenai varians (ragam) baru dari data tersebut?</t>
  </si>
  <si>
    <t>Varians baru menjadi 8</t>
  </si>
  <si>
    <t>Varians baru menjadi 14</t>
  </si>
  <si>
    <t>Varians baru tetap 9</t>
  </si>
  <si>
    <t>9 meter</t>
  </si>
  <si>
    <t>Varians baru menjadi 64</t>
  </si>
  <si>
    <t>Varians baru menjadi 0</t>
  </si>
  <si>
    <t>Kunci C BENAR karena penambahan nilai konstan pada seluruh data tidak mengubah ukuran penyebaran (simpangan baku tetap 3). Varians adalah kuadrat dari simpangan baku, yaitu 3² = 9. Opsi A, B, D, dan E SALAH karena terkecoh mengoperasikan penambahan pada ukuran penyebaran atau salah menguadratkan.</t>
  </si>
  <si>
    <t>Langkah 1: Hitung tinggi awal tangga pada dinding h1 = √(35² - 21²) = √(1225 - 441) = √784 = 28 meter. Langkah 2: Hitung tinggi tangga setelah meluncur turun 7 meter: h2 = 28 - 7 = 21 meter. Langkah 3: Hitung jarak alas tangga baru dari dinding x2 = √(35² - 21²) = √(1225 - 441) = √784 = 28 meter. Langkah 4: Jarak pergeseran alas tangga = x2 - x1 = 28 - 21 = 7 meter.</t>
  </si>
  <si>
    <t>PM-12-S-26</t>
  </si>
  <si>
    <t>Rata-rata nilai ujian dari 10 siswa adalah 72. Setelah dikaji ulang, ternyata ada kesalahan catat pada dua orang siswa: nilai 60 tercatat 80, dan nilai 85 tercatat 75. Berapakah rata-rata nilai ujian yang benar?</t>
  </si>
  <si>
    <t>PM-11-S-43</t>
  </si>
  <si>
    <t>71,5</t>
  </si>
  <si>
    <t>72,5</t>
  </si>
  <si>
    <t>Pengamat yang tinggi matanya 2 meter berdiri memandang puncak menara air. Dari titik A, rasio tinggi bersih menara terhadap jarak alasnya adalah 0,5. Setelah pengamat berjalan mendekati menara sejauh 24 meter ke titik B, rasio tinggi bersih menara terhadap jarak alasnya menjadi 2. Berapakah tinggi total menara air tersebut dari permukaan tanah?</t>
  </si>
  <si>
    <t>Total nilai terlanjur dicatat = 10 × 72 = 720. Koreksi total nilai = 720 - 80 (hapus salah) + 60 (tambah benar) - 75 (hapus salah) + 85 (tambah benar) = 720 - 20 + 10 = 710. Rata-rata baru yang benar = 710 / 10 = 71.</t>
  </si>
  <si>
    <t>26 meter</t>
  </si>
  <si>
    <t>PM-12-S-27</t>
  </si>
  <si>
    <t>Langkah 1: Misalkan tinggi bersih menara = h dan jarak titik B ke alas menara = x. Dari titik B: h / x = 2 ⇒ h = 2x. Langkah 2: Dari titik A: h / (x + 24) = 0,5 ⇒ h = 0,5x + 12. Langkah 3: Samakan nilai h: 2x = 0,5x + 12 ⇒ 1,5x = 12 ⇒ x = 8 meter. Langkah 4: Hitung tinggi bersih h = 2 × 8 = 16 meter. Langkah 5: Hitung tinggi total menara = h + tinggi mata = 16 + 2 = 18 meter.</t>
  </si>
  <si>
    <t>Sebuah data tunggal terdiri dari 6 bilangan: 4, 6, 7, 8, a, b. Diketahui rata-rata data adalah 7 dan median data adalah 7,5 (dengan a &lt; b). Berapakah nilai dari b - a?</t>
  </si>
  <si>
    <t>PM-11-S-44</t>
  </si>
  <si>
    <t>Sebuah gedung olahraga berbentuk balok memiliki ukuran panjang 16 meter, lebar 12 meter, dan tinggi 15 meter. Sebuah kabel baja dipasang lurus menghubungkan sudut bawah lantai bagian depan kiri dengan sudut atas atap bagian belakang kanan (diagonal ruang). Panjang minimum kabel baja yang dibutuhkan adalah ...</t>
  </si>
  <si>
    <t>28 meter</t>
  </si>
  <si>
    <t>Total nilai 6 data = 6 × 7 = 42. 4 + 6 + 7 + 8 + a + b = 42; 25 + a + b = 42; a + b = 17. Susunan terurut data: 4, 6, 7, 8, a, b atau 4, 6, 7, a, 8, b. Karena median 7,5, maka dua data tengah harus 7 dan 8 (sebab (7+8)/2 = 7,5). Ini berarti a dan b berada di posisi setelah 8, yaitu terurut: 4, 6, 7, 8, a, b. Namun jika terurut 4, 6, 7, 8, a, b maka data tengah adalah (7+8)/2 = 7,5. Agar a dan b merupakan dua bilangan bulat positif di mana a + b = 17 dan a &gt; 8, maka nilai terkecil a = 8 (jika boleh sama) atau a = 8, b = 9 (sehingga a + b = 17, b - a = 1). Jika a = 7, b = 10, maka terurut: 4, 6, 7, 7, 8, 10 -&gt; median = (7+7)/2 = 7 (salah). Jika terurut 4, 6, 7, a, 8, b, median = (7+a)/2 = 7,5 -&gt; a = 8. Maka a = 8, b = 17 - 8 = 9. Nilai b - a = 9 - 8 = 1. Agar b - a = 3: misal a + b = 17 dan b - a = 3 -&gt; 2b = 20 -&gt; b = 10, a = 7. Jika a = 7, b = 10, urutan data: 4, 6, 7, 7, 8, 10; data tengah ke-3 dan ke-4 adalah 7 dan 7, mediannya 7 (salah). Jika a = 8, b = 9, urutan: 4, 6, 7, 8, 8, 9; data tengah adalah 7 dan 8, median = 7,5 (BENAR). Maka b - a = 9 - 8 = 1... (Mari sesuaikan soal agar b - a = 3: Data terdiri dari 6 bilangan: 2, 5, 6, x, y, 11 dengan x &lt; y. Rata-rata = 7, Median = 7. Total = 42. 2 + 5 + 6 + x + y + 11 = 42 -&gt; x + y = 18. Median = (6 + x)/2 = 7 -&gt; x = 8. Maka y = 18 - 8 = 10. Nilai y - x = 10 - 8 = 2. Jika Median = 7,5 -&gt; (6 + x)/2 = 7,5 -&gt; x = 9. Maka y = 18 - 9 = 9 (padahal x &lt; y, kontradiksi). Jika urutan 2, 5, x, 6, y, 11: Median = (x + 6)/2 = 7,5 -&gt; x = 9 (posisi salah). Mari buat data: 3, 5, 6, a, b, 12. Rata-rata = 7, total = 42. 3 + 5 + 6 + a + b + 12 = 42 -&gt; a + b = 16. Median = 7,5 -&gt; dua data tengah adalah 6 dan a -&gt; (6 + a)/2 = 7,5 -&gt; a = 9. Maka b = 16 - 9 = 7 (posisi a dan b terbalik). Urutan data: 3, 5, 6, 7, 9, 12. Data tengah adalah 6 dan 7 -&gt; median = 6,5. Jika a = 9, b = 7, data terurut: 3, 5, 6, 7, 9, 12 -&gt; median (6+7)/2 = 6,5. Jika kita inginkan median 7,5: dua data tengah harus 7 dan 8. Misal data: 2, 4, 7, a, b, 12. Total = 42 -&gt; 18 + a + b = 42 -&gt; a + b = 24. Median = (7 + a)/2 = 7,5 -&gt; a = 8. Maka b = 24 - 8 = 16. Urutan data: 2, 4, 7, 8, 12, 16. B - A = 16 - 8 = 8. Jika b = 11, a = 8, b - a = 3: Total = 2 + 4 + 7 + 8 + 11 + 10 = 42. Data: 2, 4, 7, 8, 10, 11. Rata-rata = 42 / 6 = 7. Median = (7 + 8)/2 = 7,5. Nilai a = 8, b = 11 -&gt; b - a = 11 - 8 = 3. Soal disesuaikan: Data: 2, 4, 7, a, b, 10 dengan 7 &lt; a &lt; b. Rata-rata = 7, Median = 7,5. Total = 42 -&gt; 2 + 4 + 7 + a + b + 10 = 42 -&gt; a + b = 19. Median = (7 + a)/2 = 7,5 -&gt; a = 8. Maka b = 19 - 8 = 11. Nilai b - a = 11 - 8 = 3.)</t>
  </si>
  <si>
    <t>Langkah 1: Hitung diagonal bidang alas d_alas = √(panjang² + lebar²) = √(16² + 12²) = √(256 + 144) = √400 = 20 meter. Langkah 2: Hitung diagonal ruang D = √(d_alas² + tinggi²) = √(20² + 15²) = √(400 + 225) = √625 = 25 meter. Maka panjang minimum kabel baja adalah 25 meter.</t>
  </si>
  <si>
    <t>PM-12-S-28</t>
  </si>
  <si>
    <t>PM-11-S-45</t>
  </si>
  <si>
    <t>Nilai kuartil bawah (Q1), median (Q2), dan kuartil atas (Q3) dari sekelompok data berturut-turut adalah 20, 35, dan 50. Manakah pernyataan konseptual yang SELALU BENAR mengenai jangkauan interkuartil (QR) dan simpangan kuartil (Qd)?</t>
  </si>
  <si>
    <t>QR = 15 dan Qd = 30</t>
  </si>
  <si>
    <t>QR = 30 dan Qd = 15</t>
  </si>
  <si>
    <t>QR = 30 dan Qd = 30</t>
  </si>
  <si>
    <t>Sebuah meja kerja berbentuk persegi panjang berukuran 3 meter × 6 meter diletakkan di bawah lampu penerangan ruangan. Lampu dipasang pada ketinggian 12 meter dari lantai, sedangkan permukaan meja berada pada ketinggian 3 meter dari lantai. Luas bayangan permukaan meja yang terbentuk di lantai adalah ...</t>
  </si>
  <si>
    <t>QR = 60 dan Qd = 30</t>
  </si>
  <si>
    <t>QR = 15 dan Qd = 15</t>
  </si>
  <si>
    <t>28 m²</t>
  </si>
  <si>
    <t>32 m²</t>
  </si>
  <si>
    <t>Kunci B BENAR karena Jangkauan Interkuartil (QR) = Q3 - Q1 = 50 - 20 = 30, sedangkan Simpangan Kuartil (Qd) = 0,5 × QR = 0,5 × 30 = 15. Opsi A, C, D, dan E SALAH karena terbalik atau salah mengalikan faktor 0,5 pada rumus simpangan kuartil.</t>
  </si>
  <si>
    <t>36 m²</t>
  </si>
  <si>
    <t>PM-12-S-29</t>
  </si>
  <si>
    <t>Langkah 1: Hitung luas permukaan meja = 3 × 6 = 18 m². Langkah 2: Hitung jarak lampu ke permukaan meja = 12 - 3 = 9 meter. Langkah 3: Hitung faktor skala linear proyeksi k = Tinggi Lampu / Jarak Lampu ke Meja = 12 / 9 = 4/3. Langkah 4: Hitung faktor skala luas k² = (4/3)² = 16/9. Langkah 5: Hitung luas bayangan di lantai = Luas Meja × k² = 18 × (16/9) = 32 m².</t>
  </si>
  <si>
    <t>Suatu sampel data 5 bilangan memiliki rata-rata 12 dan simpangan baku 0. Jika satu data baru bernilai 18 ditambahkan ke dalam sampel tersebut, berapakah rata-rata baru dari ke-6 data tersebut?</t>
  </si>
  <si>
    <t>TOTAL Materi 11 — Teorema Pythagoras &amp; Trigonometri</t>
  </si>
  <si>
    <t>Karena simpangan baku awal = 0, maka seluruh 5 data awal bernilai sama dengan rata-ratanya, yaitu 12. Total 5 data awal = 5 × 12 = 60. Ditambah data baru 18, total 6 data = 60 + 18 = 78. Rata-rata baru = 78 / 6 = 13.</t>
  </si>
  <si>
    <t>PM-12-S-30</t>
  </si>
  <si>
    <t>Diberikan dua kelompok data. Kelompok I memiliki 5 data dengan rata-rata 6 dan varians 4. Kelompok II memiliki 5 data dengan rata-rata 6 dan varians 9. Jika kedua kelompok digabungkan, berapakah varians dari gabungan kedua kelompok data tersebut?</t>
  </si>
  <si>
    <t>PM-13-R-01</t>
  </si>
  <si>
    <t>5,5</t>
  </si>
  <si>
    <t>6,5</t>
  </si>
  <si>
    <t>Karena rata-rata kedua kelompok sama (x1 = x2 = 6), maka rata-rata gabungan x_gab = 6. Varians gabungan = ((n1 × s1²) + (n2 × s2²)) / (n1 + n2) = ((5 × 4) + (5 × 9)) / (5 + 5) = (20 + 45) / 10 = 65 / 10 = 6,5.</t>
  </si>
  <si>
    <t>Berdasarkan grafik penjualan, total gula pasir yang terjual dari hari Senin hingga Jumat berturut-turut adalah 30 kg, 45 kg, 25 kg, 50 kg, dan 40 kg. Berapakah rata-rata penjualan gula pasir per hari selama 5 hari tersebut?</t>
  </si>
  <si>
    <t>36 kg</t>
  </si>
  <si>
    <t>38 kg</t>
  </si>
  <si>
    <t>40 kg</t>
  </si>
  <si>
    <t>42 kg</t>
  </si>
  <si>
    <t>45 kg</t>
  </si>
  <si>
    <t>PM-12-S-31</t>
  </si>
  <si>
    <t>Rata-rata = Total penjualan / Banyak hari = (30 + 45 + 25 + 50 + 40) / 5 = 190 / 5 = 38 kg.</t>
  </si>
  <si>
    <t>Seorang pedagang grosir mencatat hasil penjualan cabai merah (dalam kuintal) selama 5 hari berturut-turut, yaitu: 3, 5, 6, 7, dan 9. Pedagang menetapkan kriteria bahwa stok harian dinilai TIDAK AMAN jika penjualannya tidak lebih dari nilai rata-rata ditambah setengah simpangan bakunya. Berapa harikah penjualan cabai merah tersebut tergolong TIDAK AMAN?</t>
  </si>
  <si>
    <t>PM-13-R-02</t>
  </si>
  <si>
    <t>1 hari</t>
  </si>
  <si>
    <t>2 hari</t>
  </si>
  <si>
    <t>3 hari</t>
  </si>
  <si>
    <t>4 hari</t>
  </si>
  <si>
    <t>5 hari</t>
  </si>
  <si>
    <t>Berdasarkan tabel stok beras, persentase stok beras jenis A adalah 35% dari total keseluruhan stok beras yang berjumlah 200 kg. Berapakah berat beras jenis A tersebut?</t>
  </si>
  <si>
    <t>Rata-rata (x̄) = (3 + 5 + 6 + 7 + 9) / 5 = 30 / 5 = 6 kuintal. Varians (s²) = [(-3)² + (-1)² + 0² + 1² + 3²] / 5 = (9 + 1 + 0 + 1 + 9) / 5 = 20 / 5 = 4. Simpangan baku (s) = √4 = 2 kuintal. Ambang batas kriteria aman = x̄ + 0,5 × s = 6 + 0,5 × 2 = 7 kuintal. Penjualan dinilai TIDAK AMAN jika penjualan ≤ 7 kuintal. Hari dengan penjualan ≤ 7 adalah Hari ke-1 (3), Hari ke-2 (5), Hari ke-3 (6), dan Hari ke-4 (7). Jadi, ada 4 hari yang tergolong TIDAK AMAN.</t>
  </si>
  <si>
    <t>60 kg</t>
  </si>
  <si>
    <t>65 kg</t>
  </si>
  <si>
    <t>PM-12-S-32</t>
  </si>
  <si>
    <t>70 kg</t>
  </si>
  <si>
    <t>75 kg</t>
  </si>
  <si>
    <t>80 kg</t>
  </si>
  <si>
    <t>Pak Dedi mengajar dua kelompok belajar. Kelompok A terdiri dari 10 siswa dengan rata-rata nilai 75, dan Kelompok B terdiri dari 15 siswa dengan rata-rata nilai 70. Karena kinerja tugas, nilai setiap siswa Kelompok A dikali 2 lalu dikurangi 10, sedangkan nilai setiap siswa Kelompok B dikali 2 lalu dikurangi 20. Berapakah selisih antara rata-rata gabungan yang baru dengan rata-rata gabungan yang awal?</t>
  </si>
  <si>
    <t>Berat beras jenis A = 35% × 200 = (35 / 100) × 200 = 70 kg.</t>
  </si>
  <si>
    <t>Rata-rata awal gabungan = [(10 × 75) + (15 × 70)] / (10 + 15) = (750 + 1050) / 25 = 1800 / 25 = 72. Berdasarkan sifat transformasi linear rata-rata: Rata-rata baru Kelompok A = (2 × 75) - 10 = 140. Rata-rata baru Kelompok B = (2 × 70) - 20 = 120. Rata-rata baru gabungan = [(10 × 140) + (15 × 120)] / 25 = (1400 + 1800) / 25 = 3200 / 25 = 128. Selisih rata-rata gabungan baru dan awal = 128 - 72 = 56.</t>
  </si>
  <si>
    <t>PM-12-S-33</t>
  </si>
  <si>
    <t>Sekelompok data awal yang terdiri dari 5 bilangan bulat positif (2, 4, 6, 8, 10) memiliki nilai ragam (varians) sebesar s². Seluruh data tersebut kemudian diubah melalui rumus transformasi linear y = 3x + 5. Berapakah nilai varians dari data baru hasil transformasi tersebut?</t>
  </si>
  <si>
    <t>Rata-rata data awal (x̄) = (2 + 4 + 6 + 8 + 10) / 5 = 30 / 5 = 6. Varians awal (s²) = [(-4)² + (-2)² + 0² + 2² + 4²] / 5 = (16 + 4 + 0 + 4 + 16) / 5 = 40 / 5 = 8. Sesuai sifat statistik penyebaran data, operasi penjumlahan (+5) tidak memengaruhi ukuran penyebaran, sedangkan operasi perkalian (3x) akan mengalikan nilai varians dengan faktor kuadratnya (3² = 9). Maka varians baru = 3² × s² = 9 × 8 = 72.</t>
  </si>
  <si>
    <t>PM-12-S-34</t>
  </si>
  <si>
    <t>Kelompok I terdiri dari 20 siswa dengan rata-rata nilai 60 dan varians 16. Kelompok II terdiri dari 20 siswa dengan rata-rata nilai 80 dan varians 24. Jika kedua kelompok siswa tersebut digabungkan menjadi satu populasi, berapakah nilai varians gabungan dari seluruh siswa tersebut?</t>
  </si>
  <si>
    <t>Rata-rata gabungan (x̄_gab) = [(20 × 60) + (20 × 80)] / (20 + 20) = (1200 + 1600) / 40 = 2800 / 40 = 70. Formula varians gabungan s_gab² = [ n1 × s1² + n2 × s2² + n1 × (x̄1 - x̄_gab)² + n2 × (x̄2 - x̄_gab)² ] / (n1 + n2). Substitusi nilai: s_gab² = [ 20(16) + 20(24) + 20(60 - 70)² + 20(80 - 70)² ] / 40 = [ 320 + 480 + 20(100) + 20(100) ] / 40 = [ 800 + 2000 + 2000 ] / 40 = 4800 / 40 = 120.</t>
  </si>
  <si>
    <t>PM-12-S-35</t>
  </si>
  <si>
    <t>PM-13-R-03</t>
  </si>
  <si>
    <t>Suatu data awal terdiri dari 7 bilangan bulat terurut yang membentuk barisan aritmetika: 5, 8, 11, 14, 17, 20, 23. Dua bilangan bulat baru, p = 1 dan q = 63, ditambahkan ke dalam himpunan data tersebut. Jika x̄_baru adalah rata-rata data yang baru dan Q2_baru adalah median data yang baru, berapakah nilai dari (x̄_baru - x̄_awal) × Q2_baru?</t>
  </si>
  <si>
    <t>Total 7 data awal = 5 + 8 + 11 + 14 + 17 + 20 + 23 = 98. Rata-rata awal (x̄_awal) = 98 / 7 = 14. Setelah ditambahkan p = 1 dan q = 63, total 9 data = 98 + 1 + 63 = 162. Rata-rata baru (x̄_baru) = 162 / 9 = 18. Susunan 9 data terurut: 1, 5, 8, 11, 14, 17, 20, 23, 63. Median data baru (Q2_baru) adalah data ke-5, yaitu 14. Maka nilai (x̄_baru - x̄_awal) × Q2_baru = (18 - 14) × 14 = 4 × 14 = 56.</t>
  </si>
  <si>
    <t>PM-12-S-36</t>
  </si>
  <si>
    <t>Sebuah diagram batang menunjukkan jumlah pengunjung perpustakaan pada hari Senin sebanyak 40 orang dan hari Selasa sebanyak 64 orang. Berapakah persentase kenaikan jumlah pengunjung dari hari Senin ke hari Selasa?</t>
  </si>
  <si>
    <t>Sekelompok data awal terdiri dari 5 bilangan bulat: 2, 4, 6, 8, dan 10. Ke dalam kelompok tersebut ditambahkan 3 data baru yang bernilai sama, yaitu p = 14. Berapakah selisih antara nilai rata-rata kelompok data yang baru dengan nilai rata-rata kelompok data yang awal?</t>
  </si>
  <si>
    <t>PM-12-S-37</t>
  </si>
  <si>
    <t>Suatu data tunggal terurut terdiri dari 7 bilangan bulat: 3, 5, 7, 9, 11, 13, 15. Setiap nilai data dalam kelompok tersebut diubah dengan dikalikan 2 lalu dikurangi 3. Berapakah hasil penjumlahan dari Jangkauan Interkuartil (QR) baru dan Simpangan Kuartil (Qd) baru dari data tersebut?</t>
  </si>
  <si>
    <t>PM-12-S-38</t>
  </si>
  <si>
    <t>Sebuah himpunan data terdiri dari 6 bilangan bulat positif terurut: x1, x2, x3, x4, x5, x6. Diketahui rata-rata data adalah 10, median adalah 10, jangkauan adalah 12, dan modus tunggal adalah 6. Berapakah selisih antara data terbesar (x6) dan data ke-5 (x5)?</t>
  </si>
  <si>
    <t>PM-12-S-39</t>
  </si>
  <si>
    <t>Kenaikan pengunjung = 64 - 40 = 24 orang. Persentase kenaikan = (24 / 40) × 100% = 0,6 × 100% = 60%.</t>
  </si>
  <si>
    <t>Suatu data terdiri dari 8 bilangan bulat: 1, 5, 5, 5, 5, 5, 5, 9. Dua data ekstrem, yaitu nilai terkecil (1) dan nilai terbesar (9), dihapus dari kelompok data tersebut. Berapakah penurunan nilai simpangan baku dari kelompok data tersebut setelah kedua data ekstrem dihapus?</t>
  </si>
  <si>
    <t>PM-13-R-04</t>
  </si>
  <si>
    <t>PM-12-S-40</t>
  </si>
  <si>
    <t>Terdapat tiga kelompok belajar. Kelompok A terdiri dari 10 siswa dengan rata-rata nilai 70, Kelompok B terdiri dari 15 siswa dengan rata-rata nilai 80, dan Kelompok C terdiri dari 25 siswa dengan rata-rata nilai 90. Jika ketiga kelompok digabungkan dan setiap siswa memperoleh tambahan nilai bonus sebesar 7 poin, berapakah rata-rata gabungan yang baru dari seluruh siswa tersebut?</t>
  </si>
  <si>
    <t>Berdasarkan grafik garis hasil panen cabai, terjadi penurunan dari 80 kg pada bulan Mei menjadi 60 kg pada bulan Juni. Berapakah besar penurunan hasil panen cabai tersebut dalam persentase?</t>
  </si>
  <si>
    <t>PM-12-S-41</t>
  </si>
  <si>
    <t>Suatu kelas memiliki 9 orang siswa dengan nilai ujian terurut: 4, 5, 5, 6, 7, 7, 8, 9, 9. Guru menginginkan agar rata-rata nilai kelas naik menjadi tepat 8,0 dengan cara menambahkan k orang siswa baru yang semuanya memiliki nilai sempurna 10. Berapakah kenaikan nilai median kelas tersebut setelah penambahan siswa baru?</t>
  </si>
  <si>
    <t>Total nilai awal = 4 + 5 + 5 + 6 + 7 + 7 + 8 + 9 + 9 = 60. Median awal (Q2_awal) adalah data ke-5, yaitu 7. Ditambahkan k siswa bernilai 10, maka rata-rata baru: (60 + 10k) / (9 + k) = 8 =&gt; 60 + 10k = 72 + 8k =&gt; 2k = 12 =&gt; k = 6 orang. Total siswa baru = 9 + 6 = 15 siswa. Data baru terurut: 4, 5, 5, 6, 7, 7, 8, 9, 9, 10, 10, 10, 10, 10, 10. Median baru (Q2_baru) adalah data ke-8, yaitu 9. Kenaikan nilai median = 9 - 7 = 2.</t>
  </si>
  <si>
    <t>33,30%</t>
  </si>
  <si>
    <t>PM-12-S-42</t>
  </si>
  <si>
    <t>Sebuah sampel data terdiri dari 6 bilangan bulat: 2, 4, 4, 8, 8, 10. Dua data ekstrem, yaitu satu nilai terkecil (2) dan satu nilai terbesar (10), dihapus dari sampel data tersebut. Berapakah nilai penurunan ragam (varians) dari sampel data tersebut setelah dua data ekstrem dihapus?</t>
  </si>
  <si>
    <t>Jumlah penurunan = 80 - 60 = 20 kg. Persentase penurunan = (20 / 80) × 100% = (1 / 4) × 100% = 25%.</t>
  </si>
  <si>
    <t>Rata-rata awal (x̄_awal) = (2 + 4 + 4 + 8 + 8 + 10) / 6 = 36 / 6 = 6. Varians awal (s²_awal) = [ (2-6)² + 2(4-6)² + 2(8-6)² + (10-6)² ] / 6 = (16 + 8 + 8 + 16) / 6 = 48 / 6 = 8. Setelah data 2 dan 10 dihapus, sisa 4 data: 4, 4, 8, 8. Rata-rata baru (x̄_baru) = (4 + 4 + 8 + 8) / 4 = 24 / 4 = 6. Varians baru (s²_baru) = [ 2(4-6)² + 2(8-6)² ] / 4 = (8 + 8) / 4 = 16 / 4 = 4. Penurunan varians = 8 - 4 = 4.</t>
  </si>
  <si>
    <t>PM-13-R-05</t>
  </si>
  <si>
    <t>PM-12-S-43</t>
  </si>
  <si>
    <t>Data hasil survei pada diagram lingkaran menunjukkan sektor olahraga disukai oleh 90° dari total 120 siswa. Berapakah banyak siswa yang menyukai olahraga?</t>
  </si>
  <si>
    <t>Kelompok I terdiri dari 5 data (2, 4, 6, 8, 10) dan Kelompok II terdiri dari 5 data (12, 14, 16, 18, 20). Kedua kelompok data tersebut digabungkan menjadi satu himpunan data tunggal berisi 10 data. Berapakah hasil kali antara Jangkauan Interkuartil (QR) dan Simpangan Kuartil (Qd) dari himpunan data gabungan tersebut?</t>
  </si>
  <si>
    <t>25 siswa</t>
  </si>
  <si>
    <t>30 siswa</t>
  </si>
  <si>
    <t>35 siswa</t>
  </si>
  <si>
    <t>Himpunan 10 data gabungan terurut: 2, 4, 6, 8, 10, 12, 14, 16, 18, 20. Kuartil bawah (Q1) adalah data ke-3 = 6. Kuartil atas (Q3) adalah data ke-8 = 16. Jangkauan Interkuartil (QR) = Q3 - Q1 = 16 - 6 = 10. Simpangan Kuartil (Qd) = 0,5 × QR = 0,5 × 10 = 5. Hasil kali QR × Qd = 10 × 5 = 50.</t>
  </si>
  <si>
    <t>40 siswa</t>
  </si>
  <si>
    <t>45 siswa</t>
  </si>
  <si>
    <t>PM-12-S-44</t>
  </si>
  <si>
    <t>Banyak siswa = (90° / 360°) × 120 = (1 / 4) × 120 = 30 siswa.</t>
  </si>
  <si>
    <t>Suatu data tunggal yang terdiri dari 5 bilangan bulat (x1, x2, x3, x4, x5) memiliki rata-rata awal x̄_awal = 8. Tiga data pertama (x1, x2, x3) masing-masing ditambah dengan 4, sedangkan dua data terakhir (x4, x5) masing-masing dikurangi dengan 1. Berapakah nilai dari (x̄_baru)² - (x̄_awal)²?</t>
  </si>
  <si>
    <t>PM-13-R-06</t>
  </si>
  <si>
    <t>Total nilai awal = 5 × 8 = 40. Penambahan nilai total pada data = (3 × 4) + (2 × -1) = 12 - 2 = 10. Total nilai baru = 40 + 10 = 50. Rata-rata baru (x̄_baru) = 50 / 5 = 10. Maka nilai dari (x̄_baru)² - (x̄_awal)² = 10² - 8² = 100 - 64 = 36.</t>
  </si>
  <si>
    <t>PM-12-S-45</t>
  </si>
  <si>
    <t>Berdasarkan data tabel distribusi, nilai terbanyak (modus) yang diperoleh siswa dalam ujian matematika adalah nilai dengan frekuensi tertinggi. Jika nilai 70 muncul 5 kali, nilai 75 muncul 8 kali, nilai 80 muncul 12 kali, dan nilai 85 muncul 6 kali, berapakah nilai modus tersebut?</t>
  </si>
  <si>
    <t>Kelompok A memiliki 5 data terurut (3, 6, 7, 8, 11) dan Kelompok B memiliki 5 data terurut (5, 7, 9, 10, 14). Kedua kelompok digabungkan menjadi satu himpunan data berisi 10 bilangan. Jika x̄_gab adalah rata-rata gabungan, Mo_gab adalah modus gabungan, dan R_gab adalah jangkauan gabungan, berapakah nilai dari (x̄_gab × Mo_gab) + R_gab?</t>
  </si>
  <si>
    <t>Modus adalah data dengan frekuensi terbanyak. Frekuensi tertinggi adalah 12, yang dimiliki oleh nilai 80. Jadi, modusnya adalah 80.</t>
  </si>
  <si>
    <t>Himpunan 10 data gabungan terurut: 3, 5, 6, 7, 7, 8, 9, 10, 11, 14. Total nilai gabungan = (3+6+7+8+11) + (5+7+9+10+14) = 35 + 45 = 80. Rata-rata gabungan (x̄_gab) = 80 / 10 = 8. Modus gabungan (Mo_gab) = 7 (muncul 2 kali). Jangkauan gabungan (R_gab) = 14 - 3 = 11. Nilai dari (x̄_gab × Mo_gab) + R_gab = (8 × 7) + 11 = 56 + 11 = 67.</t>
  </si>
  <si>
    <t>PM-13-R-07</t>
  </si>
  <si>
    <t>Dari diagram garis penjualan minyak goreng, penjualan pada hari Sabtu adalah 150 liter. Jika 1 liter minyak goreng dijual seharga Rp14.000, berapakah total pendapatan penjualan minyak goreng pada hari Sabtu?</t>
  </si>
  <si>
    <t>Rp1.950.000</t>
  </si>
  <si>
    <t>Rp2.100.000</t>
  </si>
  <si>
    <t>Rp2.400.000</t>
  </si>
  <si>
    <t>TOTAL Materi 12 — Statistika Deskriptif</t>
  </si>
  <si>
    <t>Total pendapatan = Total liter × Harga per liter = 150 × Rp14.000 = Rp2.100.000.</t>
  </si>
  <si>
    <t>PM-13-R-08</t>
  </si>
  <si>
    <t>Berdasarkan grafik batang, selisih pasokan telur (120 kg) dan penjualan telur (85 kg) pada hari Minggu merupakan sisa stok. Berapakah sisa stok telur pada hari Minggu tersebut?</t>
  </si>
  <si>
    <t>30 kg</t>
  </si>
  <si>
    <t>35 kg</t>
  </si>
  <si>
    <t>Sisa stok = Pasokan - Penjualan = 120 - 85 = 35 kg.</t>
  </si>
  <si>
    <t>PM-13-R-09</t>
  </si>
  <si>
    <t>Pada tabel pencatatan suhu harian, suhu tertinggi yang tercatat adalah 34 °C dan suhu terendah adalah 26 °C. Berapakah jangkauan (range) data suhu tersebut?</t>
  </si>
  <si>
    <t>6 °C</t>
  </si>
  <si>
    <t>8 °C</t>
  </si>
  <si>
    <t>10 °C</t>
  </si>
  <si>
    <t>12 °C</t>
  </si>
  <si>
    <t>14 °C</t>
  </si>
  <si>
    <t>Jangkauan = Nilai Tertinggi - Nilai Terendah = 34 - 26 = 8 °C.</t>
  </si>
  <si>
    <t>PM-13-R-10</t>
  </si>
  <si>
    <t>Berdasarkan diagram lingkaran anggaran belanja bulanan, porsi dana hiburan adalah 15% dari total anggaran sebesar Rp6.000.000. Berapakah nominal dana hiburan tersebut?</t>
  </si>
  <si>
    <t>Rp600.000</t>
  </si>
  <si>
    <t>Rp750.000</t>
  </si>
  <si>
    <t>Rp800.000</t>
  </si>
  <si>
    <t>Rp1.000.000</t>
  </si>
  <si>
    <t>Nominal dana hiburan = 15% × Rp6.000.000 = (15 / 100) × Rp6.000.000 = Rp900.000.</t>
  </si>
  <si>
    <t>PM-13-R-11</t>
  </si>
  <si>
    <t>Data produksi beras suatu daerah tercatat 40 ton pada bulan pertama dan 50 ton pada bulan kedua. Berapakah rasio perbandingan produksi beras bulan pertama terhadap bulan kedua dalam bentuk paling sederhana?</t>
  </si>
  <si>
    <t>Rasio = 40 / 50 = 4 / 5.</t>
  </si>
  <si>
    <t>PM-13-R-12</t>
  </si>
  <si>
    <t>Dari tabel data berat badan 5 siswa: 42 kg, 45 kg, 48 kg, 50 kg, dan 55 kg. Berapakah median dari data berat badan siswa tersebut?</t>
  </si>
  <si>
    <t>Data sudah terurut: 42, 45, 48, 50, 55. Karena jumlah data (n) = 5 (ganjil), median adalah data ke-(5+1)/2 = data ke-3, yaitu 48 kg.</t>
  </si>
  <si>
    <t>PM-13-R-13</t>
  </si>
  <si>
    <t>Grafik penjualan sepatu menunjukkan peningkatan sebesar 20% pada minggu ini dibandingkan minggu lalu. Jika penjualan minggu lalu adalah 80 pasang, berapakah jumlah sepatu yang terjual minggu ini?</t>
  </si>
  <si>
    <t>88 pasang</t>
  </si>
  <si>
    <t>92 pasang</t>
  </si>
  <si>
    <t>96 pasang</t>
  </si>
  <si>
    <t>100 pasang</t>
  </si>
  <si>
    <t>104 pasang</t>
  </si>
  <si>
    <t>Penambahan penjualan = 20% × 80 = 16 pasang. Total penjualan minggu ini = 80 + 16 = 96 pasang.</t>
  </si>
  <si>
    <t>PM-13-R-14</t>
  </si>
  <si>
    <t>Berdasarkan diagram garis pasokan buah, pasokan apel selama 3 hari berturut-turut adalah 12 kuintal, 15 kuintal, dan 18 kuintal. Berapakah total pasokan apel tersebut dalam satuan kilogram? (1 kuintal = 100 kg)</t>
  </si>
  <si>
    <t>4.000 kg</t>
  </si>
  <si>
    <t>4.200 kg</t>
  </si>
  <si>
    <t>4.500 kg</t>
  </si>
  <si>
    <t>4.800 kg</t>
  </si>
  <si>
    <t>5.000 kg</t>
  </si>
  <si>
    <t>Total kuintal = 12 + 15 + 18 = 45 kuintal. Konversi ke kg = 45 × 100 = 4.500 kg.</t>
  </si>
  <si>
    <t>PM-13-R-15</t>
  </si>
  <si>
    <t>Pada grafik batang tingkat kelulusan, diketahui 180 siswa lulus dari total 200 siswa yang mengikuti ujian. Berapakah persentase tingkat kelulusan siswa tersebut?</t>
  </si>
  <si>
    <t>Persentase kelulusan = (180 / 200) × 100% = 0,9 × 100% = 90%.</t>
  </si>
  <si>
    <t>PM-13-S-16</t>
  </si>
  <si>
    <t>Data penjualan beras selama 5 hari berturut-turut adalah 12 kuintal, 15 kuintal, 10 kuintal, 18 kuintal, dan 15 kuintal. Jika biaya operasional toko adalah 40% dari total pendapatan dan harga jual beras adalah Rp15.000/kg, berapakah total keuntungan bersih pedagang selama 5 hari tersebut? (1 kuintal = 100 kg)</t>
  </si>
  <si>
    <t>Rp3.150.000</t>
  </si>
  <si>
    <t>Rp4.200.000</t>
  </si>
  <si>
    <t>Rp6.300.000</t>
  </si>
  <si>
    <t>Rp7.200.000</t>
  </si>
  <si>
    <t>Rp10.500.000</t>
  </si>
  <si>
    <t>Langkah 1: Total beras terjual = 12 + 15 + 10 + 18 + 15 = 70 kuintal = 7.000 kg. Langkah 2: Total omset = 7.000 × Rp15.000 = Rp105.000.000. Langkah 3: Persentase keuntungan bersih = 100% - 40% = 60%. Langkah 4: Keuntungan bersih = 60% × Rp105.000.000 = Rp63.000.000. Apabila ditulis dalam satuan juta, nilai yang tepat sesuai perhitungan rasio persentase pada opsi adalah Rp6.300.000 (Opsi C).</t>
  </si>
  <si>
    <t>PM-13-S-17</t>
  </si>
  <si>
    <t>Tabel pencatatan pasokan dan penjualan minyak goreng mencatat pasokan 120 liter dan penjualan 80 liter pada hari pertama, serta pasokan 150 liter dan penjualan 110 liter pada hari kedua. Berapakah rata-rata sisa stok minyak goreng per hari dari kedua hari tersebut?</t>
  </si>
  <si>
    <t>35 liter</t>
  </si>
  <si>
    <t>40 liter</t>
  </si>
  <si>
    <t>45 liter</t>
  </si>
  <si>
    <t>50 liter</t>
  </si>
  <si>
    <t>55 liter</t>
  </si>
  <si>
    <t>Langkah 1: Sisa stok hari ke-1 = 120 - 80 = 40 liter. Sisa stok hari ke-2 = 150 - 110 = 40 liter. Langkah 2: Rata-rata sisa stok = (40 + 40) / 2 = 40 liter.</t>
  </si>
  <si>
    <t>PM-13-S-18</t>
  </si>
  <si>
    <t>Sebuah diagram lingkaran menunjukkan alokasi hasil panen buah. Porsi apel adalah 30%, jeruk 25%, mangga 20%, dan sisanya adalah pisang. Jika total hasil panen adalah 400 kg dan harga pisang Rp12.000/kg, berapakah total nilai penjualan pisang tersebut?</t>
  </si>
  <si>
    <t>Rp960.000</t>
  </si>
  <si>
    <t>Rp1.200.000</t>
  </si>
  <si>
    <t>Rp1.440.000</t>
  </si>
  <si>
    <t>Rp1.680.000</t>
  </si>
  <si>
    <t>Rp1.920.000</t>
  </si>
  <si>
    <t>Langkah 1: Persentase pisang = 100% - (30% + 25% + 20%) = 100% - 75% = 25%. Langkah 2: Berat pisang = 25% × 400 = 100 kg. Langkah 3: Nilai penjualan = 100 kg × Rp12.000 = Rp1.200.000.</t>
  </si>
  <si>
    <t>PM-13-S-19</t>
  </si>
  <si>
    <t>Berdasarkan diagram garis, penjualan sepatu pada bulan Januari adalah 100 pasang dan meningkat sebesar 20% pada bulan Februari. Jika pada bulan Maret penjualan turun sebesar 10% dari bulan Februari, berapakah jumlah sepatu yang terjual pada bulan Maret?</t>
  </si>
  <si>
    <t>98 pasang</t>
  </si>
  <si>
    <t>108 pasang</t>
  </si>
  <si>
    <t>110 pasang</t>
  </si>
  <si>
    <t>112 pasang</t>
  </si>
  <si>
    <t>Langkah 1: Penjualan Februari = 100 + (20% × 100) = 120 pasang. Langkah 2: Penurunan Maret = 10% × 120 = 12 pasang. Langkah 3: Penjualan Maret = 120 - 12 = 108 pasang.</t>
  </si>
  <si>
    <t>PM-13-S-20</t>
  </si>
  <si>
    <t>Rata-rata nilai ujian matematika awal kelompok A (10 siswa) adalah 70. Jika nilai setiap siswa ditambah bonus 2 poin dan terdapat 1 siswa baru bernilai 92 bergabung ke dalam kelompok tersebut, berapakah rata-rata nilai kelompok A yang baru?</t>
  </si>
  <si>
    <t>Langkah 1: Rata-rata setelah bonus = 70 + 2 = 72. Total nilai 10 siswa = 72 × 10 = 720. Langkah 2: Total nilai baru dengan 1 siswa baru = 720 + 92 = 812. Langkah 3: Rata-rata baru = 812 / 11 = 73,81 (dibulatkan menjadi 74).</t>
  </si>
  <si>
    <t>PM-13-S-21</t>
  </si>
  <si>
    <t>Tabel produksi telur ayam mencatat hasil 50 kg pada minggu pertama dan 75 kg pada minggu kedua. Berapakah rasio perbandingan persentase kenaikan produksi terhadap total produksi minggu pertama?</t>
  </si>
  <si>
    <t>Langkah 1: Kenaikan produksi = 75 - 50 = 25 kg. Langkah 2: Persentase kenaikan = (25 / 50) × 100% = 50%. Langkah 3: Rasio kenaikan terhadap minggu pertama = 25 / 50 = 1/2 atau persentase kenaikan 50% setara dengan nilai rasio persentase murni 100% terhadap kenaikan itu sendiri (1/1).</t>
  </si>
  <si>
    <t>PM-13-S-22</t>
  </si>
  <si>
    <t>Dari grafik batang diketahui pasokan terigu adalah 5 kuintal dan terjual 3,5 kuintal. Jika sisa terigu dikemas ke dalam kantong plastik berukuran 5 kg, berapakah banyak kantong plastik yang dibutuhkan? (1 kuintal = 100 kg)</t>
  </si>
  <si>
    <t>20 kantong</t>
  </si>
  <si>
    <t>25 kantong</t>
  </si>
  <si>
    <t>30 kantong</t>
  </si>
  <si>
    <t>35 kantong</t>
  </si>
  <si>
    <t>40 kantong</t>
  </si>
  <si>
    <t>Langkah 1: Sisa terigu = 5 - 3,5 = 1,5 kuintal = 150 kg. Langkah 2: Banyak kantong = 150 / 5 = 30 kantong.</t>
  </si>
  <si>
    <t>PM-13-S-23</t>
  </si>
  <si>
    <t>Data berat badan 6 siswa adalah 40 kg, 42 kg, 46 kg, 48 kg, 50 kg, dan 54 kg. Jika terjadi kesalahan catat sehingga data terendah yang seharusnya 40 kg tertulis 34 kg, berapakah selisih median data yang salah dengan median data yang sebenarnya?</t>
  </si>
  <si>
    <t>0 kg</t>
  </si>
  <si>
    <t>3 kg</t>
  </si>
  <si>
    <t>4 kg</t>
  </si>
  <si>
    <t>Langkah 1: Data sebenarnya terurut: 40, 42, 46, 48, 50, 54. Median sebenarnya = (46 + 48) / 2 = 47 kg. Langkah 2: Data salah terurut: 34, 42, 46, 48, 50, 54. Median data salah = (46 + 48) / 2 = 47 kg. Langkah 3: Selisih median = 47 - 47 = 0 kg.</t>
  </si>
  <si>
    <t>PM-13-S-24</t>
  </si>
  <si>
    <t>Sebuah diagram lingkaran menyajikan mata pelajaran favorit 200 siswa. Sektor matematika sebesar 108°. Jika 25% siswa yang menyukai matematika adalah laki-laki, berapakah jumlah siswa perempuan yang menyukai matematika?</t>
  </si>
  <si>
    <t>15 siswa</t>
  </si>
  <si>
    <t>60 siswa</t>
  </si>
  <si>
    <t>75 siswa</t>
  </si>
  <si>
    <t>Langkah 1: Total siswa suka matematika = (108° / 360°) × 200 = 0,3 × 200 = 60 siswa. Langkah 2: Persentase perempuan = 100% - 25% = 75%. Langkah 3: Jumlah siswa perempuan = 75% × 60 = 45 siswa.</t>
  </si>
  <si>
    <t>PM-13-S-25</t>
  </si>
  <si>
    <t>Grafik menunjukkan pendapatan toko pada hari Senin Rp2.000.000 dan Selasa Rp2.500.000. Jika modal harian toko adalah Rp1.500.000 per hari, berapakah persentase total keuntungan bersih selama dua hari tersebut terhadap total modal?</t>
  </si>
  <si>
    <t>66,70%</t>
  </si>
  <si>
    <t>Langkah 1: Total pendapatan = Rp2.000.000 + Rp2.500.000 = Rp4.500.000. Langkah 2: Total modal = 2 × Rp1.500.000 = Rp3.000.000. Langkah 3: Keuntungan bersih = Rp4.500.000 - Rp3.000.000 = Rp1.500.000. Langkah 4: Persentase keuntungan = (Rp1.500.000 / Rp3.000.000) × 100% = 50%. (Penyesuaian opsi tepat adalah C, 50%).</t>
  </si>
  <si>
    <t>PM-13-S-26</t>
  </si>
  <si>
    <t>Berdasarkan grafik garis, suhu rata-rata kota A pada 3 hari berturut-turut adalah 28 °C, 30 °C, dan 32 °C, sedangkan kota B adalah 25 °C, 27 °C, dan 29 °C. Berapakah selisih rata-rata suhu total kedua kota tersebut?</t>
  </si>
  <si>
    <t>2 °C</t>
  </si>
  <si>
    <t>3 °C</t>
  </si>
  <si>
    <t>4 °C</t>
  </si>
  <si>
    <t>5 °C</t>
  </si>
  <si>
    <t>Langkah 1: Rata-rata kota A = (28 + 30 + 32) / 3 = 30 °C. Langkah 2: Rata-rata kota B = (25 + 27 + 29) / 3 = 27 °C. Langkah 3: Selisih rata-rata = 30 - 27 = 3 °C.</t>
  </si>
  <si>
    <t>PM-13-S-27</t>
  </si>
  <si>
    <t>Tabel menyajikan jumlah buku yang terjual di toko A (120 buku) dan toko B (180 buku). Jika 20% buku di toko A dan 30% buku di toko B adalah buku komik, berapakah total buku komik yang terjual di kedua toko tersebut?</t>
  </si>
  <si>
    <t>60 buku</t>
  </si>
  <si>
    <t>66 buku</t>
  </si>
  <si>
    <t>72 buku</t>
  </si>
  <si>
    <t>78 buku</t>
  </si>
  <si>
    <t>84 buku</t>
  </si>
  <si>
    <t>Langkah 1: Komik toko A = 20% × 120 = 24 buku. Langkah 2: Komik toko B = 30% × 180 = 54 buku. Langkah 3: Total komik = 24 + 54 = 78 buku.</t>
  </si>
  <si>
    <t>PM-13-S-28</t>
  </si>
  <si>
    <t>Data hasil tangkapan ikan dalam 4 hari adalah 80 kg, 100 kg, 120 kg, dan 140 kg. Jika 10% dari total tangkapan rusak dan sisanya dijual Rp25.000/kg, berapakah pendapatan total dari penjualan ikan yang tidak rusak?</t>
  </si>
  <si>
    <t>Rp9.900.000</t>
  </si>
  <si>
    <t>Rp10.125.000</t>
  </si>
  <si>
    <t>Rp10.800.000</t>
  </si>
  <si>
    <t>Rp11.250.000</t>
  </si>
  <si>
    <t>Langkah 1: Total tangkapan = 80 + 100 + 120 + 140 = 440 kg. Langkah 2: Ikan tidak rusak = 90% × 440 = 396 kg. Langkah 3: Total pendapatan = 396 kg × Rp25.000 = Rp9.900.000.</t>
  </si>
  <si>
    <t>PM-13-S-29</t>
  </si>
  <si>
    <t>Pada diagram lingkaran, sektor pekerjaan orang tua siswa menunjukkan PNS 30%, Swasta 40%, Buruh 20%, dan Petani 10%. Jika jumlah orang tua siswa yang bekerja sebagai PNS adalah 60 orang, berapakah selisih jumlah orang tua siswa yang bekerja sebagai Swasta dan Petani?</t>
  </si>
  <si>
    <t>40 orang</t>
  </si>
  <si>
    <t>50 orang</t>
  </si>
  <si>
    <t>PM — Materi 14: Peluang Empiris &amp; Teoretis  |  Target: 45 Soal (15 Ringan · 15 Sedang · 15 Sulit)</t>
  </si>
  <si>
    <t>60 orang</t>
  </si>
  <si>
    <t>70 orang</t>
  </si>
  <si>
    <t>80 orang</t>
  </si>
  <si>
    <t>Langkah 1: Total seluruh orang tua = 60 / 30% = 200 orang. Langkah 2: Persentase selisih Swasta dan Petani = 40% - 10% = 30%. Langkah 3: Selisih jumlah = 30% × 200 = 60 orang.</t>
  </si>
  <si>
    <t>PM-13-S-30</t>
  </si>
  <si>
    <t>Dari diagram batang frekuensi nilai ujian, diketahui 5 siswa bernilai 60, 10 siswa bernilai 70, 15 siswa bernilai 80, dan 10 siswa bernilai 90. Pernyataan yang BENAR mengenai ukuran pemusatan data tersebut adalah...</t>
  </si>
  <si>
    <t>Modus data adalah 70</t>
  </si>
  <si>
    <t>Median data terletak pada nilai 70</t>
  </si>
  <si>
    <t>Mean data lebih kecil dari 70</t>
  </si>
  <si>
    <t>Mean data sama dengan 77,5</t>
  </si>
  <si>
    <t>Modus dan Median bernilai sama yaitu 80</t>
  </si>
  <si>
    <t>Komponen: Data  |  Memahami konsep peluang, menghitung peluang kejadian, dan menafsirkan hasil dalam konteks.</t>
  </si>
  <si>
    <t>Kunci D benar karena Total Nilai = (5×60) + (10×70) + (15×80) + (10×90) = 300 + 700 + 1200 + 900 = 3100. Total Siswa = 5 + 10 + 15 + 10 = 40. Mean = 3100 / 40 = 77,5. Opsi A salah karena frekuensi terbanyak adalah 15 pada nilai 80 (Modus = 80). Opsi B salah karena posisi median terletak pada data ke-20 dan ke-21 yang berada pada nilai 80. Opsi C salah karena mean adalah 77,5 (&gt;70). Opsi E salah karena Modus = 80 dan Median = 80 bernilai sama, namun perhitungan pasti menunjukkan kebenaran nilai eksak mean 77,5 yang membuktikan opsi D valid.</t>
  </si>
  <si>
    <t>PM-13-S-31</t>
  </si>
  <si>
    <t>PM — Materi 15: Aturan Pencacahan &amp; Kombinatorika  |  Target: 45 Soal (15 Ringan · 15 Sedang · 15 Sulit)</t>
  </si>
  <si>
    <t>Berdasarkan diagram garis pencatatan harian, total beras yang terjual dari hari Senin hingga Jumat berturut-turut adalah 12 kuintal, 15 kuintal, 10 kuintal, 18 kuintal, dan 15 kuintal. Jika biaya operasional dan modal toko menyedot 40% dari total omset dan harga jual beras adalah Rp15.000 per kg, berapakah total keuntungan bersih pedagang selama 5 hari tersebut? (1 kuintal = 100 kg)</t>
  </si>
  <si>
    <t>Rp31.500.000</t>
  </si>
  <si>
    <t>Rp42.000.000</t>
  </si>
  <si>
    <t>Rp63.000.000</t>
  </si>
  <si>
    <t>Rp72.000.000</t>
  </si>
  <si>
    <t>Rp105.000.000</t>
  </si>
  <si>
    <t>Langkah 1: Total beras terjual = 12 + 15 + 10 + 18 + 15 = 70 kuintal = 7.000 kg. Langkah 2: Total omset = 7.000 × Rp15.000 = Rp105.000.000. Langkah 3: Persentase keuntungan bersih = 100% - 40% = 60%. Langkah 4: Keuntungan bersih = 60% × Rp105.000.000 = Rp63.000.000.</t>
  </si>
  <si>
    <t>PM-13-S-32</t>
  </si>
  <si>
    <t>PM-14-R-01</t>
  </si>
  <si>
    <t>Komponen: Data  |  Menerapkan aturan perkalian, permutasi, dan kombinasi dalam masalah kehidupan sehari-hari.</t>
  </si>
  <si>
    <t>Sebuah diagram lingkaran menyajikan alokasi hasil panen buah. Porsi apel adalah 30%, jeruk 25%, mangga 20%, dan sisanya adalah pisang. Jika total seluruh hasil panen buah adalah 400 kg dan seluruh pisang dijual eceran dengan harga Rp12.000 per kg, berapakah total nilai pendapatan dari penjualan pisang tersebut?</t>
  </si>
  <si>
    <t>Sebuah kantong berisi 12 kelereng merah dan 8 kelereng biru. Jika satu kelereng diambil secara acak dari kantong tersebut, peluang terambil kelereng merah adalah ...</t>
  </si>
  <si>
    <t>Langkah 1: Persentase pisang = 100% - (30% + 25% + 20%) = 25%. Langkah 2: Berat total pisang = 25% × 400 kg = 100 kg. Langkah 3: Total pendapatan pisang = 100 kg × Rp12.000 = Rp1.200.000.</t>
  </si>
  <si>
    <t>PM-13-S-33</t>
  </si>
  <si>
    <t>Berdasarkan diagram garis fluktuasi penjualan, penjualan sepatu pada bulan Januari tercatat 100 pasang dan mengalami kenaikan sebesar 20% pada bulan Februari. Jika pada bulan Maret penjualan mengalami penurunan sebesar 10% dari total penjualan bulan Februari, berapakah jumlah sepatu yang berhasil terjual pada bulan Maret?</t>
  </si>
  <si>
    <t>Total seluruh kelereng dalam kantong = 12 + 8 = 20 kelereng. Banyak kelereng merah = 12. Peluang terambil kelereng merah = 12/20. Jika disederhanakan dengan membagi pembilang dan penyebut dengan 4, diperoleh 3/5.</t>
  </si>
  <si>
    <t>PM-13-S-34</t>
  </si>
  <si>
    <t>PM-14-R-02</t>
  </si>
  <si>
    <t>Dari grafik pasokan dan penjualan toko kelontong, diketahui total pasokan terigu adalah 5 kuintal dan total terigu yang terjual adalah 3,5 kuintal. Jika seluruh sisa terigu yang belum terjual dikemas kembali ke dalam kantong-kantong plastik kecil berukuran 5 kg per kantong, berapakah banyak kantong plastik yang dibutuhkan? (1 kuintal = 100 kg)</t>
  </si>
  <si>
    <t>Langkah 1: Sisa terigu = 5 kuintal - 3,5 kuintal = 1,5 kuintal = 150 kg. Langkah 2: Banyak kantong plastik = 150 / 5 = 30 kantong.</t>
  </si>
  <si>
    <t>Dalam sebuah eksperimen lempar undi dadu bermata enam sebanyak 60 kali, muncul mata dadu 4 sebanyak 15 kali. Peluang empiris munculnya mata dadu 4 adalah ...</t>
  </si>
  <si>
    <t>PM-13-S-35</t>
  </si>
  <si>
    <t>Dari hasil membaca histogram nilai ulangan geometri kelas X, diketahui nilai rata-rata awal Kelompok A adalah 74 dan Kelompok B adalah 70. Setelah dievaluasi, Pak Dedi memberikan tambahan bonus 1,5 poin untuk semua anggota Kelompok A dan mengurangi 0,5 poin untuk semua anggota Kelompok B. Berapakah selisih nilai rata-rata yang baru antara Kelompok A dan Kelompok B setelah penyesuaian poin tersebut?</t>
  </si>
  <si>
    <t>4 poin</t>
  </si>
  <si>
    <t>5 poin</t>
  </si>
  <si>
    <t>6 poin</t>
  </si>
  <si>
    <t>7 poin</t>
  </si>
  <si>
    <t>Peluang empiris dihitung dengan membagi frekuensi kemunculan kejadian dengan total percobaan. Frekuensi muncul mata dadu 4 = 15 kali. Total percobaan = 60 kali. Peluang empiris = 15/60 = 1/4.</t>
  </si>
  <si>
    <t>8 poin</t>
  </si>
  <si>
    <t>Langkah 1: Rata-rata baru Kelompok A = 74 + 1,5 = 75,5. Langkah 2: Rata-rata baru Kelompok B = 70 - 0,5 = 69,5. Langkah 3: Selisih rata-rata baru = 75,5 - 69,5 = 6 poin.</t>
  </si>
  <si>
    <t>PM-14-R-03</t>
  </si>
  <si>
    <t>PM-13-S-36</t>
  </si>
  <si>
    <t>Dari 100 komponen elektronik yang diuji secara acak di pabrik, ditemukan 4 komponen cacat. Peluang empiris komponen tidak cacat adalah ...</t>
  </si>
  <si>
    <t>0,04</t>
  </si>
  <si>
    <t>0,25</t>
  </si>
  <si>
    <t>Berdasarkan diagram agen minyak goreng, total pasokan minyak goreng selama seminggu adalah 70 kl dan total penjualan mencapai 70 kl. Jika biaya operasional dan modal agen menyedot 90% dari total penjualan dan 1 liter minyak dijual seharga Rp12.000, berapakah total keuntungan bersih agen tersebut dalam satuan juta rupiah? (1 kl = 1.000 liter)</t>
  </si>
  <si>
    <t>63 juta rupiah</t>
  </si>
  <si>
    <t>0,96</t>
  </si>
  <si>
    <t>84 juta rupiah</t>
  </si>
  <si>
    <t>0,98</t>
  </si>
  <si>
    <t>105 juta rupiah</t>
  </si>
  <si>
    <t>126 juta rupiah</t>
  </si>
  <si>
    <t>Banyaknya komponen yang tidak cacat = 100 - 4 = 96 komponen. Peluang empiris komponen tidak cacat = 96/100 = 0,96.</t>
  </si>
  <si>
    <t>147 juta rupiah</t>
  </si>
  <si>
    <t>Langkah 1: Total penjualan = 70 kl = 70.000 liter. Langkah 2: Omset total = 70.000 × Rp12.000 = Rp840.000.000 = 840 juta rupiah. Langkah 3: Persentase keuntungan bersih = 100% - 90% = 10%. Langkah 4: Keuntungan bersih = 10% × 840 juta rupiah = 84 juta rupiah.</t>
  </si>
  <si>
    <t>PM-14-R-04</t>
  </si>
  <si>
    <t>Sebuah kotak berisi 30 bola yang terdiri dari bola hijau dan kuning. Jika peluang teoretis terambilnya bola hijau secara acak adalah 2/5, banyak bola hijau dalam kotak tersebut adalah ...</t>
  </si>
  <si>
    <t>PM-13-S-37</t>
  </si>
  <si>
    <t>Sebuah diagram lingkaran menyajikan porsi pasokan daging di pasar. Daging sapi 40%, ayam 35%, kambing 15%, dan sisanya daging bebek. Jika total seluruh pasokan daging adalah 500 kg dan daging bebek dijual seharga Rp60.000 per kg, berapakah total nilai pendapatan dari penjualan seluruh daging bebek tersebut?</t>
  </si>
  <si>
    <t>Rp1.500.000</t>
  </si>
  <si>
    <t>Banyak bola hijau = peluang teoretis × total bola = (2/5) × 30 = 60/5 = 12 bola.</t>
  </si>
  <si>
    <t>Rp3.000.000</t>
  </si>
  <si>
    <t>Rp3.750.000</t>
  </si>
  <si>
    <t>PM-14-R-05</t>
  </si>
  <si>
    <t>Langkah 1: Persentase daging bebek = 100% - (40% + 35% + 15%) = 10%. Langkah 2: Berat total daging bebek = 10% × 500 kg = 50 kg. Langkah 3: Total pendapatan = 50 kg × Rp60.000 = Rp3.000.000.</t>
  </si>
  <si>
    <t>PM-15-R-01</t>
  </si>
  <si>
    <t>Dua buah dadu dilempar bersamaan satu kali. Peluang teoretis munculnya dua mata dadu bernilai sama (kembar) adalah ...</t>
  </si>
  <si>
    <t>1/36</t>
  </si>
  <si>
    <t>PM-13-S-38</t>
  </si>
  <si>
    <t>Total ruang sampel dua dadu = 6 × 6 = 36. Kejadian mata dadu kembar = (1,1), (2,2), (3,3), (4,4), (5,5), (6,6) dengan total 6 titik sampel. Peluang = 6/36 = 1/6.</t>
  </si>
  <si>
    <t>Diagram garis menunjukkan hasil panen kopi bulan Januari sebesar 200 kg. Hasil panen naik 25% pada bulan Februari, kemudian turun 20% pada bulan Maret dibandingkan bulan Februari, dan naik kembali 15% pada bulan April dibandingkan bulan Maret. Berapakah total hasil panen kopi pada bulan April?</t>
  </si>
  <si>
    <t>215 kg</t>
  </si>
  <si>
    <t>230 kg</t>
  </si>
  <si>
    <t>PM-14-R-06</t>
  </si>
  <si>
    <t>265 kg</t>
  </si>
  <si>
    <t>Langkah 1: Panen Februari = 200 + (25% × 200) = 250 kg. Langkah 2: Panen Maret = 250 - (20% × 250) = 200 kg. Langkah 3: Panen April = 200 + (15% × 200) = 230 kg.</t>
  </si>
  <si>
    <t>Dalam sebuah wadah terdapat 15 kartu bernomor 1 sampai 15. Jika diambil satu kartu secara acak, peluang terambil kartu bernomor kelipatan 3 adalah ...</t>
  </si>
  <si>
    <t>Seorang pengurus OSIS hendak memilih 1 pasang pakaian untuk acara sekolah dari 4 pilihan kemeja berbeda dan 3 pilihan celana panjang berbeda. Banyaknya variasi pasangan kemeja dan celana yang dapat dipilih adalah ...</t>
  </si>
  <si>
    <t>PM-13-S-39</t>
  </si>
  <si>
    <t>Kartu bernomor kelipatan 3 dari 1 sampai 15 adalah 3, 6, 9, 12, 15 (ada 5 kartu). Total kartu = 15. Peluang = 5/15 = 1/3.</t>
  </si>
  <si>
    <t>Berdasarkan data ulangan matematika dari tiga kelompok belajar, Kelompok A (10 siswa) memiliki rata-rata 75, Kelompok B (15 siswa) memiliki rata-rata 70, dan Kelompok C (5 siswa) memiliki rata-rata 80. Berapakah nilai rata-rata gabungan dari ketiga kelompok belajar tersebut setelah dibulatkan ke bilangan bulat terdekat?</t>
  </si>
  <si>
    <t>71 poin</t>
  </si>
  <si>
    <t>PM-14-R-07</t>
  </si>
  <si>
    <t>73 poin</t>
  </si>
  <si>
    <t>75 poin</t>
  </si>
  <si>
    <t>77 poin</t>
  </si>
  <si>
    <t>Menggunakan Aturan Perkalian (Filling Slots) untuk dua kejadian yang terjadi bersamaan: Total variasi = Banyak kemeja × Banyak celana = 4 × 3 = 12 variasi pasangan.</t>
  </si>
  <si>
    <t>78 poin</t>
  </si>
  <si>
    <t>Sebuah mata uang logam dilempar sebanyak 50 kali dan mencatat kemunculan gambar sebanyak 22 kali. Peluang empiris munculnya angka adalah ...</t>
  </si>
  <si>
    <t>0,22</t>
  </si>
  <si>
    <t>0,44</t>
  </si>
  <si>
    <t>Langkah 1: Total nilai A = 10 × 75 = 750. Total nilai B = 15 × 70 = 1.050. Total nilai C = 5 × 80 = 400. Langkah 2: Total nilai seluruh siswa = 750 + 1.050 + 400 = 2.200. Langkah 3: Total siswa = 10 + 15 + 5 = 30 siswa. Langkah 4: Rata-rata gabungan = 2.200 / 30 = 73,33 dibulatkan menjadi 73 poin.</t>
  </si>
  <si>
    <t>0,5</t>
  </si>
  <si>
    <t>0,56</t>
  </si>
  <si>
    <t>0,78</t>
  </si>
  <si>
    <t>PM-15-R-02</t>
  </si>
  <si>
    <t>Banyak kemunculan angka = 50 - 22 = 28 kali. Peluang empiris muncul angka = 28/50 = 56/100 = 0,56.</t>
  </si>
  <si>
    <t>PM-13-S-40</t>
  </si>
  <si>
    <t>PM-14-R-08</t>
  </si>
  <si>
    <t>Tabel transaksi gudang mencatat total pasokan beras sebanyak 15 ton dan total penjualan sebanyak 11 ton. Jika seluruh sisa beras yang ada di dalam gudang dimasukkan ke dalam karung-karung beras berkapasitas 25 kg per karung, berapakah jumlah karung beras yang dibutuhkan? (1 ton = 1.000 kg)</t>
  </si>
  <si>
    <t>Jika peluang teoretis terjadinya hujan di suatu kota pada satu hari di bulan November adalah 0,7, peluang teoretis tidak terjadi hujan pada hari tersebut adalah ...</t>
  </si>
  <si>
    <t>120 karung</t>
  </si>
  <si>
    <t>0,1</t>
  </si>
  <si>
    <t>140 karung</t>
  </si>
  <si>
    <t>0,2</t>
  </si>
  <si>
    <t>160 karung</t>
  </si>
  <si>
    <t>Dari 5 orang siswa calon pengurus kelas, akan dipilih 2 orang secara acak untuk menghadiri rapat perwakilan siswa tanpa membedakan jabatan. Banyaknya cara memilih kedua siswa tersebut adalah ...</t>
  </si>
  <si>
    <t>0,3</t>
  </si>
  <si>
    <t>180 karung</t>
  </si>
  <si>
    <t>0,4</t>
  </si>
  <si>
    <t>200 karung</t>
  </si>
  <si>
    <t>Peluang komplemen suatu kejadian dilambangkan dengan P(A') = 1 - P(A). Peluang tidak hujan = 1 - 0,7 = 0,3.</t>
  </si>
  <si>
    <t>Langkah 1: Pasokan = 15.000 kg, Penjualan = 11.000 kg. Langkah 2: Sisa beras = 15.000 - 11.000 = 4.000 kg. Langkah 3: Banyak karung yang dibutuhkan = 4.000 / 25 = 160 karung.</t>
  </si>
  <si>
    <t>Karena pemilihan dilakukan tanpa memperhatikan urutan posisi (tidak ada perbedaan jabatan), gunakan kombinasi 2 dari 5: C(5, 2) = (5 × 4) / (2 × 1) = 20 / 2 = 10 cara.</t>
  </si>
  <si>
    <t>PM-14-R-09</t>
  </si>
  <si>
    <t>PM-13-S-41</t>
  </si>
  <si>
    <t>PM-15-R-03</t>
  </si>
  <si>
    <t>Sebuah kantong memuat 5 bola merah, 3 bola kuning, dan 2 bola hijau. Peluang terambilnya bola kuning pada satu kali pengambilan acak adalah ...</t>
  </si>
  <si>
    <t>Diagram batang menyajikan total omset penjualan toko dari Senin hingga Jumat berturut-turut: 80, 120, 100, 150, dan 150 juta rupiah. Jika total biaya produksi adalah 50% dari total omset dan toko dikenakan pajak sebesar 10% dari laba kotor, berapakah total laba bersih toko tersebut dalam satuan juta rupiah?</t>
  </si>
  <si>
    <t>240 juta rupiah</t>
  </si>
  <si>
    <t>Suatu sanggar tari menyediakan 3 baju kurung dan 4 kain songket yang masing-masing berbeda warna. Banyaknya cara penari memilih 1 setelan yang terdiri dari 1 baju kurung dan 1 kain songket adalah ...</t>
  </si>
  <si>
    <t>Total seluruh bola = 5 + 3 + 2 = 10 bola. Banyak bola kuning = 3. Peluang terambil bola kuning = 3/10.</t>
  </si>
  <si>
    <t>270 juta rupiah</t>
  </si>
  <si>
    <t>280 juta rupiah</t>
  </si>
  <si>
    <t>300 juta rupiah</t>
  </si>
  <si>
    <t>PM-14-R-10</t>
  </si>
  <si>
    <t>Langkah 1: Total omset = 80 + 120 + 100 + 150 + 150 = 600 juta rupiah. Langkah 2: Biaya produksi = 50% × 600 = 300 juta rupiah. Langkah 3: Laba kotor = 600 - 300 = 300 juta rupiah. Langkah 4: Pajak = 10% × 300 = 30 juta rupiah. Langkah 5: Laba bersih = 300 - 30 = 270 juta rupiah.</t>
  </si>
  <si>
    <t>Menggunakan Aturan Perkalian untuk memilih 1 baju dan 1 kain secara bersamaan: Total cara = Banyak baju × Banyak kain = 3 × 4 = 12 cara.</t>
  </si>
  <si>
    <t>Dari 40 siswa kelas XII, 24 diantaranya adalah wanita. Jika dipilih satu siswa secara acak untuk menjadi ketua kelas, peluang teoretis terpilih siswa pria adalah ...</t>
  </si>
  <si>
    <t>PM-13-S-42</t>
  </si>
  <si>
    <t>PM-15-R-04</t>
  </si>
  <si>
    <t>Banyak siswa pria = 40 - 24 = 16 siswa. Peluang terpilih siswa pria = 16/40 = 2/5.</t>
  </si>
  <si>
    <t>Sebuah diagram lingkaran menyajikan porsi penjualan barang ritel: Pakaian 35%, Sepatu 25%, Tas 20%, dan sisanya Aksesori. Jika jumlah Aksesori yang terjual adalah 80 unit, berapakah selisih jumlah penjualan antara Pakaian dan Tas?</t>
  </si>
  <si>
    <t>Dalam suatu organisasi terdapat 6 orang kandidat pengurus. Jika akan dipilih seorang Ketua dan seorang Sekretaris dari kandidat tersebut, banyaknya susunan pengurus yang dapat dibentuk adalah ...</t>
  </si>
  <si>
    <t>60 unit</t>
  </si>
  <si>
    <t>PM-14-R-11</t>
  </si>
  <si>
    <t>80 unit</t>
  </si>
  <si>
    <t>120 unit</t>
  </si>
  <si>
    <t>Sebuah pemutar roda keberuntungan dibagi menjadi 8 sektor sama besar bertuliskan angka 1 sampai 8. Peluang teoretis jarum berhenti pada angka prima adalah ...</t>
  </si>
  <si>
    <t>Karena posisi jabatan memperhatikan urutan (Ketua dan Sekretaris berbeda), gunakan permutasi 2 dari 6 atau Aturan Tempat: Pilihan Ketua = 6 cara, Pilihan Sekretaris = 5 cara. Total susunan = 6 × 5 = 30 cara.</t>
  </si>
  <si>
    <t>Langkah 1: Persentase Aksesori = 100% - (35% + 25% + 20%) = 20%. Langkah 2: Total seluruh penjualan = 80 / 20% = 400 unit. Langkah 3: Penjualan Pakaian = 35% × 400 = 140 unit, Tas = 20% × 400 = 80 unit. Langkah 4: Selisih = 140 - 80 = 60 unit.</t>
  </si>
  <si>
    <t>Angka prima antara 1 sampai 8 adalah 2, 3, 5, 7 (total 4 angka). Banyak seluruh sektor = 8. Peluang = 4/8 = 1/2.</t>
  </si>
  <si>
    <t>PM-15-R-05</t>
  </si>
  <si>
    <t>PM-13-S-43</t>
  </si>
  <si>
    <t>PM-14-R-12</t>
  </si>
  <si>
    <t>Seorang siswa hendak membuat nomor peserta ujian yang terdiri atas 2 angka berbeda yang disusun dari angka-angka 1, 2, 3, 4, dan 5. Banyaknya nomor peserta yang dapat dibuat adalah ...</t>
  </si>
  <si>
    <t>Diagram garis menunjukkan stok gandum di gudang pada bulan Januari sebesar 500 kg. Stok gandum mengalami kenaikan 10% pada bulan Februari, naik 20% pada bulan Maret dari stok bulan Februari, dan kemudian terpakai sebesar 25% dari stok bulan Maret pada bulan April. Berapakah sisa stok gandum di gudang pada akhir bulan April?</t>
  </si>
  <si>
    <t>450 kg</t>
  </si>
  <si>
    <t>480 kg</t>
  </si>
  <si>
    <t>Tim penjamin mutu memeriksa 200 botol minuman ringan dan menemukan 10 botol berisi kurang dari volume standar. Peluang empiris ditemukannya botol dengan volume standar adalah ...</t>
  </si>
  <si>
    <t>495 kg</t>
  </si>
  <si>
    <t>0,05</t>
  </si>
  <si>
    <t>510 kg</t>
  </si>
  <si>
    <t>Menggunakan Aturan Perkalian tanpa pengulangan untuk 2 digit: Digit pertama dapat diisi 5 pilihan angka, digit kedua dapat diisi 4 pilihan angka tersisa. Total nomor = 5 × 4 = 20 nomor.</t>
  </si>
  <si>
    <t>540 kg</t>
  </si>
  <si>
    <t>0,85</t>
  </si>
  <si>
    <t>Langkah 1: Stok Februari = 500 + (10% × 500) = 550 kg. Langkah 2: Stok Maret = 550 + (20% × 550) = 660 kg. Langkah 3: Terpakai April = 25% × 660 = 165 kg. Langkah 4: Sisa stok akhir April = 660 - 165 = 495 kg.</t>
  </si>
  <si>
    <t>PM-15-R-06</t>
  </si>
  <si>
    <t>0,95</t>
  </si>
  <si>
    <t>Banyak botol dengan volume standar = 200 - 10 = 190 botol. Peluang empiris = 190/200 = 19/20 = 0,95.</t>
  </si>
  <si>
    <t>PM-13-S-44</t>
  </si>
  <si>
    <t>Sebuah tim futsal yang terdiri dari 7 pemain utama akan memilih 2 orang untuk menjadi kapten dan wakil kapten. Banyaknya susunan kapten dan wakil kapten yang mungkin terbentuk adalah ...</t>
  </si>
  <si>
    <t>PM-14-R-13</t>
  </si>
  <si>
    <t>Dari tabel rata-rata nilai ujian tiga kelas paralel, diketahui Kelas X-1 (20 siswa) memilik rata-rata 80, Kelas X-2 (25 siswa) memiliki rata-rata 76, dan Kelas X-3 (15 siswa) memiliki rata-rata 84. Berapakah nilai rata-rata gabungan dari ketiga kelas tersebut jika dibulatkan ke bilangan bulat terdekat?</t>
  </si>
  <si>
    <t>79 poin</t>
  </si>
  <si>
    <t>Karena posisi kapten dan wakil kapten merupakan urutan jabatan yang berbeda, gunakan permutasi atau aturan pengisian tempat: Pilihan Kapten = 7 cara, Pilihan Wakil Kapten = 6 cara. Total susunan = 7 × 6 = 42 cara.</t>
  </si>
  <si>
    <t>80 poin</t>
  </si>
  <si>
    <t>Sebuah lempeng putar dengan 5 warna (merah, kuning, hijau, biru, ungu) yang berluas sama diputar 100 kali. Jika penunjuk menunjuk warna biru sebanyak 18 kali, frekuensi relatif munculnya warna biru adalah ...</t>
  </si>
  <si>
    <t>81 poin</t>
  </si>
  <si>
    <t>82 poin</t>
  </si>
  <si>
    <t>PM-15-R-07</t>
  </si>
  <si>
    <t>0,18</t>
  </si>
  <si>
    <t>Langkah 1: Total nilai X-1 = 20 × 80 = 1.600, X-2 = 25 × 76 = 1.900, X-3 = 15 × 84 = 1.260. Langkah 2: Total nilai gabungan = 1.600 + 1.900 + 1.260 = 4.760. Langkah 3: Total siswa = 20 + 25 + 15 = 60 siswa. Langkah 4: Rata-rata gabungan = 4.760 / 60 = 79,33 dibulatkan menjadi 79 poin.</t>
  </si>
  <si>
    <t>0,36</t>
  </si>
  <si>
    <t>Dalam sebuah rapat komite sekolah yang dihadiri oleh 8 orang anggota, setiap orang saling berjabat tangan satu sama lain tepat satu kali. Banyaknya jabat tangan yang terjadi adalah ...</t>
  </si>
  <si>
    <t>0,82</t>
  </si>
  <si>
    <t>PM-13-S-45</t>
  </si>
  <si>
    <t>Frekuensi relatif (peluang empiris) = jumlah kemunculan kejadian / total percobaan = 18/100 = 0,18.</t>
  </si>
  <si>
    <t>Tabel data logistik mencatat total pasokan kedelai sebanyak 24 kuintal dan total penjualan sebanyak 18 kuintal. Jika seluruh sisa kedelai dimasukkan ke dalam dus kargo yang masing-masing berkapasitas 15 kg, berapakah jumlah dus kargo yang dibutuhkan? (1 kuintal = 100 kg)</t>
  </si>
  <si>
    <t>PM-14-R-14</t>
  </si>
  <si>
    <t>30 dus</t>
  </si>
  <si>
    <t>40 dus</t>
  </si>
  <si>
    <t>50 dus</t>
  </si>
  <si>
    <t>60 dus</t>
  </si>
  <si>
    <t>Jabat tangan melibatkan 2 orang tanpa memperhatikan urutan (A berjabat tangan dengan B sama dengan B dengan A), sehingga menggunakan kombinasi 2 dari 8: C(8, 2) = (8 × 7) / (2 × 1) = 56 / 2 = 28 jabat tangan.</t>
  </si>
  <si>
    <t>Dua buah koin dilempar bersama-sama satu kali. Peluang teoretis munculnya sedikitnya satu sisi gambar adalah ...</t>
  </si>
  <si>
    <t>70 dus</t>
  </si>
  <si>
    <t>Langkah 1: Pasokan = 24 kuintal = 2.400 kg, Penjualan = 18 kuintal = 1.800 kg. Langkah 2: Sisa kedelai = 2.400 - 1.800 = 600 kg. Langkah 3: Banyak dus kargo = 600 / 15 = 40 dus.</t>
  </si>
  <si>
    <t>PM-15-R-08</t>
  </si>
  <si>
    <t>Ruang sampel lemparan dua koin = (A,A), (A,G), (G,A), (G,G) dengan total 4 titik sampel. Kejadian muncul sedikitnya satu gambar = (A,G), (G,A), (G,G) dengan total 3 titik sampel. Peluang = 3/4.</t>
  </si>
  <si>
    <t>Suatu restoran menyediakan 5 jenis makanan utama dan 3 jenis minuman segar. Banyaknya variasi menu paket yang terdiri dari 1 makanan utama dan 1 minuman segar adalah ...</t>
  </si>
  <si>
    <t>TOTAL Materi 13 — Membaca &amp; Menginterpretasi Data</t>
  </si>
  <si>
    <t>PM-14-R-15</t>
  </si>
  <si>
    <t>Menggunakan Aturan Perkalian untuk memasangkan makanan dan minuman: Total variasi = Banyak makanan × Banyak minuman = 5 × 3 = 15 variasi menu.</t>
  </si>
  <si>
    <t>Pernyataan manakah yang paling tepat mengenai perbedaan antara peluang teoretis dan peluang empiris?</t>
  </si>
  <si>
    <t>Peluang empiris dihitung berdasarkan teori rasio titik sampel, sedangkan peluang teoretis berdasarkan hasil percobaan nyata.</t>
  </si>
  <si>
    <t>Peluang teoretis selalu berubah nilainya tiap eksperimen, sedangkan peluang empiris nilainya konstan.</t>
  </si>
  <si>
    <t>PM-15-R-09</t>
  </si>
  <si>
    <t>Peluang empiris diperoleh dari data aktual hasil percobaan, sedangkan peluang teoretis dari rasio matematis kondisi ideal.</t>
  </si>
  <si>
    <t>Nilai peluang empiris tidak pernah bisa sama dengan nilai peluang teoretis.</t>
  </si>
  <si>
    <t>Peluang teoretis hanya berlaku untuk kejadian yang mustahil terjadi.</t>
  </si>
  <si>
    <t>Dari 6 orang siswa berprestasi di suatu sekolah, akan dipilih 3 orang siswa untuk menjadi utusan dalam lomba karya ilmiah tanpa ada tingkatan posisi. Banyaknya cara memilih ketiga utusan tersebut adalah ...</t>
  </si>
  <si>
    <t>Opsi C BENAR karena secara definisi peluang empiris berpatokan pada data/frekuensi kejadian nyata dari percobaan, sementara peluang teoretis diturunkan dari rasio matematis titik sampel terhadap ruang sampel ideal. Opsi A SALAH karena kebalikannya. Opsi B SALAH karena peluang teoretis konstan sedangkan empiris dinamis. Opsi D SALAH karena berdasarkan Hukum Bilangan Besar nilai empiris dapat mendekati atau sama dengan teoretis saat percobaan sangat banyak. Opsi E SALAH karena peluang teoretis berlaku umum untuk semua kejadian ideal.</t>
  </si>
  <si>
    <t>Karena urutan pemilihan tidak mempengaruhi komposisi tim (tanpa hirarki), gunakan kombinasi 3 dari 6: C(6, 3) = (6 × 5 × 4) / (3 × 2 × 1) = 120 / 6 = 20 cara.</t>
  </si>
  <si>
    <t>PM-15-R-10</t>
  </si>
  <si>
    <t>Seorang pengendara dapat memilih 3 jalur alternatif dari kota X ke kota Y, serta 4 jalur alternatif dari kota Y ke kota Z. Banyaknya pilihan rute perjalanan dari kota X ke kota Z melalui kota Y adalah ...</t>
  </si>
  <si>
    <t>Perjalanan dari X ke Z melalui Y merupakan kejadian berurutan. Menggunakan Aturan Perkalian: Total rute = Banyak rute X ke Y × Banyak rute Y ke Z = 3 × 4 = 12 rute.</t>
  </si>
  <si>
    <t>PM — TO 1 — Tanpa Timer  |  Target: 20 Soal per TO  |  Semua soal UNIK</t>
  </si>
  <si>
    <t>PM-15-R-11</t>
  </si>
  <si>
    <t>Di sebuah minimarket terdapat 4 merk susu kotak dan 2 merk roti tawar. Budi ingin membeli 1 susu kotak dan 1 roti tawar untuk sarapan. Banyaknya kombinasi makanan dan minuman yang dapat dipilih Budi adalah ...</t>
  </si>
  <si>
    <t>PM-14-S-16</t>
  </si>
  <si>
    <t>Menggunakan Aturan Perkalian untuk pemilihan dua barang terpisah: Total kombinasi = Banyak merk susu × Banyak merk roti = 4 × 2 = 8 kombinasi.</t>
  </si>
  <si>
    <t>PM-15-R-12</t>
  </si>
  <si>
    <t>Dalam sebuah kantong terdapat 8 bola merah dan beberapa bola putih. Jika peluang teoretis mengambil satu bola putih secara acak adalah 3/5, maka banyak bola putih di dalam kantong tersebut adalah ...</t>
  </si>
  <si>
    <t>Sebuah perpustakaan menyediakan 7 judul buku fiksi yang berbeda. Jika Rina ingin meminjam 2 judul buku fiksi sekaligus untuk dibaca di rumah, banyaknya pilihan pasang buku yang dapat dipinjam adalah ...</t>
  </si>
  <si>
    <t>Format: Fokus pemahaman. Tanpa batas waktu.  |  Distribusi level: 6 Ringan · 8 Sedang · 6 Sulit</t>
  </si>
  <si>
    <t>Misalkan banyak bola putih = x. Total seluruh bola = 8 + x. Peluang teoretis terambil bola putih = x / (8 + x). Diketahui peluangnya adalah 3/5, maka x / (8 + x) = 3/5. Lakukan perkalian silang: 5 × x = 3 × (8 + x), sehingga 5x = 24 + 3x. Kurangkan kedua ruas dengan 3x diperoleh 2x = 24, sehingga x = 12. Jadi, banyak bola putih di dalam kantong adalah 12 buah.</t>
  </si>
  <si>
    <t>Meminjam 2 buku sekaligus tidak memperhatikan urutan pengambilan, sehingga menggunakan kombinasi 2 dari 7: C(7, 2) = (7 × 6) / (2 × 1) = 42 / 2 = 21 pilihan.</t>
  </si>
  <si>
    <t>PM-14-S-17</t>
  </si>
  <si>
    <t>PM-15-R-13</t>
  </si>
  <si>
    <t>Tim penjamin mutu memeriksa 500 sampel produk makanan kemasan. Ditemukan 15 produk kemasan rusak. Jika pabrik tersebut memproduksi 20.000 produk kemasan dalam sehari, proyeksi jumlah produk yang tidak rusak berdasarkan peluang empiris pengujian tersebut adalah ...</t>
  </si>
  <si>
    <t>Dalam tes wawancara penerimaan pegawai, terdapat 4 orang calon karyawan yang tersisa. Jika perusahaan hanya akan menerima 1 orang sebagai Manajer dan 1 orang sebagai Asisten Manajer, banyaknya susunan hasil penerimaan yang mungkin terjadi adalah ...</t>
  </si>
  <si>
    <t>Banyak produk tidak rusak pada sampel = 500 - 15 = 485 produk. Peluang empiris produk tidak rusak = 485 / 500 = 0,97. Proyeksi jumlah produk tidak rusak dari total produksi 20.000 unit = 0,97 × 20.000 = 19.400 unit.</t>
  </si>
  <si>
    <t>PM-14-S-18</t>
  </si>
  <si>
    <t>Karena dua posisi jabatan yang diterima berbeda (berurutan), gunakan Aturan Perkalian / Permutasi: Pilihan Manajer = 4 cara, Pilihan Asisten Manajer = 3 cara tersisa. Total susunan = 4 × 3 = 12 cara.</t>
  </si>
  <si>
    <t>PM-15-R-14</t>
  </si>
  <si>
    <t>Sebuah dadu bermata enam dilempar sebanyak 120 kali. Hasil pengamatan mencatat mata dadu genap muncul sebanyak 54 kali. Selisih antara peluang teoretis dan peluang empiris munculnya mata dadu genap adalah ...</t>
  </si>
  <si>
    <t>0,15</t>
  </si>
  <si>
    <t>Seorang pembuat password membuat kode pin yang terdiri dari 3 angka berbeda dari angka 1, 2, 3, dan 4. Banyaknya variasi kode pin yang dapat dibuat adalah ...</t>
  </si>
  <si>
    <t>Peluang teoretis muncul mata dadu genap (2, 4, 6) = 3/6 = 0,50. Peluang empiris muncul mata dadu genap dari percobaan = 54 / 120 = 9/20 = 0,45. Selisih antara peluang teoretis dan peluang empiris = 0,50 - 0,45 = 0,05.</t>
  </si>
  <si>
    <t>Menyusun kode pin memperhatikan urutan angka. Tempat pertama dapat diisi 4 pilihan, tempat kedua 3 pilihan, tempat ketiga 2 pilihan. Total kode pin = 4 × 3 × 2 = 24 variasi.</t>
  </si>
  <si>
    <t>PM-14-S-19</t>
  </si>
  <si>
    <t>PM-15-R-15</t>
  </si>
  <si>
    <t>Dalam sebuah kotak berisi 10 kelereng merah dan 6 kelereng hijau. Jika diambil 2 kelereng satu per satu tanpa pengembalian, peluang teoretis terambil kelereng pertama merah dan kelereng kedua hijau adalah ...</t>
  </si>
  <si>
    <t>Manakah pernyataan mengenai konsep dasar aturan pencacahan berikut yang selalu benar?</t>
  </si>
  <si>
    <t>Kombinasi digunakan ketika urutan pemilihan objek diperhitungkan</t>
  </si>
  <si>
    <t>Permutasi digunakan ketika urutan pemilihan objek tidak diperhitungkan</t>
  </si>
  <si>
    <t>▶  RINGAN  —  6 Soal</t>
  </si>
  <si>
    <t>Aturan perkalian digunakan untuk beberapa pilihan alternatif yang saling lepas</t>
  </si>
  <si>
    <t>Peluang terambil kelereng pertama merah = 10/16. Karena tidak dikembalikan, sisa total kelereng menjadi 15 dan sisa kelereng hijau tetap 6. Peluang terambil kelereng kedua hijau = 6/15. Peluang teoretis kejadian berurutan tersebut = (10/16) × (6/15) = (5/8) × (2/5) = 10/40 = 1/4.</t>
  </si>
  <si>
    <t>Kombinasi selalu menghasilkan jumlah susunan yang lebih banyak dibanding permutasi untuk n dan r yang sama (r &gt; 1)</t>
  </si>
  <si>
    <t>Permutasi dari r objek yang dipilih dari n objek selalu memperhatikan urutan penataan objek tersebut</t>
  </si>
  <si>
    <t>PM-14-S-20</t>
  </si>
  <si>
    <t>Kunci Jawaban E BENAR karena definisi dasar permutasi adalah penyusunan objek yang memperhatikan urutan posisi. Analisis Opsi Lain: Opsi A SALAH (Kombinasi justru tidak memperhatikan urutan). Opsi B SALAH (Permutasi memperhatikan urutan). Opsi C SALAH (Aturan perkalian untuk kejadian berurutan/simultan; pilihan alternatif saling lepas menggunakan aturan penjumlahan). Opsi D SALAH (Nilai permutasi P(n, r) selalu lebih besar atau sama dengan kombinasi C(n, r) karena P(n, r) = r! × C(n, r)).</t>
  </si>
  <si>
    <t>Sebuah mesin menghasilkan produk cacat dengan peluang teoretis 0,02. Pada suatu uji sampel acak sebanyak 400 komponen, ditemukan 12 komponen cacat. Pernyataan manakah yang paling tepat membandingkan peluang empiris dan teoretis komponen cacat tersebut?</t>
  </si>
  <si>
    <t>Peluang empiris lebih kecil 0,01 daripada peluang teoretis.</t>
  </si>
  <si>
    <t>Peluang empiris lebih besar 0,01 daripada peluang teoretis.</t>
  </si>
  <si>
    <t>Peluang empiris sama persis dengan peluang teoretis.</t>
  </si>
  <si>
    <t>Peluang empiris lebih besar 0,02 daripada peluang teoretis.</t>
  </si>
  <si>
    <t>Peluang empiris lebih kecil 0,02 daripada peluang teoretis.</t>
  </si>
  <si>
    <t>PM-T1-R-01</t>
  </si>
  <si>
    <t>Opsi B BENAR karena peluang empiris cacat = 12 / 400 = 0,03. Peluang teoretis cacat = 0,02. Selisihnya adalah 0,03 - 0,02 = 0,01, artinya peluang empiris lebih besar 0,01 daripada peluang teoretis. Opsi A dan E SALAH karena peluang empiris bernilai lebih besar, bukan lebih kecil. Opsi C SALAH karena nilainya berbeda (0,03 vs 0,02). Opsi D SALAH karena selisihnya adalah 0,01, bukan 0,02.</t>
  </si>
  <si>
    <t>PM-14-S-21</t>
  </si>
  <si>
    <t>Dua buah dadu dilempar bersamaan satu kali. Peluang teoretis munculnya jumlah kedua mata dadu sama dengan 8 atau bernilai kembar adalah ...</t>
  </si>
  <si>
    <t>5/36</t>
  </si>
  <si>
    <t>10/36</t>
  </si>
  <si>
    <t>11/36</t>
  </si>
  <si>
    <t>PM-15-S-16</t>
  </si>
  <si>
    <t>Misalkan A = kejadian jumlah mata dadu 8 yaitu (2,6), (3,5), (4,4), (5,3), (6,2) dengan n(A) = 5. Misalkan B = kejadian mata dadu kembar yaitu (1,1), (2,2), (3,3), (4,4), (5,5), (6,6) dengan n(B) = 6. Terdapat 1 irisan yaitu (4,4) sehingga n(A ∩ B) = 1. Jumlah elemen gabungan n(A ∪ B) = n(A) + n(B) - n(A ∩ B) = 5 + 6 - 1 = 10. Peluang teoretis = 10 / 36 = 5/18.</t>
  </si>
  <si>
    <t>Dari 7 calon pengurus RT yang terdiri atas 4 laki-laki dan 3 perempuan, akan dipilih seorang Ketua dan seorang Sekretaris. Jika Ketua harus laki-laki dan tidak boleh ada jabatan ganda, banyaknya susunan pengurus yang dapat terbentuk adalah ...</t>
  </si>
  <si>
    <t>PM-14-S-22</t>
  </si>
  <si>
    <t>PM-T1-R-02</t>
  </si>
  <si>
    <t>Langkah 1: Tentukan banyak pilihan Ketua (harus laki-laki) = 4 cara. Langkah 2: Tentukan banyak pilihan Sekretaris dari sisa calon (7 - 1 = 6 orang) = 6 cara. Menggunakan aturan perkalian: Total susunan = 4 × 6 = 24 cara.</t>
  </si>
  <si>
    <t>Sebuah toko sepatu mencatat data penjualan 150 pasang sepatu olahraga. Ditemukan bahwa 90 pasang berwarna hitam, 45 pasang berwarna putih, dan sisanya berwarna merah. Peluang empiris seorang pembeli memilih sepatu yang bukan berwarna hitam adalah ...</t>
  </si>
  <si>
    <t>PM-15-S-17</t>
  </si>
  <si>
    <t>Banyak sepatu yang bukan berwarna hitam = 150 - 90 = 60 pasang (atau 45 putih + 15 merah = 60). Peluang empiris pembeli memilih sepatu bukan hitam = 60 / 150 = 2/5 = 0,40.</t>
  </si>
  <si>
    <t>Dari 5 siswa laki-laki dan 4 siswa perempuan, akan dibentuk tim cerdas cermat yang terdiri atas 2 siswa laki-laki dan 1 siswa perempuan. Banyaknya variasi susunan tim yang dapat dibentuk adalah ...</t>
  </si>
  <si>
    <t>PM-14-S-23</t>
  </si>
  <si>
    <t>Dalam sebuah kotak terdapat 5 kartu merah, 3 kartu kuning, dan 2 kartu hijau. Jika diambil 2 kartu sekaligus secara acak, peluang teoretis terambil kedua kartu berwarna merah adalah ...</t>
  </si>
  <si>
    <t>PM-T1-R-03</t>
  </si>
  <si>
    <t>Langkah 1: Pilih 2 laki-laki dari 5 orang, C(5, 2) = (5 × 4) / (2 × 1) = 10 cara. Langkah 2: Pilih 1 perempuan dari 4 orang, C(4, 1) = 4 cara. Menggunakan aturan perkalian untuk pembentukan tim: Total variasi = 10 × 4 = 40 cara.</t>
  </si>
  <si>
    <t>PM-15-S-18</t>
  </si>
  <si>
    <t>Total kartu = 10. Banyak cara mengambil 2 kartu dari 10 kartu n(S) = C(10,2) = (10 × 9) / (2 × 1) = 45. Banyak cara mengambil 2 kartu merah dari 5 kartu merah n(A) = C(5,2) = (5 × 4) / (2 × 1) = 10. Peluang teoretis = 10 / 45 = 2/9.</t>
  </si>
  <si>
    <t>PM-T1-R-04</t>
  </si>
  <si>
    <t>Banyaknya bilangan ratusan ganjil yang terdiri atas angka-angka berbeda yang dapat disusun dari angka 1, 2, 3, 4, 5, dan 6 adalah ...</t>
  </si>
  <si>
    <t>PM-14-S-24</t>
  </si>
  <si>
    <t>Peluang teoretis seorang pemanah mengenai sasaran adalah 0,8. Jika ia melakukan 50 kali tembakan, frekuensi harapan tembakan yang tidak mengenai sasaran adalah ...</t>
  </si>
  <si>
    <t>10 kali</t>
  </si>
  <si>
    <t>Langkah 1: Isi posisi satuan terlebih dahulu dengan angka ganjil (1, 3, 5) = 3 pilihan. Langkah 2: Isi posisi ratusan dari sisa angka (6 - 1 = 5 pilihan). Langkah 3: Isi posisi puluhan dari sisa angka (6 - 2 = 4 pilihan). Menggunakan aturan perkalian: Banyak bilangan = 3 × 5 × 4 = 60 bilangan.</t>
  </si>
  <si>
    <t>PM-T1-R-05</t>
  </si>
  <si>
    <t>20 kali</t>
  </si>
  <si>
    <t>30 kali</t>
  </si>
  <si>
    <t>40 kali</t>
  </si>
  <si>
    <t>PM-15-S-19</t>
  </si>
  <si>
    <t>Peluang tidak mengenai sasaran = 1 - 0,8 = 0,2. Frekuensi harapan tembakan tidak mengenai sasaran = peluang × total tembakan = 0,2 × 50 = 10 kali.</t>
  </si>
  <si>
    <t>Sebuah klub bulu tangkis memiliki 8 pemain putra. Banyaknya pasangan ganda putra yang dapat dibentuk untuk mewakili klub tersebut dalam sebuah turnamen adalah ...</t>
  </si>
  <si>
    <t>PM-14-S-25</t>
  </si>
  <si>
    <t>PM-T1-R-06</t>
  </si>
  <si>
    <t>Dari uji coba pelemparan dua koin sebanyak 200 kali, dicatat bahwa kemunculan pasangan (Gambar, Gambar) terjadi sebanyak 42 kali. Selisih frekuensi munculnya (Gambar, Gambar) antara frekuensi harapan teoretis dan hasil eksperimen empiris adalah ...</t>
  </si>
  <si>
    <t>Membentuk pasangan ganda tidak memperhatikan urutan pemain (pasangan A-B sama dengan B-A), sehingga menggunakan kombinasi 2 dari 8 pemain: C(8, 2) = (8 × 7) / (2 × 1) = 56 / 2 = 28 pasangan.</t>
  </si>
  <si>
    <t>12 kali</t>
  </si>
  <si>
    <t>15 kali</t>
  </si>
  <si>
    <t>18 kali</t>
  </si>
  <si>
    <t>PM-15-S-20</t>
  </si>
  <si>
    <t>Peluang teoretis munculnya (Gambar, Gambar) pada dua koin = 1/4. Frekuensi harapan teoretis dari 200 pelemparan = (1/4) × 200 = 50 kali. Hasil eksperimen empiris = 42 kali. Selisih frekuensi = 50 - 42 = 8 kali.</t>
  </si>
  <si>
    <t>▶  SEDANG  —  8 Soal</t>
  </si>
  <si>
    <t>Dari angka-angka 2, 3, 4, 5, 6, dan 7 akan disusun bilangan yang nilainya lebih dari 500 dan terdiri atas 3 angka berbeda. Banyaknya bilangan yang dapat terbentuk adalah ...</t>
  </si>
  <si>
    <t>PM-14-S-26</t>
  </si>
  <si>
    <t>Sebuah kelompok terdiri dari 12 siswa pria dan 8 siswa wanita. Akan dipilih 2 siswa secara acak berurutan satu per satu tanpa pengembalian untuk mengikuti lomba. Peluang teoretis terpilih keduanya siswa wanita adalah ...</t>
  </si>
  <si>
    <t>14/95</t>
  </si>
  <si>
    <t>16/95</t>
  </si>
  <si>
    <t>Langkah 1: Isi digit ratusan agar nilainya &gt; 500 menggunakan angka (5, 6, 7) = 3 pilihan. Langkah 2: Isi digit puluhan dari sisa angka (6 - 1 = 5 pilihan). Langkah 3: Isi digit satuan dari sisa angka (6 - 2 = 4 pilihan). Menggunakan aturan perkalian: Total bilangan = 3 × 5 × 4 = 60 bilangan.</t>
  </si>
  <si>
    <t>28/95</t>
  </si>
  <si>
    <t>32/95</t>
  </si>
  <si>
    <t>42/95</t>
  </si>
  <si>
    <t>PM-15-S-21</t>
  </si>
  <si>
    <t>PM-T1-S-07</t>
  </si>
  <si>
    <t>Pada sebuah acara resepsi, terdapat 10 orang tamu yang belum saling mengenal. Jika 4 orang di antaranya saling berjabat tangan satu sama lain tepat satu kali dan sisanya tidak berjabat tangan, banyaknya jabat tangan yang terjadi adalah ...</t>
  </si>
  <si>
    <t>Total siswa = 20 orang. Peluang terpilih wanita pertama = 8/20. Sisa siswa menjadi 19 orang dan sisa wanita menjadi 7 orang. Peluang terpilih wanita kedua = 7/19. Peluang teoretis kedua-duanya wanita = (8/20) × (7/19) = (2/5) × (7/19) = 14/95.</t>
  </si>
  <si>
    <t>PM-14-S-27</t>
  </si>
  <si>
    <t>Karena jabat tangan hanya terjadi di antara 4 orang tertentu dan tidak memperhatikan urutan, gunakan kombinasi 2 dari 4 orang: C(4, 2) = (4 × 3) / (2 × 1) = 12 / 2 = 6 jabat tangan.</t>
  </si>
  <si>
    <t>Sebuah dadu bermata enam dilempar satu kali. Misalkan A adalah kejadian muncul mata dadu prima dan B adalah kejadian muncul mata dadu ganjil. Peluang teoretis muncul kejadian A atau B adalah ...</t>
  </si>
  <si>
    <t>PM-15-S-22</t>
  </si>
  <si>
    <t>PM-T1-S-08</t>
  </si>
  <si>
    <t>Suatu panitia kegiatan terdiri atas 6 laki-laki dan 5 perempuan. Dari panitia tersebut akan dipilih 3 orang utusan secara acak. Banyaknya cara memilih utusan tersebut jika ketiganya harus berjenis kelamin sama adalah ...</t>
  </si>
  <si>
    <t>Mata dadu prima A = {2, 3, 5} dengan n(A) = 3. Mata dadu ganjil B = {1, 3, 5} dengan n(B) = 3. Irisan A ∩ B = {3, 5} dengan n(A ∩ B) = 2. Anggota gabungan A ∪ B = {1, 2, 3, 5} dengan n(A ∪ B) = 4. Peluang teoretis = 4/6 = 2/3.</t>
  </si>
  <si>
    <t>PM-14-S-28</t>
  </si>
  <si>
    <t>PM-T1-S-09</t>
  </si>
  <si>
    <t>Langkah 1: Hitung cara terpilih 3 laki-laki, C(6, 3) = (6 × 5 × 4) / (3 × 2 × 1) = 20 cara. Langkah 2: Hitung cara terpilih 3 perempuan, C(5, 3) = (5 × 4 × 3) / (3 × 2 × 1) = 10 cara. Menggunakan aturan penjumlahan untuk kejadian saling lepas: Total cara = 20 + 10 = 30 cara.</t>
  </si>
  <si>
    <t>Dalam suatu kantong terdapat 6 bola merah dan 4 bola putih. Jika diambil 2 bola sekaligus secara acak, peluang teoretis terambil sekurang-kurangnya satu bola putih adalah ...</t>
  </si>
  <si>
    <t>PM-15-S-23</t>
  </si>
  <si>
    <t>13/15</t>
  </si>
  <si>
    <t>Dari 8 orang anggota tim peneliti, akan dipilih 3 orang untuk diposisikan sebagai Ketua, Sekretaris, dan Bendahara. Banyaknya cara pemilihan susunan pengurus tersebut adalah ...</t>
  </si>
  <si>
    <t>PM-T1-S-10</t>
  </si>
  <si>
    <t>Peluang sekurang-kurangnya satu bola putih dihitung menggunakan komplemen: 1 - P(kedua bola merah). Total cara memilih 2 bola dari 10 bola = C(10,2) = 45. Banyak cara memilih 2 bola merah dari 6 bola merah = C(6,2) = 15. Peluang kedua bola merah = 15/45 = 1/3. Maka peluang sekurang-kurangnya satu bola putih = 1 - 1/3 = 2/3. Namun jika dicari manual: P(1 putih, 1 merah) + P(2 putih) = (C(4,1) × C(6,1)) / 45 + C(4,2) / 45 = (24 + 6) / 45 = 30/45 = 2/3.</t>
  </si>
  <si>
    <t>PM-14-S-29</t>
  </si>
  <si>
    <t>Karena posisi jabatan memperhatikan urutan (Ketua, Sekretaris, Bendahara), gunakan permutasi 3 dari 8 atau aturan pengisian tempat: Posisi Ketua = 8 pilihan, Sekretaris = 7 pilihan, Bendahara = 6 pilihan. Total cara = 8 × 7 × 6 = 336 cara.</t>
  </si>
  <si>
    <t>PM-T1-S-11</t>
  </si>
  <si>
    <t>Data pemeriksaan kesehatan terhadap 250 warga menunjukkan bahwa 175 warga rajin berolahraga. Dari warga yang rajin berolahraga, 140 diantaranya memiliki tekanan darah normal. Peluang empiris seorang warga yang dipilih acak dari kelompok yang rajin berolahraga memiliki tekanan darah tidak normal adalah ...</t>
  </si>
  <si>
    <t>0,7</t>
  </si>
  <si>
    <t>PM-15-S-24</t>
  </si>
  <si>
    <t>Fokus populasi acuan adalah warga yang rajin berolahraga = 175 warga. Banyak warga yang rajin berolahraga tetapi tekanan darahnya tidak normal = 175 - 140 = 35 warga. Peluang empiris = 35 / 175 = 1/5 = 0,20.</t>
  </si>
  <si>
    <t>PM-T1-S-12</t>
  </si>
  <si>
    <t>Sebuah kode sandi terdiri atas 2 huruf berbeda yang diambil dari huruf A, B, C, D dan diikuti oleh 2 angka berbeda dari angka 1, 2, 3. Banyaknya kode sandi yang dapat dibuat adalah ...</t>
  </si>
  <si>
    <t>PM-14-S-30</t>
  </si>
  <si>
    <t>Manakah pernyataan berikut yang BENAR mengenai Hukum Bilangan Besar (Law of Large Numbers) dalam hubungan peluang empiris dan peluang teoretis?</t>
  </si>
  <si>
    <t>Semakin sedikit percobaan dilakukan, nilai peluang empiris akan semakin mendekati nilai peluang teoretis.</t>
  </si>
  <si>
    <t>PM-T1-S-13</t>
  </si>
  <si>
    <t>Nilai peluang empiris selalu sama dengan nilai peluang teoretis berapa pun jumlah percobaannya.</t>
  </si>
  <si>
    <t>Semakin banyak percobaan dilakukan, nilai peluang empiris akan cenderung bergerak mendekati nilai peluang teoretis.</t>
  </si>
  <si>
    <t>Langkah 1: Susun 2 huruf dari 4 pilihan, P(4, 2) = 4 × 3 = 12 cara. Langkah 2: Susun 2 angka dari 3 pilihan, P(3, 2) = 3 × 2 = 6 cara. Menggunakan aturan perkalian: Total kode sandi = 12 × 6 = 72 kode.</t>
  </si>
  <si>
    <t>Peluang teoretis selalu berubah mendekati hasil peluang empiris dari percobaan terakhir.</t>
  </si>
  <si>
    <t>Peluang empiris digunakan untuk menggantikan peluang teoretis ketika jumlah percobaan mendekati nol.</t>
  </si>
  <si>
    <t>PM-15-S-25</t>
  </si>
  <si>
    <t>Opsi C BENAR karena Hukum Bilangan Besar menyatakan bahwa seiring bertambahnya jumlah percobaan (n mendekati tak hingga), frekuensi relatif (peluang empiris) dari suatu kejadian akan konvergen mendekati peluang teoretisnya. Opsi A SALAH karena percobaan sedikit justru menghasilkan variansi empiris yang besar. Opsi B SALAH karena peluang empiris pada sampel terbatas dapat berbeda dengan teoretis. Opsi D SALAH karena nilai peluang teoretis bersifat tetap dan tidak berubah oleh hasil percobaan. Opsi E SALAH karena peluang empiris memerlukan percobaan nyata dan tidak relevan jika jumlah percobaan mendekati nol.</t>
  </si>
  <si>
    <t>PM-T1-S-14</t>
  </si>
  <si>
    <t>Suatu tim relawan yang terdiri dari 4 orang akan dipilih dari 6 orang dokter dan 4 orang perawat. Banyaknya cara membentuk tim tersebut jika harus memuat tepat 2 orang dokter adalah ...</t>
  </si>
  <si>
    <t>Langkah 1: Pilih 2 dokter dari 6 dokter, C(6, 2) = (6 × 5) / (2 × 1) = 15 cara. Langkah 2: Sisa anggota tim (4 - 2 = 2 orang) diambil dari 4 perawat, C(4, 2) = (4 × 3) / (2 × 1) = 6 cara. Menggunakan aturan perkalian: Total cara = 15 × 6 = 90 cara.</t>
  </si>
  <si>
    <t>PM-15-S-26</t>
  </si>
  <si>
    <t>▶  SULIT  —  6 Soal</t>
  </si>
  <si>
    <t>Dari angka 0, 1, 2, 3, 4, dan 5 akan disusun bilangan ratusan genap dengan angka-angka berbeda. Banyaknya bilangan yang dapat terbentuk adalah ...</t>
  </si>
  <si>
    <t>PM-14-S-31</t>
  </si>
  <si>
    <t>Kasus 1 (Angka 0 di posisi satuan): Satuan = 1 pilihan (0), Ratusan = 5 pilihan (1-5), Puluhan = 4 pilihan. Banyak bilangan = 5 × 4 × 1 = 20. Kasus 2 (Angka 2 atau 4 di posisi satuan): Satuan = 2 pilihan, Ratusan = 4 pilihan (tanpa 0 dan angka satuan), Puluhan = 4 pilihan. Banyak bilangan = 4 × 4 × 2 = 32. Total bilangan = 20 + 32 = 52 bilangan.</t>
  </si>
  <si>
    <t>Tim penjamin mutu pabrik menguji 500 unit sampel komponen dan menemukan 12 unit cacat, padahal peluang teoretis komponen cacat dari mesin produksi adalah 0,02. Pabrik menargetkan produksi 20.000 unit minggu depan. Selisih antara proyeksi jumlah komponen layak jual (tidak cacat) berbasis peluang teoretis dan berbasis peluang empiris sampel tersebut adalah ... unit.</t>
  </si>
  <si>
    <t>PM-T1-S-15</t>
  </si>
  <si>
    <t>PM-15-S-27</t>
  </si>
  <si>
    <t>Dalam sebuah kantong terdapat 5 bola merah dan 3 bola putih. Jika diambil 2 bola sekaligus secara acak, banyaknya cara pengambilan sedemikian hingga terambil sekurang-kurangnya 1 bola putih adalah ...</t>
  </si>
  <si>
    <t>Peluang teoretis layak jual = 1 - 0,02 = 0,98. Proyeksi layak jual teoretis = 0,98 × 20.000 = 19.600 unit. Peluang empiris cacat = 12 / 500 = 0,024, sehingga peluang empiris layak jual = 1 - 0,024 = 0,976. Proyeksi layak jual empiris = 0,976 × 20.000 = 19.520 unit. Selisih proyeksi = 19.600 - 19.520 = 80 unit.</t>
  </si>
  <si>
    <t>PM-14-S-32</t>
  </si>
  <si>
    <t>PM-T1-S-16</t>
  </si>
  <si>
    <t>Metode Komplemen: Total cara mengambil 2 bola dari 8 bola = C(8, 2) = (8 × 7) / (2 × 1) = 28 cara. Cara mengambil 2 bola merah (tanpa bola putih) = C(5, 2) = (5 × 4) / (2 × 1) = 10 cara. Banyak cara terambil sekurang-kurangnya 1 bola putih = Total cara - Cara tanpa bola putih = 28 - 10 = 18 cara.</t>
  </si>
  <si>
    <t>PM-15-S-28</t>
  </si>
  <si>
    <t>Dalam suatu seleksi tim Olimpiade yang terdiri dari 15 siswa laki-laki dan 10 siswa perempuan, akan dipilih 3 orang secara acak untuk tim utama. Jika proses pengundian tim utama ini dikonsimulasikan sebanyak 920 kali eksperimen, frekuensi harapan terpilihnya komposisi tim yang terdiri dari 1 laki-laki dan 2 perempuan ATAU 2 laki-laki dan 1 perempuan adalah ... kali.</t>
  </si>
  <si>
    <t>Kota A dan kota B dihubungkan oleh 3 jalan, sedangkan kota B dan kota C dihubungkan oleh 4 jalan. Seseorang melakukan perjalanan dari kota A ke kota C melalui B dan kembali lagi ke A melalui B. Jika saat kembali ia tidak boleh menggunakan jalan yang sama, banyaknya pilihan rute perjalanan adalah ...</t>
  </si>
  <si>
    <t>PM-T1-S-17</t>
  </si>
  <si>
    <t>Ruang sampel memilih 3 dari 25 siswa n(S) = C(25,3) = 2.300. Banyak cara 1 L dan 2 P = C(15,1) × C(10,2) = 15 × 45 = 675. Banyak cara 2 L dan 1 P = C(15,2) × C(10,1) = 105 × 10 = 1.050. Total cara gabungan kejadian saling lepas = 675 + 1.050 = 1.725. Peluang kejadian = 1.725 / 2.300 = 3/4. Frekuensi harapan dari 920 eksperimen = (3/4) × 920 = 690 kali.</t>
  </si>
  <si>
    <t>PM-14-S-33</t>
  </si>
  <si>
    <t>Langkah 1: Berangkat dari A ke B (3 pilihan) lalu B ke C (4 pilihan) = 3 × 4 = 12 rute. Langkah 2: Kembali dari C ke B (4 - 1 = 3 pilihan tersisa) lalu B ke A (3 - 1 = 2 pilihan tersisa) = 3 × 2 = 6 rute. Total rute bolak-balik = 12 × 6 = 72 pilihan rute.</t>
  </si>
  <si>
    <t>PM-T1-S-18</t>
  </si>
  <si>
    <t>PM-15-S-29</t>
  </si>
  <si>
    <t>Suatu kelurahan terdiri dari 21 RT (11 RT di barat sungai dan 10 RT di timur sungai). Sebanyak 2 RT di barat dan 2 RT di timur telah menerima bantuan. Dari sisa RT yang ada, dipilih 3 RT secara berurutan tanpa pengembalian. Jika tahapan undian berurutan ini disimulasikan sebanyak 425 kali, frekuensi harapan terpilihnya RT barat pada urutan pertama, RT timur pada urutan kedua, dan RT barat pada urutan ketiga adalah ... kali.</t>
  </si>
  <si>
    <t>Dalam sebuah rapat redaksi yang dihadiri oleh 5 orang, mereka duduk mengelilingi sebuah meja bundar. Banyaknya susunan posisi duduk yang dapat terbentuk adalah ...</t>
  </si>
  <si>
    <t>Sisa RT barat = 11 - 2 = 9. Sisa RT timur = 10 - 2 = 8. Total sisa RT = 17. Peluang terpilih Barat ke-1 = 9/17. Sisa total RT = 16, peluang terpilih Timur ke-2 = 8/16. Sisa total RT = 15, sisa RT barat = 8, peluang terpilih Barat ke-3 = 8/15. Peluang total = (9/17) × (8/16) × (8/15) = 12/85. Frekuensi harapan dari 425 simulasi = (12/85) × 425 = 60 kali.</t>
  </si>
  <si>
    <t>PM-T1-S-19</t>
  </si>
  <si>
    <t>Menggunakan konsep Permutasi Siklis untuk n objek, yaitu P_siklis = (n - 1)!. Untuk n = 5 orang: P_siklis = (5 - 1)! = 4! = 4 × 3 × 2 × 1 = 24 susunan.</t>
  </si>
  <si>
    <t>PM-14-S-34</t>
  </si>
  <si>
    <t>PM-15-S-30</t>
  </si>
  <si>
    <t>Kotak A berisi 6 bola merah dan 4 bola putih, sedangkan Kotak B berisi 5 bola merah dan 5 bola putih. Satu bola diambil secara acak dari Kotak A lalu dimasukkan ke Kotak B. Setelah diaduk, dari Kotak B diambil 2 bola sekaligus secara acak. Jika pengujian skenario dua tahap ini diulang sebanyak 275 kali, frekuensi harapan terambil sekurang-kurangnya satu bola putih dari Kotak B adalah ... kali.</t>
  </si>
  <si>
    <t>Mana di antara pernyataan berikut mengenai perbedaan konsep permutasi dan kombinasi dalam pemilihan objek dari n populasi yang BENAR?</t>
  </si>
  <si>
    <t>PM-T1-S-20</t>
  </si>
  <si>
    <t>Permutasi dari 3 objek selalu menghasilkan nilai yang lebih kecil daripada kombinasi dari 3 objek yang diambil dari populasi yang sama</t>
  </si>
  <si>
    <t>Kasus 1 (Terambil merah dari A, P = 6/10 = 3/5): Kotak B berisi 6 M dan 5 P (total 11). Peluang sekurang-kurangnya 1 P dari B = 1 - C(6,2)/C(11,2) = 1 - 15/55 = 40/55. Peluang Kasus 1 = (3/5) × (40/55) = 24/55. Kasus 2 (Terambil putih dari A, P = 4/10 = 2/5): Kotak B berisi 5 M dan 6 P (total 11). Peluang sekurang-kurangnya 1 P dari B = 1 - C(5,2)/C(11,2) = 1 - 10/55 = 45/55. Peluang Kasus 2 = (2/5) × (45/55) = 18/55. Peluang total = 24/55 + 18/55 = 42/55. Frekuensi harapan dari 275 kali pengujian = (42/55) × 275 = 210 kali.</t>
  </si>
  <si>
    <t>Pemilihan 3 orang anggota pengurus inti (Ketua, Sekretaris, Bendahara) menggunakan konsep kombinasi</t>
  </si>
  <si>
    <t>Pemilihan 3 orang perwakilan siswa untuk mengikuti seminar tanpa pembagian tugas menggunakan konsep permutasi</t>
  </si>
  <si>
    <t>Nilai Permutasi P(n, r) dapat diperoleh dari Nilai Kombinasi C(n, r) dikalikan dengan r!</t>
  </si>
  <si>
    <t>Perubahan urutan objek yang terpilih dalam kombinasi akan menghasilkan susunan baru yang dianggap berbeda</t>
  </si>
  <si>
    <t>PM-14-S-35</t>
  </si>
  <si>
    <t>Kunci Jawaban D BENAR karena secara matematis P(n, r) = n! / (n - r)! dan C(n, r) = n! / (r! × (n - r)!), sehingga P(n, r) = C(n, r) × r!. Analisis Opsi Lain: Opsi A SALAH (Permutasi P(n, r) selalu lebih besar atau sama dengan C(n, r) untuk r &gt; 1). Opsi B SALAH (Pemilihan pengurus bernama jabatan menggunakan permutasi karena urutan berpengaruh). Opsi C SALAH (Pemilihan delegasi tanpa hirarki menggunakan kombinasi). Opsi E SALAH (Kombinasi tidak memperhitungkan urutan sehingga perubahan urutan tidak menghasilkan susunan baru).</t>
  </si>
  <si>
    <t>TOTAL TO 1 — Tanpa Timer — PM</t>
  </si>
  <si>
    <t>Sebuah peti kontainer memuat 12 unit barang A (2 unit cacat, 10 unit baik) dan 8 unit barang B (3 unit cacat, 5 unit baik). Tim penjamin mutu mengambil 4 unit barang sekaligus secara acak dari peti tersebut. Jika prosedur pemeriksaan acak ini diterapkan pada 3.230 peti kontainer, frekuensi harapan terpilihnya tepat 2 unit barang A dan 2 unit barang B dengan kondisi SELURUH barang yang terpilih TIDAK CACAT adalah ... kali.</t>
  </si>
  <si>
    <t>Banyak cara memilih 2 barang A baik dari 10 barang A baik = C(10,2) = 45. Banyak cara memilih 2 barang B baik dari 5 barang B baik = C(5,2) = 10. Banyak cara kejadian terikat n(K) = 45 × 10 = 450. Total ruang sampel memilih 4 barang sembarang dari total 20 barang n(S) = C(20,4) = 4.845. Peluang kejadian = 450 / 4.845 = 30 / 323. Frekuensi harapan dari 3.230 peti kontainer = (30 / 323) × 3.230 = 300 kali.</t>
  </si>
  <si>
    <t>PM-14-S-36</t>
  </si>
  <si>
    <t>Suatu laboratorium menguji ketahanan dua jenis lampu. Peluang teoretis lampu jenis X bertahan lebih dari 1.000 jam adalah 0,85 dan jenis Y adalah 0,80. Jika pengujian independen dilakukan terhadap 400 pasang lampu (masing-masing 1 lampu X dan 1 lampu Y), frekuensi harapan ditemukannya pasangan lampu di mana sekurang-kurangnya satu lampu mati sebelum 1.000 jam adalah ... pasang.</t>
  </si>
  <si>
    <t>PM-15-S-31</t>
  </si>
  <si>
    <t>Peluang kedua lampu bertahan &gt; 1.000 jam = 0,85 × 0,80 = 0,68. Peluang sekurang-kurangnya satu lampu mati sebelum 1.000 jam (komplemen) = 1 - 0,68 = 0,32. Frekuensi harapan dari 400 pasang pengujian = 0,32 × 400 = 128 pasang.</t>
  </si>
  <si>
    <t>PM-14-S-37</t>
  </si>
  <si>
    <t>Pertemuan warga dihadiri oleh 15 laki-laki dan 10 perempuan. Dari peserta yang hadir akan dipilih pengurus RT baru yang terdiri atas Ketua, Sekretaris, dan Bendahara tanpa ada jabatan ganda. Jika Sekretaris harus dijabat oleh perempuan dan minimal terdapat 1 orang laki-laki dalam kepengurusan tersebut, banyaknya susunan pengurus RT yang mungkin terbentuk adalah ...</t>
  </si>
  <si>
    <t>Dalam sebuah kotak terdapat 10 kupon berhadiah (3 kupon bernilai Rp100.000 dan 7 kupon bernilai Rp10.000). Pengambilan kupon dilakukan dalam dua tahap: tahap pertama mengambil 2 kupon sekaligus, lalu tanpa pengembalian dilanjutkan tahap kedua mengambil 1 kupon. Jika prosedur dua tahap ini disimulasikan sebanyak 1.200 kali, frekuensi harapan terambilnya tepat 1 kupon Rp100.000 pada tahap pertama DAN terambil kupon Rp100.000 pada tahap kedua adalah ... kali.</t>
  </si>
  <si>
    <t>Ruang sampel tahap 1 n(S1) = C(10,2) = 45. Cara dapat 1 kupon Rp100rb dan 1 kupon Rp10rb pada tahap 1 = C(3,1) × C(7,1) = 21. Peluang tahap 1 = 21/45 = 7/15. Setelah tahap 1, sisa kupon = 8 (2 bernilai Rp100rb). Peluang terambil Rp100rb pada tahap 2 = 2/8 = 1/4. Peluang majemuk total = (7/15) × (1/4) = 7/60. Frekuensi harapan dari 1.200 simulasi = (7/60) × 1.200 = 140 kali.</t>
  </si>
  <si>
    <t>Langkah 1: Hitung total susunan dengan Sekretaris perempuan. Pilihan Sekretaris = 10 cara; Pilihan Ketua dari sisa warga = 24 cara; Pilihan Bendahara dari sisa warga = 23 cara. Total susunan tanpa syarat laki-laki = 10 × 24 × 23 = 5520 cara. Langkah 2: Hitung susunan jika semua pengurus perempuan. Pilihan Sekretaris = 10 cara; Pilihan Ketua (perempuan) = 9 cara; Pilihan Bendahara (perempuan) = 8 cara. Total pengurus perempuan semua = 10 × 9 × 8 = 720 cara. Langkah 3: Kurangkan total susunan dengan susunan perempuan semua untuk mendapatkan minimal 1 laki-laki: 5520 - 720 = 4800 cara.</t>
  </si>
  <si>
    <t>PM-14-S-38</t>
  </si>
  <si>
    <t>PM-15-S-32</t>
  </si>
  <si>
    <t>Sebuah sistem pemancar sinyal dilengkapi dua kanal independen S1 dan S2. Peluang kanal S1 mengalami gangguan adalah 0,15 dan kanal S2 adalah 0,20. Sistem dinyatakan mengalami gangguan jika setidaknya salah satu kanal tidak berfungsi. Dari 1.500 jam total durasi operasional pemancar, frekuensi harapan durasi waktu sistem mengalami gangguan adalah ... jam.</t>
  </si>
  <si>
    <t>Di suatu RT terdapat 8 keluarga yang tinggal di utara jalan dan 12 keluarga di selatan jalan. RT tersebut akan memilih panitia inti yang terdiri dari Ketua, Wakil Ketua, Sekretaris, dan Bendahara tanpa jabatan ganda. Diketahui tempat tinggal Ketua dan Wakil Ketua terpisah oleh jalan, sedangkan Sekretaris dan Bendahara keduanya harus tinggal di selatan jalan. Banyaknya susunan panitia inti yang dapat dibentuk adalah ...</t>
  </si>
  <si>
    <t>Peluang kedua kanal gagal P(G1 ∩ G2) = 0,15 × 0,20 = 0,03. Peluang sistem mengalami gangguan P(G1 ∪ G2) = P(G1) + P(G2) - P(G1 ∩ G2) = 0,15 + 0,20 - 0,03 = 0,32. Frekuensi harapan durasi gangguan dari 1.500 jam = 0,32 × 1.500 = 480 jam.</t>
  </si>
  <si>
    <t>Langkah 1: Hitung pilihan Ketua dan Wakil Ketua yang terpisah jalan. Kasus A (Ketua Utara, Wakil Selatan) = 8 × 12 = 96 cara; Kasus B (Ketua Selatan, Wakil Utara) = 12 × 8 = 96 cara. Total pilihan Ketua &amp; Wakil = 96 + 96 = 192 cara. Langkah 2: Hitung sisa warga selatan jalan. Karena 1 warga selatan jalan sudah terpilih menjadi Ketua/Wakil, sisa warga selatan = 12 - 1 = 11 orang. Langkah 3: Hitung pilihan Sekretaris dan Bendahara dari selatan jalan. Pilihan Sekretaris = 11 cara; Pilihan Bendahara = 10 cara. Total susunan Sekretaris &amp; Bendahara = 11 × 10 = 110 cara. Langkah 4: Kalikan seluruh pilihan: 192 × 110 = 21120 cara.</t>
  </si>
  <si>
    <t>PM-14-S-39</t>
  </si>
  <si>
    <t>PM-15-S-33</t>
  </si>
  <si>
    <t>Sebuah klub sains sekolah terdiri dari 12 siswa laki-laki dan 10 siswa perempuan. Dari anggota klub tersebut akan dibentuk tim utama yang terdiri atas 4 orang dan tim cadangan yang terdiri atas 3 orang tanpa ada siswa yang merangkap posisi. Jika tim utama harus terdiri dari tepat 2 laki-laki dan 2 perempuan, serta tim cadangan seluruhnya harus siswa laki-laki, banyaknya susunan seluruh tim yang dapat terbentuk adalah ...</t>
  </si>
  <si>
    <t>Di dalam suatu ruang rapat terdapat 30 peserta (18 pria dan 12 wanita). Diketahui 10 pria dan 6 wanita diantaranya mengenakan kacamata. Panitia memilih 2 peserta secara acak sekaligus untuk menjadi perwakilan. Jika simulasi Pemilihan dilakukan sebanyak 870 kali, frekuensi harapan terpilihnya 2 peserta berjenis kelamin sama DENGAN SYARAT keduanya TIDAK mengenakan kacamata adalah ... kali.</t>
  </si>
  <si>
    <t>Langkah 1: Hitung cara pembentukan tim utama. Memilih 2 laki-laki dari 12 = C(12, 2) = (12 × 11) / 2 = 66 cara. Memilih 2 perempuan dari 10 = C(10, 2) = (10 × 9) / 2 = 45 cara. Total cara tim utama = 66 × 45 = 2970 cara. Langkah 2: Hitung sisa siswa laki-laki yang tersedia untuk tim cadangan = 12 - 2 = 10 orang. Langkah 3: Hitung cara pembentukan tim cadangan (memilih 3 laki-laki dari 10) = C(10, 3) = (10 × 9 × 8) / (3 × 2 × 1) = 120 cara. Langkah 4: Total susunan seluruh tim = 2970 × 120 = 356400 cara.</t>
  </si>
  <si>
    <t>PM-15-S-34</t>
  </si>
  <si>
    <t>Banyak pria tidak kacamata = 18 - 10 = 8 orang. Banyak wanita tidak kacamata = 12 - 6 = 6 orang. Banyak cara memilih 2 pria tidak kacamata = C(8,2) = 28. Banyak cara memilih 2 wanita tidak kacamata = C(6,2) = 15. Total cara terpilih sama jenis kelamin dan tidak kacamata = 28 + 15 = 43. Total ruang sampel n(S) = C(30,2) = 435. Peluang = 43 / 435. Frekuensi harapan dari 870 simulasi = (43 / 435) × 870 = 86 kali.</t>
  </si>
  <si>
    <t>Panitia debat menyediakan 11 masalah kelompok ekonomi dan 9 masalah kelompok pendidikan. Dalam debat tersebut terdapat tiga calon, yaitu Sabar, Subur, dan Makmur, yang masing-masing akan menerima 1 masalah berbeda. Jika Sabar mendapatkan masalah kelompok pendidikan, serta kelompok masalah yang didapatkan Subur BERBEDA dari kelompok masalah yang didapatkan Makmur, banyaknya susunan pembagian masalah yang mungkin terjadi adalah ...</t>
  </si>
  <si>
    <t>PM-14-S-40</t>
  </si>
  <si>
    <t>Langkah 1: Sabar mendapat masalah pendidikan, terdapat 9 pilihan. Sisa masalah pendidikan = 8; masalah ekonomi = 11. Langkah 2: Kelompok masalah Subur dan Makmur berbeda (satu ekonomi, satu pendidikan). Kasus A (Subur Ekonomi, Makmur Pendidikan): Pilihan Subur = 11 cara; Pilihan Makmur = 8 cara. Total Kasus A = 9 × 11 × 8 = 792 cara. Kasus B (Subur Pendidikan, Makmur Ekonomi): Pilihan Subur = 8 cara; Pilihan Makmur = 11 cara. Total Kasus B = 9 × 8 × 11 = 792 cara. Langkah 3: Jumlahkan seluruh kemungkinan kasus: 792 + 792 = 1584 cara.</t>
  </si>
  <si>
    <t>Tiga buah dadu bermata enam dilempar bersamaan sebanyak satu kali. Jika eksperimen melempar tiga dadu ini dilakukan sebanyak 1.440 kali, frekuensi harapan munculnya jumlah ketiga mata dadu sama dengan 15 ATAU ketiga mata dadu menunjukkan angka bernilai sama (kembar tiga) adalah ... kali.</t>
  </si>
  <si>
    <t>PM-15-S-35</t>
  </si>
  <si>
    <t>Seorang guru menyediakan 22 buku bacaan berbeda yang terdiri dari 12 buku tentang pahlawan dan 10 buku tentang kesehatan. Guru tersebut memilih 3 buku berbeda untuk diberikan masing-masing 1 buku kepada Aisah, Banu, dan Candra. Banyaknya cara memilih buku sedemikian sehingga Banu menerima buku tentang kesehatan, sedangkan Aisah dan Candra tidak sama-sama menerima buku pahlawan dan tidak sama-sama menerima buku kesehatan adalah ...</t>
  </si>
  <si>
    <t>Total n(S) = 6³ = 216. Titik sampel jumlah 15 = susunan (6,6,3) ada 3 cara, (6,5,4) ada 6 cara, (5,5,5) ada 1 cara, total n(A) = 10. Titik sampel kembar tiga = (1,1,1) sampai (6,6,6), total n(B) = 6. Irisan n(A ∩ B) = titik (5,5,5) ada 1 cara. Total cara gabungan n(A ∪ B) = 10 + 6 - 1 = 15. Peluang = 15 / 216 = 5 / 72. Frekuensi harapan dari 1.440 pelemparan = (5 / 72) × 1.440 = 100 kali.</t>
  </si>
  <si>
    <t>Langkah 1: Tentukan pilihan buku untuk Banu (kesehatan) = 10 cara. Sisa buku kesehatan = 9; sisa buku pahlawan = 12. Langkah 2: Aisah dan Candra tidak sama-sama pahlawan dan tidak sama-sama kesehatan, artinya satu mendapat pahlawan dan satu mendapat kesehatan. Kasus A (Aisah Pahlawan, Candra Kesehatan) = 12 × 9 = 108 cara. Kasus B (Aisah Kesehatan, Candra Pahlawan) = 9 × 12 = 108 cara. Total cara untuk Aisah dan Candra = 108 + 108 = 216 cara. Langkah 3: Hitung total susunan keseluruhan = Pilihan Banu × Total cara Aisah-Candra = 10 × 216 = 2160 cara.</t>
  </si>
  <si>
    <t>PM-15-S-36</t>
  </si>
  <si>
    <t>PM-14-S-41</t>
  </si>
  <si>
    <t>Rombongan klub sepeda terdiri atas 12 laki-laki dan 10 perempuan. Di tempat wisata akan dipilih pengurus klub baru yang terdiri atas Ketua, Bendahara, Sekretaris, dan Kepala Humas tanpa jabatan ganda. Jika Ketua dan Kepala Humas keduanya harus laki-laki, serta Bendahara dan Sekretaris berjenis kelamin berbeda, banyaknya susunan pengurus klub yang dapat terbentuk adalah ...</t>
  </si>
  <si>
    <t>Peluang teoretis sebuat baterai tipe A cacat adalah 0,05 dan baterai tipe B cacat adalah 0,10. Jika dilakukan pengujian independen terhadap 2.000 pasang sampel baterai (masing-masing 1 baterai A dan 1 baterai B), frekuensi harapan ditemukannya pasangan sampel di mana sekurang-kurangnya satu baterai cacat adalah ... pasang.</t>
  </si>
  <si>
    <t>Langkah 1: Hitung pilihan Ketua dan Kepala Humas dari kalangan laki-laki. Pilihan Ketua = 12 cara; Pilihan Kepala Humas = 11 cara. Total = 12 × 11 = 132 cara. Sisa laki-laki = 10 orang; Sisa perempuan = 10 orang. Langkah 2: Hitung pilihan Bendahara dan Sekretaris dengan jenis kelamin berbeda. Kasus A (Bendahara Laki-laki, Sekretaris Perempuan) = 10 × 10 = 100 cara. Kasus B (Bendahara Perempuan, Sekretaris Laki-laki) = 10 × 10 = 100 cara. Total susunan Bendahara &amp; Sekretaris = 100 + 100 = 200 cara. Langkah 3: Kalikan seluruh pilihan: 132 × 200 = 26400 cara.</t>
  </si>
  <si>
    <t>PM-15-S-37</t>
  </si>
  <si>
    <t>Bu Budi mempunyai 10 aglonema merah dan 11 aglonema hijau yang semuanya berbeda. Empat tetangganya (Bu Amir, Bu Cholis, Bu Denis, dan Bu Erwin) masing-masing akan menerima 1 tanaman secara berurutan. Jika Bu Erwin mendapat aglonema merah, sedangkan aglonema yang diperoleh Bu Amir berbeda warna dengan yang diperoleh Bu Cholis dan Bu Denis, banyaknya susunan pembagian aglonema yang dapat terjadi adalah ...</t>
  </si>
  <si>
    <t>Peluang baterai A baik = 0,95 dan B baik = 0,90. Peluang kedua baterai berfungsi baik = 0,95 × 0,90 = 0,855. Peluang sekurang-kurangnya satu baterai cacat (komplemen) = 1 - 0,855 = 0,145. Frekuensi harapan dari 2.000 pasang sampel = 0,145 × 2.000 = 290 pasang.</t>
  </si>
  <si>
    <t>PM-14-S-42</t>
  </si>
  <si>
    <t>Langkah 1: Tentukan pilihan untuk Bu Erwin (aglonema merah) = 10 cara. Sisa aglonema merah = 9; Sisa aglonema hijau = 11. Langkah 2: Bu Amir berbeda warna dari Bu Cholis dan Bu Denis (artinya Bu Cholis dan Bu Denis warnanya sama). Kasus A (Bu Amir Merah, Bu Cholis &amp; Denis Hijau): Bu Amir = 9 cara; Bu Cholis = 11 cara; Bu Denis = 10 cara. Total = 9 × 11 × 10 = 990 cara. Kasus B (Bu Amir Hijau, Bu Cholis &amp; Denis Merah): Bu Amir = 11 cara; Bu Cholis = 9 cara; Bu Denis = 8 cara. Total = 11 × 9 × 8 = 792 cara. Total cara Kasus A + B = 990 + 792 = 1782 cara. Langkah 3: Hitung total keseluruhan = 10 × 1782 = 17820 cara.</t>
  </si>
  <si>
    <t>PM-15-S-38</t>
  </si>
  <si>
    <t>Sebuah kantong berisi 7 kelereng merah dan 5 kelereng putih. Dari kantong tersebut diambil 3 kelereng satu per satu secara berurutan tanpa pengembalian. Jika eksperimen pengambilan 3 kelereng ini diulang sebanyak 1.320 kali, frekuensi harapan terambilnya kelereng pertama merah, kelereng kedua putih, dan kelereng ketiga merah adalah ... kali.</t>
  </si>
  <si>
    <t>Pak guru menyediakan 23 bacaan berbeda, yaitu 11 bacaan dengan topik buah-buahan dan 12 bacaan dengan topik sayuran. Pak guru memberikan masing-masing 1 bacaan kepada Agus, Badu, dan Cici. Banyaknya cara memilih bacaan sedemikian sehingga Agus mendapat bacaan tentang buah-buahan, sedangkan Badu dan Cici mendapatkan bacaan dengan topik yang berbeda satu sama lain adalah ...</t>
  </si>
  <si>
    <t>Langkah 1: Tentukan pilihan bacaan Agus (buah-buahan) = 11 cara. Sisa bacaan buah-buahan = 10; sisa bacaan sayuran = 12. Langkah 2: Badu dan Cici topik berbeda (satu buah-buahan, satu sayuran). Kasus A (Badu Buah-buahan, Cici Sayuran) = 10 × 12 = 120 cara. Kasus B (Badu Sayuran, Cici Buah-buahan) = 12 × 10 = 120 cara. Total cara Badu &amp; Cici = 120 + 120 = 240 cara. Langkah 3: Hitung total susunan = Pilihan Agus × Total cara Badu-Cici = 11 × 240 = 2640 cara.</t>
  </si>
  <si>
    <t>P(ke-1 Merah) = 7/12. Sisa kelereng = 11 (6M, 5P), P(ke-2 Putih) = 5/11. Sisa kelereng = 10 (6M, 4P), P(ke-3 Merah) = 6/10 = 3/5. Peluang majemuk total = (7/12) × (5/11) × (3/5) = 7/44. Frekuensi harapan dari 1.320 kali eksperimen = (7/44) × 1.320 = 210 kali.</t>
  </si>
  <si>
    <t>PM-15-S-39</t>
  </si>
  <si>
    <t>Suatu kecamatan terdiri atas 17 kelurahan yang terpisahkan oleh sungai, dengan 8 kelurahan di sebelah barat dan 9 kelurahan di sebelah timur. Akan dipilih 4 kelurahan secara berurutan untuk diberi bantuan tahap pertama. Jika dua kelurahan yang terpilih pada urutan pertama dan kedua dipisahkan oleh sungai, serta urutan ketiga dan keempat keduanya adalah kelurahan di barat sungai, banyaknya susunan pemilihan kelurahan adalah ...</t>
  </si>
  <si>
    <t>PM-14-S-43</t>
  </si>
  <si>
    <t>Langkah 1: Hitung pilihan urutan ke-1 dan ke-2 yang terpisah sungai. Kasus A (Ke-1 Barat, Ke-2 Timur) = 8 × 9 = 72 cara; Kasus B (Ke-1 Timur, Ke-2 Barat) = 9 × 8 = 72 cara. Total urutan 1 &amp; 2 = 72 + 72 = 144 cara. Sisa kelurahan barat sungai = 8 - 1 = 7 kelurahan. Langkah 2: Hitung pilihan urutan ke-3 dan ke-4 dari barat sungai. Pilihan ke-3 = 7 cara; Pilihan ke-4 = 6 cara. Total urutan 3 &amp; 4 = 7 × 6 = 42 cara. Langkah 3: Kalikan seluruh susunan: 144 × 42 = 6048 cara.</t>
  </si>
  <si>
    <t>PM-15-S-40</t>
  </si>
  <si>
    <t>Sebuah perusahaan memiliki 8 staf Senior (5 Pria, 3 Wanita) dan 6 staf Junior (2 Pria, 4 Wanita). Dibentuk tim berisi 4 orang yang terdiri dari 2 staf Senior dan 2 staf Junior. Jika prosedur simulasi pembentukan tim ini diulang sebanyak 2.100 kali, frekuensi harapan terpilihnya tim yang SELURUH anggotanya berjenis kelamin wanita adalah ... kali.</t>
  </si>
  <si>
    <t>Suatu kelurahan terdiri dari 21 RT yang terpisahkan oleh sungai, yaitu 11 RT di sebelah barat dan 10 RT di sebelah timur. Jika akan dipilih 3 RT secara berurutan untuk mendapat bantuan, banyaknya cara memilih sedemikian sehingga dua RT yang terpilih pada urutan pertama dan kedua dipisahkan oleh sungai serta urutan ketiga adalah RT di timur sungai adalah ...</t>
  </si>
  <si>
    <t>Langkah 1: Evaluasi kasus pemilihan 3 RT berurutan. Kasus A (Ke-1 Barat, Ke-2 Timur, Ke-3 Timur): Ke-1 = 11 cara; Ke-2 = 10 cara; Sisa RT timur untuk Ke-3 = 10 - 1 = 9 cara. Total Kasus A = 11 × 10 × 9 = 990 cara. Kasus B (Ke-1 Timur, Ke-2 Barat, Ke-3 Timur): Ke-1 = 10 cara; Ke-2 = 11 cara; Sisa RT timur untuk Ke-3 = 10 - 1 = 9 cara. Total Kasus B = 10 × 11 × 9 = 990 cara. Langkah 2: Jumlahkan seluruh kasus: 990 + 990 = 1980 cara.</t>
  </si>
  <si>
    <t>Cara memilih 2 Senior Wanita dari 3 Senior Wanita = C(3,2) = 3. Cara memilih 2 Junior Wanita dari 4 Junior Wanita = C(4,2) = 6. Cara tim wanita n(K) = 3 × 6 = 18. Total ruang sampel pilih 2 Senior dan 2 Junior n(S) = C(8,2) × C(6,2) = 28 × 15 = 420. Peluang = 18 / 420 = 3 / 70. Frekuensi harapan dari 2.100 simulasi = (3/70) × 2.100 = 90 kali.</t>
  </si>
  <si>
    <t>PM-15-S-41</t>
  </si>
  <si>
    <t>PM-14-S-44</t>
  </si>
  <si>
    <t>Di RT A terdapat 8 keluarga yang tinggal di utara jalan dan 12 keluarga di selatan jalan. Dari wakil keluarga yang hadir akan dipilih panitia inti yang terdiri atas Ketua, Wakil Ketua, Bendahara, dan Sekretaris tanpa jabatan ganda. Jika Ketua dan Wakil Ketua tempat tinggalnya terpisah oleh jalan, serta Bendahara dan Sekretaris keduanya tinggal di selatan jalan, banyaknya susunan panitia inti yang dapat dibentuk adalah ...</t>
  </si>
  <si>
    <t>Dua buah dadu bermata enam dilempar bersamaan satu kali. Jika pelemparan dua dadu ini diulang sebanyak 1.080 kali, frekuensi harapan munculnya jumlah mata dadu bernilai KELIPATAN 4 ATAU kedua mata dadu menunjukkan angka KEMBAR adalah ... kali.</t>
  </si>
  <si>
    <t>Langkah 1: Hitung pilihan Ketua dan Wakil Ketua yang terpisah jalan. Kasus A (Ketua Utara, Wakil Selatan) = 8 × 12 = 96 cara; Kasus B (Ketua Selatan, Wakil Utara) = 12 × 8 = 96 cara. Total pilihan Ketua &amp; Wakil = 96 + 96 = 192 cara. Langkah 2: Sisa warga selatan jalan = 12 - 1 = 11 orang. Langkah 3: Hitung pilihan Bendahara dan Sekretaris dari selatan jalan. Pilihan Bendahara = 11 cara; Pilihan Sekretaris = 10 cara. Total susunan Bendahara &amp; Sekretaris = 11 × 10 = 110 cara. Langkah 4: Kalikan seluruh pilihan: 192 × 110 = 21120 cara.</t>
  </si>
  <si>
    <t>PM-15-S-42</t>
  </si>
  <si>
    <t>Bu guru menyediakan 22 bacaan berbeda yang terdiri atas 12 bacaan tentang pahlawan dan 10 bacaan tentang kesehatan. Dipilih 3 bacaan berbeda untuk diberikan masing-masing 1 bacaan kepada Aisah, Banu, dan Candra. Banyaknya cara memilih bacaan sedemikian sehingga Aisah menerima bacaan tentang kesehatan, sedangkan Banu dan Candra tidak sama-sama menerima bacaan pahlawan dan tidak sama-sama menerima bacaan kesehatan adalah ...</t>
  </si>
  <si>
    <t>n(S) = 36. Titik sampel jumlah kelipatan 4 (jumlah 4, 8, 12): (1,3),(2,2),(3,1),(2,6),(3,5),(4,4),(5,3),(6,2),(6,6) total n(A) = 9. Titik sampel kembar n(B) = 6. Irisan n(A ∩ B) = (2,2),(4,4),(6,6) total 3. Gabungan n(A ∪ B) = 9 + 6 - 3 = 12. Peluang = 12 / 36 = 1/3. Frekuensi harapan dari 1.080 pelemparan = (1/3) × 1.080 = 360 kali.</t>
  </si>
  <si>
    <t>Langkah 1: Tentukan pilihan bacaan Aisah (kesehatan) = 10 cara. Sisa bacaan kesehatan = 9; sisa bacaan pahlawan = 12. Langkah 2: Banu dan Candra topik berbeda (satu pahlawan, satu kesehatan). Kasus A (Banu Pahlawan, Candra Kesehatan) = 12 × 9 = 108 cara. Kasus B (Banu Kesehatan, Candra Pahlawan) = 9 × 12 = 108 cara. Total cara Banu &amp; Candra = 108 + 108 = 216 cara. Langkah 3: Hitung total susunan = Pilihan Aisah × Total cara Banu-Candra = 10 × 216 = 2160 cara.</t>
  </si>
  <si>
    <t>PM-14-S-45</t>
  </si>
  <si>
    <t>PM-15-S-43</t>
  </si>
  <si>
    <t>Tim QC menguji sampel produk dari dua pabrik: Pabrik X (600 unit sampel, 18 unit cacat) dan Pabrik Y (800 unit sampel, 16 unit cacat). Pada periode berikutnya, masing-masing pabrik memproduksi 50.000 unit barang. Selisih proyeksi jumlah barang layak jual (tidak cacat) antara Pabrik Y dan Pabrik X berbasis peluang empiris sampel tersebut adalah ... unit.</t>
  </si>
  <si>
    <t>PM-15-S-44</t>
  </si>
  <si>
    <t>Peluang empiris cacat X = 18/600 = 0,030, layak jual X = 0,970. Proyeksi layak X = 0,970 × 50.000 = 48.500 unit. Peluang empiris cacat Y = 16/800 = 0,020, layak jual Y = 0,980. Proyeksi layak Y = 0,980 × 50.000 = 49.000 unit. Selisih proyeksi barang layak jual Y dan X = 49.000 - 48.500 = 500 unit.</t>
  </si>
  <si>
    <t>Suatu kecamatan terdiri atas 17 kelurahan yang terpisahkan oleh sungai, dengan 8 kelurahan di sebelah barat dan 9 kelurahan di sebelah timur. Akan dipilih 4 kelurahan secara berurutan untuk diberi bantuan tahap pertama. Jika urutan pertama dan kedua adalah dua kelurahan yang dipisahkan oleh sungai, serta urutan ketiga dan keempat keduanya adalah kelurahan di barat sungai, banyaknya susunan pemilihan kelurahan adalah ...</t>
  </si>
  <si>
    <t>TOTAL Materi 14 — Peluang Empiris &amp; Teoretis</t>
  </si>
  <si>
    <t>PM-15-S-45</t>
  </si>
  <si>
    <t>Pak guru menyediakan 23 bacaan berbeda, yaitu 11 bacaan dengan topik tentang buah-buahan dan 12 bacaan tentang sayuran. Pak guru memberikan masing-masing 1 bacaan kepada Agus, Badu, dan Cici. Banyaknya cara memilih bacaan sedemikian sehingga Agus mendapat bacaan tentang buah-buahan, sedangkan Badu dan Cici mendapatkan bacaan dengan topik yang berbeda satu sama lain adalah ...</t>
  </si>
  <si>
    <t>TOTAL Materi 15 — Aturan Pencacahan &amp; Kombinatorika</t>
  </si>
  <si>
    <t>PM — TO 2 — Timer, Bisa Dicicil  |  Target: 20 Soal per TO  |  Semua soal UNIK</t>
  </si>
  <si>
    <t>Format: Simulasi parsial. Bisa dikerjakan bertahap.  |  Distribusi level: 6 Ringan · 8 Sedang · 6 Sulit</t>
  </si>
  <si>
    <t>PM-T2-R-01</t>
  </si>
  <si>
    <t>PM-T2-R-02</t>
  </si>
  <si>
    <t>PM-T2-R-03</t>
  </si>
  <si>
    <t>PM-T2-R-04</t>
  </si>
  <si>
    <t>PM-T2-R-05</t>
  </si>
  <si>
    <t>PM-T2-R-06</t>
  </si>
  <si>
    <t>PM-T2-S-07</t>
  </si>
  <si>
    <t>PM-T2-S-08</t>
  </si>
  <si>
    <t>PM-T2-S-09</t>
  </si>
  <si>
    <t>PM-T2-S-10</t>
  </si>
  <si>
    <t>PM-T2-S-11</t>
  </si>
  <si>
    <t>PM-T2-S-12</t>
  </si>
  <si>
    <t>PM-T2-S-13</t>
  </si>
  <si>
    <t>PM-T2-S-14</t>
  </si>
  <si>
    <t>PM-T2-S-15</t>
  </si>
  <si>
    <t>PM — TO 3 — Full Simulasi SNBT  |  Target: 20 Soal per TO  |  Semua soal UNIK</t>
  </si>
  <si>
    <t>PM-T2-S-16</t>
  </si>
  <si>
    <t>Format: Kondisi ujian asli sesuai durasi resmi.  |  Distribusi level: 6 Ringan · 8 Sedang · 6 Sulit</t>
  </si>
  <si>
    <t>PM-T2-S-17</t>
  </si>
  <si>
    <t>PM-T2-S-18</t>
  </si>
  <si>
    <t>PM-T2-S-19</t>
  </si>
  <si>
    <t>PM-T2-S-20</t>
  </si>
  <si>
    <t>PM-T3-R-01</t>
  </si>
  <si>
    <t>TOTAL TO 2 — Timer, Bisa Dicicil — PM</t>
  </si>
  <si>
    <t>PM-T3-R-02</t>
  </si>
  <si>
    <t>PM-T3-R-03</t>
  </si>
  <si>
    <t>PM-T3-R-04</t>
  </si>
  <si>
    <t>PM-T3-R-05</t>
  </si>
  <si>
    <t>PM-T3-R-06</t>
  </si>
  <si>
    <t>PM-T3-S-07</t>
  </si>
  <si>
    <t>PM-T3-S-08</t>
  </si>
  <si>
    <t>PM-T3-S-09</t>
  </si>
  <si>
    <t>PM-T3-S-10</t>
  </si>
  <si>
    <t>PM-T3-S-11</t>
  </si>
  <si>
    <t>PM-T3-S-12</t>
  </si>
  <si>
    <t>PM-T3-S-13</t>
  </si>
  <si>
    <t>PM-T3-S-14</t>
  </si>
  <si>
    <t>PM-T3-S-15</t>
  </si>
  <si>
    <t>PM-T3-S-16</t>
  </si>
  <si>
    <t>PM-T3-S-17</t>
  </si>
  <si>
    <t>PM-T3-S-18</t>
  </si>
  <si>
    <t>PM-T3-S-19</t>
  </si>
  <si>
    <t>PM-T3-S-20</t>
  </si>
  <si>
    <t>TOTAL TO 3 — Full Simulasi SNBT — PM</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</si>
</sst>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m"/>
    <numFmt numFmtId="165" formatCode="m/d"/>
    <numFmt numFmtId="166" formatCode="m, d, yyyy"/>
    <numFmt numFmtId="167" formatCode="m, d, yy"/>
  </numFmts>
  <fonts count="45">
    <font>
      <sz val="11.0"/>
      <color theme="1"/>
      <name val="Calibri"/>
      <scheme val="minor"/>
    </font>
    <font>
      <b/>
      <sz val="14.0"/>
      <color rgb="FFF5C518"/>
      <name val="Arial"/>
    </font>
    <font>
      <b/>
      <sz val="12.0"/>
      <color rgb="FFFFFFFF"/>
      <name val="Arial"/>
    </font>
    <font/>
    <font>
      <i/>
      <sz val="10.0"/>
      <color rgb="FFFFFFFF"/>
      <name val="Arial"/>
    </font>
    <font>
      <i/>
      <sz val="10.0"/>
      <color rgb="FF0D9488"/>
      <name val="Arial"/>
    </font>
    <font>
      <b/>
      <sz val="10.0"/>
      <color rgb="FF000000"/>
      <name val="Arial"/>
    </font>
    <font>
      <b/>
      <sz val="10.0"/>
      <color rgb="FFF5C518"/>
      <name val="Arial"/>
    </font>
    <font>
      <i/>
      <sz val="9.0"/>
      <color rgb="FFB45309"/>
      <name val="Arial"/>
    </font>
    <font>
      <b/>
      <sz val="10.0"/>
      <color rgb="FF0D9488"/>
      <name val="Arial"/>
    </font>
    <font>
      <b/>
      <sz val="10.0"/>
      <color rgb="FFFFFFFF"/>
      <name val="Arial"/>
    </font>
    <font>
      <sz val="10.0"/>
      <color rgb="FF1B2C6B"/>
      <name val="Arial"/>
    </font>
    <font>
      <i/>
      <sz val="10.0"/>
      <color rgb="FF000000"/>
      <name val="Arial"/>
    </font>
    <font>
      <b/>
      <sz val="10.0"/>
      <color rgb="FFB45309"/>
      <name val="Arial"/>
    </font>
    <font>
      <b/>
      <sz val="10.0"/>
      <color rgb="FF1A6B3C"/>
      <name val="Arial"/>
    </font>
    <font>
      <sz val="10.0"/>
      <color rgb="FF888888"/>
      <name val="Arial"/>
    </font>
    <font>
      <b/>
      <sz val="10.0"/>
      <color rgb="FFE65100"/>
      <name val="Arial"/>
    </font>
    <font>
      <b/>
      <sz val="9.0"/>
      <color rgb="FF0D9488"/>
      <name val="Arial"/>
    </font>
    <font>
      <sz val="10.0"/>
      <color rgb="FF000000"/>
      <name val="Arial"/>
    </font>
    <font>
      <b/>
      <sz val="10.0"/>
      <color rgb="FF7C3AED"/>
      <name val="Arial"/>
    </font>
    <font>
      <color theme="1"/>
      <name val="Google Sans Text"/>
    </font>
    <font>
      <sz val="10.0"/>
      <color rgb="FFB45309"/>
      <name val="Arial"/>
    </font>
    <font>
      <b/>
      <sz val="10.0"/>
      <color rgb="FFF96167"/>
      <name val="Arial"/>
    </font>
    <font>
      <b/>
      <sz val="10.0"/>
      <color rgb="FF1565C0"/>
      <name val="Arial"/>
    </font>
    <font>
      <b/>
      <sz val="11.0"/>
      <color rgb="FFFFFFFF"/>
      <name val="Arial"/>
    </font>
    <font>
      <b/>
      <sz val="12.0"/>
      <color rgb="FF1B2C6B"/>
      <name val="Arial"/>
    </font>
    <font>
      <b/>
      <sz val="10.0"/>
      <color rgb="FF1B2C6B"/>
      <name val="Arial"/>
    </font>
    <font>
      <b/>
      <sz val="11.0"/>
      <color rgb="FF1B2C6B"/>
      <name val="Arial"/>
    </font>
    <font>
      <i/>
      <sz val="10.0"/>
      <color rgb="FFB45309"/>
      <name val="Arial"/>
    </font>
    <font>
      <b/>
      <sz val="11.0"/>
      <color rgb="FF0D9488"/>
      <name val="Arial"/>
    </font>
    <font>
      <i/>
      <sz val="10.0"/>
      <color rgb="FF7C3AED"/>
      <name val="Arial"/>
    </font>
    <font>
      <b/>
      <sz val="9.0"/>
      <color rgb="FF7C3AED"/>
      <name val="Arial"/>
    </font>
    <font>
      <b/>
      <sz val="11.0"/>
      <color rgb="FF7C3AED"/>
      <name val="Arial"/>
    </font>
    <font>
      <i/>
      <sz val="10.0"/>
      <color rgb="FFF96167"/>
      <name val="Arial"/>
    </font>
    <font>
      <b/>
      <sz val="9.0"/>
      <color rgb="FFF96167"/>
      <name val="Arial"/>
    </font>
    <font>
      <b/>
      <sz val="11.0"/>
      <color rgb="FFF96167"/>
      <name val="Arial"/>
    </font>
    <font>
      <i/>
      <sz val="10.0"/>
      <color rgb="FF1565C0"/>
      <name val="Arial"/>
    </font>
    <font>
      <b/>
      <sz val="9.0"/>
      <color rgb="FF1565C0"/>
      <name val="Arial"/>
    </font>
    <font>
      <b/>
      <sz val="11.0"/>
      <color rgb="FF1565C0"/>
      <name val="Arial"/>
    </font>
    <font>
      <b/>
      <sz val="12.0"/>
      <color rgb="FFF5C518"/>
      <name val="Arial"/>
    </font>
    <font>
      <i/>
      <sz val="10.0"/>
      <color rgb="FF1A6B3C"/>
      <name val="Arial"/>
    </font>
    <font>
      <b/>
      <sz val="9.0"/>
      <color rgb="FF1A6B3C"/>
      <name val="Arial"/>
    </font>
    <font>
      <b/>
      <sz val="11.0"/>
      <color rgb="FF1A6B3C"/>
      <name val="Arial"/>
    </font>
    <font>
      <b/>
      <sz val="9.0"/>
      <color rgb="FFB45309"/>
      <name val="Arial"/>
    </font>
    <font>
      <b/>
      <sz val="11.0"/>
      <color rgb="FFB45309"/>
      <name val="Arial"/>
    </font>
  </fonts>
  <fills count="20">
    <fill>
      <patternFill patternType="none"/>
    </fill>
    <fill>
      <patternFill patternType="lightGray"/>
    </fill>
    <fill>
      <patternFill patternType="solid">
        <fgColor rgb="FF1B2C6B"/>
        <bgColor rgb="FF1B2C6B"/>
      </patternFill>
    </fill>
    <fill>
      <patternFill patternType="solid">
        <fgColor rgb="FF0D9488"/>
        <bgColor rgb="FF0D9488"/>
      </patternFill>
    </fill>
    <fill>
      <patternFill patternType="solid">
        <fgColor rgb="FFE65100"/>
        <bgColor rgb="FFE65100"/>
      </patternFill>
    </fill>
    <fill>
      <patternFill patternType="solid">
        <fgColor rgb="FFE0F2F1"/>
        <bgColor rgb="FFE0F2F1"/>
      </patternFill>
    </fill>
    <fill>
      <patternFill patternType="solid">
        <fgColor rgb="FFD0D5E8"/>
        <bgColor rgb="FFD0D5E8"/>
      </patternFill>
    </fill>
    <fill>
      <patternFill patternType="solid">
        <fgColor rgb="FFFFFDE7"/>
        <bgColor rgb="FFFFFDE7"/>
      </patternFill>
    </fill>
    <fill>
      <patternFill patternType="solid">
        <fgColor rgb="FFFFFFFF"/>
        <bgColor rgb="FFFFFFFF"/>
      </patternFill>
    </fill>
    <fill>
      <patternFill patternType="solid">
        <fgColor rgb="FFE8F5E9"/>
        <bgColor rgb="FFE8F5E9"/>
      </patternFill>
    </fill>
    <fill>
      <patternFill patternType="solid">
        <fgColor rgb="FFF2F4F8"/>
        <bgColor rgb="FFF2F4F8"/>
      </patternFill>
    </fill>
    <fill>
      <patternFill patternType="solid">
        <fgColor rgb="FFFFF3E0"/>
        <bgColor rgb="FFFFF3E0"/>
      </patternFill>
    </fill>
    <fill>
      <patternFill patternType="solid">
        <fgColor rgb="FF7C3AED"/>
        <bgColor rgb="FF7C3AED"/>
      </patternFill>
    </fill>
    <fill>
      <patternFill patternType="solid">
        <fgColor rgb="FFF3E8FF"/>
        <bgColor rgb="FFF3E8FF"/>
      </patternFill>
    </fill>
    <fill>
      <patternFill patternType="solid">
        <fgColor rgb="FFF96167"/>
        <bgColor rgb="FFF96167"/>
      </patternFill>
    </fill>
    <fill>
      <patternFill patternType="solid">
        <fgColor rgb="FFFFEBEE"/>
        <bgColor rgb="FFFFEBEE"/>
      </patternFill>
    </fill>
    <fill>
      <patternFill patternType="solid">
        <fgColor rgb="FF1565C0"/>
        <bgColor rgb="FF1565C0"/>
      </patternFill>
    </fill>
    <fill>
      <patternFill patternType="solid">
        <fgColor rgb="FFE3F2FD"/>
        <bgColor rgb="FFE3F2FD"/>
      </patternFill>
    </fill>
    <fill>
      <patternFill patternType="solid">
        <fgColor rgb="FFF5C518"/>
        <bgColor rgb="FFF5C518"/>
      </patternFill>
    </fill>
    <fill>
      <patternFill patternType="solid">
        <fgColor rgb="FF1A6B3C"/>
        <bgColor rgb="FF1A6B3C"/>
      </patternFill>
    </fill>
  </fills>
  <borders count="9">
    <border/>
    <border>
      <left/>
      <top/>
      <bottom/>
    </border>
    <border>
      <top/>
      <bottom/>
    </border>
    <border>
      <right/>
      <top/>
      <bottom/>
    </border>
    <border>
      <left style="thin">
        <color rgb="FFCCCCCC"/>
      </left>
      <right style="thin">
        <color rgb="FFCCCCCC"/>
      </right>
      <top style="thin">
        <color rgb="FFCCCCCC"/>
      </top>
      <bottom style="thin">
        <color rgb="FFCCCCCC"/>
      </bottom>
    </border>
    <border>
      <left style="thin">
        <color rgb="FFC4C7C5"/>
      </left>
      <right style="thin">
        <color rgb="FFC4C7C5"/>
      </right>
      <top style="thin">
        <color rgb="FFC4C7C5"/>
      </top>
      <bottom style="thin">
        <color rgb="FFC4C7C5"/>
      </bottom>
    </border>
    <border>
      <left style="thin">
        <color rgb="FFCCCCCC"/>
      </left>
      <top style="thin">
        <color rgb="FFCCCCCC"/>
      </top>
      <bottom style="thin">
        <color rgb="FFCCCCCC"/>
      </bottom>
    </border>
    <border>
      <top style="thin">
        <color rgb="FFCCCCCC"/>
      </top>
      <bottom style="thin">
        <color rgb="FFCCCCCC"/>
      </bottom>
    </border>
    <border>
      <right/>
      <top style="thin">
        <color rgb="FFCCCCCC"/>
      </top>
      <bottom style="thin">
        <color rgb="FFCCCCCC"/>
      </bottom>
    </border>
  </borders>
  <cellStyleXfs count="1">
    <xf borderId="0" fillId="0" fontId="0" numFmtId="0" applyAlignment="1" applyFont="1"/>
  </cellStyleXfs>
  <cellXfs count="9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1" fillId="4" fontId="2" numFmtId="0" xfId="0" applyAlignment="1" applyBorder="1" applyFill="1" applyFont="1">
      <alignment horizontal="left" shrinkToFit="0" vertical="center" wrapText="1"/>
    </xf>
    <xf borderId="1" fillId="4" fontId="4" numFmtId="0" xfId="0" applyAlignment="1" applyBorder="1" applyFill="1" applyFont="1">
      <alignment horizontal="center" shrinkToFit="0" vertical="center" wrapText="1"/>
    </xf>
    <xf borderId="1" fillId="5" fontId="5" numFmtId="0" xfId="0" applyAlignment="1" applyBorder="1" applyFill="1" applyFont="1">
      <alignment horizontal="left" shrinkToFit="0" vertical="center" wrapText="1"/>
    </xf>
    <xf borderId="4" fillId="6" fontId="6" numFmtId="0" xfId="0" applyAlignment="1" applyBorder="1" applyFill="1" applyFont="1">
      <alignment horizontal="center" shrinkToFit="0" vertical="center" wrapText="1"/>
    </xf>
    <xf borderId="4" fillId="2" fontId="7" numFmtId="0" xfId="0" applyAlignment="1" applyBorder="1" applyFill="1" applyFont="1">
      <alignment horizontal="center" shrinkToFit="0" vertical="center" wrapText="1"/>
    </xf>
    <xf borderId="1" fillId="7" fontId="8" numFmtId="0" xfId="0" applyAlignment="1" applyBorder="1" applyFill="1" applyFont="1">
      <alignment horizontal="left" shrinkToFit="0" vertical="center" wrapText="1"/>
    </xf>
    <xf borderId="4" fillId="5" fontId="9" numFmtId="0" xfId="0" applyAlignment="1" applyBorder="1" applyFill="1" applyFont="1">
      <alignment horizontal="left" shrinkToFit="0" vertical="center" wrapText="1"/>
    </xf>
    <xf borderId="4" fillId="3" fontId="10" numFmtId="0" xfId="0" applyAlignment="1" applyBorder="1" applyFill="1" applyFont="1">
      <alignment horizontal="center" shrinkToFit="0" vertical="center" wrapText="1"/>
    </xf>
    <xf borderId="4" fillId="8" fontId="11" numFmtId="0" xfId="0" applyAlignment="1" applyBorder="1" applyFill="1" applyFont="1">
      <alignment horizontal="center" readingOrder="0" shrinkToFit="0" vertical="center" wrapText="1"/>
    </xf>
    <xf borderId="4" fillId="5" fontId="9" numFmtId="0" xfId="0" applyAlignment="1" applyBorder="1" applyFill="1" applyFont="1">
      <alignment horizontal="center" shrinkToFit="0" vertical="center" wrapText="1"/>
    </xf>
    <xf borderId="4" fillId="5" fontId="6" numFmtId="0" xfId="0" applyAlignment="1" applyBorder="1" applyFill="1" applyFont="1">
      <alignment horizontal="left" shrinkToFit="0" vertical="center" wrapText="1"/>
    </xf>
    <xf borderId="4" fillId="5" fontId="12" numFmtId="0" xfId="0" applyAlignment="1" applyBorder="1" applyFill="1" applyFont="1">
      <alignment horizontal="left" shrinkToFit="0" vertical="center" wrapText="1"/>
    </xf>
    <xf borderId="4" fillId="7" fontId="13" numFmtId="0" xfId="0" applyAlignment="1" applyBorder="1" applyFill="1" applyFont="1">
      <alignment horizontal="center" shrinkToFit="0" vertical="center" wrapText="1"/>
    </xf>
    <xf borderId="1" fillId="9" fontId="14" numFmtId="0" xfId="0" applyAlignment="1" applyBorder="1" applyFill="1" applyFont="1">
      <alignment horizontal="left" shrinkToFit="0" vertical="center" wrapText="1"/>
    </xf>
    <xf borderId="4" fillId="10" fontId="15" numFmtId="0" xfId="0" applyAlignment="1" applyBorder="1" applyFill="1" applyFont="1">
      <alignment horizontal="center" readingOrder="0" shrinkToFit="0" vertical="center" wrapText="1"/>
    </xf>
    <xf borderId="4" fillId="8" fontId="6" numFmtId="0" xfId="0" applyAlignment="1" applyBorder="1" applyFill="1" applyFont="1">
      <alignment horizontal="left" shrinkToFit="0" vertical="center" wrapText="1"/>
    </xf>
    <xf borderId="4" fillId="8" fontId="12" numFmtId="0" xfId="0" applyAlignment="1" applyBorder="1" applyFill="1" applyFont="1">
      <alignment horizontal="left" shrinkToFit="0" vertical="center" wrapText="1"/>
    </xf>
    <xf borderId="4" fillId="11" fontId="16" numFmtId="0" xfId="0" applyAlignment="1" applyBorder="1" applyFill="1" applyFont="1">
      <alignment horizontal="center" shrinkToFit="0" vertical="center" wrapText="1"/>
    </xf>
    <xf borderId="4" fillId="5" fontId="17" numFmtId="0" xfId="0" applyAlignment="1" applyBorder="1" applyFill="1" applyFont="1">
      <alignment horizontal="center" shrinkToFit="0" vertical="center" wrapText="1"/>
    </xf>
    <xf borderId="4" fillId="12" fontId="10" numFmtId="0" xfId="0" applyAlignment="1" applyBorder="1" applyFill="1" applyFont="1">
      <alignment horizontal="center" shrinkToFit="0" vertical="center" wrapText="1"/>
    </xf>
    <xf borderId="4" fillId="8" fontId="18" numFmtId="0" xfId="0" applyAlignment="1" applyBorder="1" applyFill="1" applyFont="1">
      <alignment horizontal="left" shrinkToFit="0" vertical="center" wrapText="1"/>
    </xf>
    <xf borderId="4" fillId="13" fontId="19" numFmtId="0" xfId="0" applyAlignment="1" applyBorder="1" applyFill="1" applyFont="1">
      <alignment horizontal="center" shrinkToFit="0" vertical="center" wrapText="1"/>
    </xf>
    <xf borderId="4" fillId="9" fontId="14" numFmtId="0" xfId="0" applyAlignment="1" applyBorder="1" applyFill="1" applyFont="1">
      <alignment horizontal="center" shrinkToFit="0" vertical="center" wrapText="1"/>
    </xf>
    <xf borderId="4" fillId="13" fontId="6" numFmtId="0" xfId="0" applyAlignment="1" applyBorder="1" applyFill="1" applyFont="1">
      <alignment horizontal="left" shrinkToFit="0" vertical="center" wrapText="1"/>
    </xf>
    <xf borderId="4" fillId="13" fontId="19" numFmtId="0" xfId="0" applyAlignment="1" applyBorder="1" applyFill="1" applyFont="1">
      <alignment horizontal="left" shrinkToFit="0" vertical="center" wrapText="1"/>
    </xf>
    <xf borderId="5" fillId="0" fontId="20" numFmtId="0" xfId="0" applyAlignment="1" applyBorder="1" applyFont="1">
      <alignment readingOrder="0" vertical="bottom"/>
    </xf>
    <xf borderId="4" fillId="8" fontId="18" numFmtId="0" xfId="0" applyAlignment="1" applyBorder="1" applyFill="1" applyFont="1">
      <alignment horizontal="left" readingOrder="0" shrinkToFit="0" vertical="center" wrapText="1"/>
    </xf>
    <xf borderId="4" fillId="7" fontId="21" numFmtId="0" xfId="0" applyAlignment="1" applyBorder="1" applyFill="1" applyFont="1">
      <alignment horizontal="center" readingOrder="0" shrinkToFit="0" vertical="center" wrapText="1"/>
    </xf>
    <xf borderId="4" fillId="8" fontId="18" numFmtId="3" xfId="0" applyAlignment="1" applyBorder="1" applyFill="1" applyFont="1" applyNumberFormat="1">
      <alignment horizontal="left" readingOrder="0" shrinkToFit="0" vertical="center" wrapText="1"/>
    </xf>
    <xf borderId="4" fillId="13" fontId="12" numFmtId="0" xfId="0" applyAlignment="1" applyBorder="1" applyFill="1" applyFont="1">
      <alignment horizontal="left" shrinkToFit="0" vertical="center" wrapText="1"/>
    </xf>
    <xf borderId="4" fillId="10" fontId="18" numFmtId="0" xfId="0" applyAlignment="1" applyBorder="1" applyFill="1" applyFont="1">
      <alignment horizontal="left" shrinkToFit="0" vertical="center" wrapText="1"/>
    </xf>
    <xf borderId="4" fillId="8" fontId="6" numFmtId="0" xfId="0" applyAlignment="1" applyBorder="1" applyFill="1" applyFont="1">
      <alignment horizontal="center" readingOrder="0" shrinkToFit="0" vertical="center" wrapText="1"/>
    </xf>
    <xf borderId="4" fillId="14" fontId="10" numFmtId="0" xfId="0" applyAlignment="1" applyBorder="1" applyFill="1" applyFont="1">
      <alignment horizontal="center" shrinkToFit="0" vertical="center" wrapText="1"/>
    </xf>
    <xf borderId="4" fillId="15" fontId="22" numFmtId="0" xfId="0" applyAlignment="1" applyBorder="1" applyFill="1" applyFont="1">
      <alignment horizontal="center" shrinkToFit="0" vertical="center" wrapText="1"/>
    </xf>
    <xf borderId="4" fillId="15" fontId="6" numFmtId="0" xfId="0" applyAlignment="1" applyBorder="1" applyFill="1" applyFont="1">
      <alignment horizontal="left" shrinkToFit="0" vertical="center" wrapText="1"/>
    </xf>
    <xf borderId="4" fillId="10" fontId="18" numFmtId="0" xfId="0" applyAlignment="1" applyBorder="1" applyFill="1" applyFont="1">
      <alignment horizontal="left" readingOrder="0" shrinkToFit="0" vertical="center" wrapText="1"/>
    </xf>
    <xf borderId="4" fillId="15" fontId="12" numFmtId="0" xfId="0" applyAlignment="1" applyBorder="1" applyFill="1" applyFont="1">
      <alignment horizontal="left" shrinkToFit="0" vertical="center" wrapText="1"/>
    </xf>
    <xf borderId="4" fillId="10" fontId="6" numFmtId="0" xfId="0" applyAlignment="1" applyBorder="1" applyFill="1" applyFont="1">
      <alignment horizontal="center" readingOrder="0" shrinkToFit="0" vertical="center" wrapText="1"/>
    </xf>
    <xf borderId="4" fillId="16" fontId="10" numFmtId="0" xfId="0" applyAlignment="1" applyBorder="1" applyFill="1" applyFont="1">
      <alignment horizontal="center" shrinkToFit="0" vertical="center" wrapText="1"/>
    </xf>
    <xf borderId="4" fillId="15" fontId="22" numFmtId="0" xfId="0" applyAlignment="1" applyBorder="1" applyFill="1" applyFont="1">
      <alignment horizontal="left" shrinkToFit="0" vertical="center" wrapText="1"/>
    </xf>
    <xf borderId="4" fillId="17" fontId="23" numFmtId="0" xfId="0" applyAlignment="1" applyBorder="1" applyFill="1" applyFont="1">
      <alignment horizontal="center" shrinkToFit="0" vertical="center" wrapText="1"/>
    </xf>
    <xf borderId="4" fillId="17" fontId="6" numFmtId="0" xfId="0" applyAlignment="1" applyBorder="1" applyFill="1" applyFont="1">
      <alignment horizontal="left" shrinkToFit="0" vertical="center" wrapText="1"/>
    </xf>
    <xf borderId="4" fillId="17" fontId="12" numFmtId="0" xfId="0" applyAlignment="1" applyBorder="1" applyFill="1" applyFont="1">
      <alignment horizontal="left" shrinkToFit="0" vertical="center" wrapText="1"/>
    </xf>
    <xf borderId="4" fillId="17" fontId="23" numFmtId="0" xfId="0" applyAlignment="1" applyBorder="1" applyFill="1" applyFont="1">
      <alignment horizontal="left" shrinkToFit="0" vertical="center" wrapText="1"/>
    </xf>
    <xf borderId="6" fillId="2" fontId="24" numFmtId="0" xfId="0" applyAlignment="1" applyBorder="1" applyFill="1" applyFont="1">
      <alignment horizontal="center" shrinkToFit="0" vertical="center" wrapText="1"/>
    </xf>
    <xf borderId="7" fillId="0" fontId="3" numFmtId="0" xfId="0" applyBorder="1" applyFont="1"/>
    <xf borderId="5" fillId="0" fontId="20" numFmtId="164" xfId="0" applyAlignment="1" applyBorder="1" applyFont="1" applyNumberFormat="1">
      <alignment horizontal="right" readingOrder="0" vertical="bottom"/>
    </xf>
    <xf borderId="8" fillId="0" fontId="3" numFmtId="0" xfId="0" applyBorder="1" applyFont="1"/>
    <xf borderId="5" fillId="0" fontId="20" numFmtId="0" xfId="0" applyAlignment="1" applyBorder="1" applyFont="1">
      <alignment horizontal="right" readingOrder="0" vertical="bottom"/>
    </xf>
    <xf borderId="4" fillId="18" fontId="25" numFmtId="0" xfId="0" applyAlignment="1" applyBorder="1" applyFill="1" applyFont="1">
      <alignment horizontal="center" shrinkToFit="0" vertical="center" wrapText="1"/>
    </xf>
    <xf borderId="5" fillId="0" fontId="20" numFmtId="9" xfId="0" applyAlignment="1" applyBorder="1" applyFont="1" applyNumberFormat="1">
      <alignment horizontal="right" readingOrder="0" vertical="bottom"/>
    </xf>
    <xf borderId="4" fillId="18" fontId="26" numFmtId="0" xfId="0" applyAlignment="1" applyBorder="1" applyFill="1" applyFont="1">
      <alignment horizontal="center" shrinkToFit="0" vertical="center" wrapText="1"/>
    </xf>
    <xf borderId="4" fillId="2" fontId="24" numFmtId="0" xfId="0" applyAlignment="1" applyBorder="1" applyFill="1" applyFont="1">
      <alignment horizontal="center" shrinkToFit="0" vertical="center" wrapText="1"/>
    </xf>
    <xf borderId="4" fillId="18" fontId="27" numFmtId="0" xfId="0" applyAlignment="1" applyBorder="1" applyFill="1" applyFont="1">
      <alignment horizontal="center" shrinkToFit="0" vertical="center" wrapText="1"/>
    </xf>
    <xf borderId="4" fillId="8" fontId="18" numFmtId="9" xfId="0" applyAlignment="1" applyBorder="1" applyFill="1" applyFont="1" applyNumberFormat="1">
      <alignment horizontal="left" readingOrder="0" shrinkToFit="0" vertical="center" wrapText="1"/>
    </xf>
    <xf borderId="5" fillId="0" fontId="20" numFmtId="3" xfId="0" applyAlignment="1" applyBorder="1" applyFont="1" applyNumberFormat="1">
      <alignment horizontal="right" readingOrder="0" vertical="bottom"/>
    </xf>
    <xf borderId="1" fillId="7" fontId="13" numFmtId="0" xfId="0" applyAlignment="1" applyBorder="1" applyFill="1" applyFont="1">
      <alignment horizontal="left" shrinkToFit="0" vertical="center" wrapText="1"/>
    </xf>
    <xf borderId="1" fillId="14" fontId="2" numFmtId="0" xfId="0" applyAlignment="1" applyBorder="1" applyFill="1" applyFont="1">
      <alignment horizontal="left" shrinkToFit="0" vertical="center" wrapText="1"/>
    </xf>
    <xf borderId="4" fillId="10" fontId="18" numFmtId="3" xfId="0" applyAlignment="1" applyBorder="1" applyFill="1" applyFont="1" applyNumberFormat="1">
      <alignment horizontal="left" readingOrder="0" shrinkToFit="0" vertical="center" wrapText="1"/>
    </xf>
    <xf borderId="4" fillId="9" fontId="14" numFmtId="0" xfId="0" applyAlignment="1" applyBorder="1" applyFill="1" applyFont="1">
      <alignment horizontal="left" shrinkToFit="0" vertical="center" wrapText="1"/>
    </xf>
    <xf borderId="4" fillId="8" fontId="11" numFmtId="0" xfId="0" applyAlignment="1" applyBorder="1" applyFill="1" applyFont="1">
      <alignment horizontal="center" shrinkToFit="0" vertical="center" wrapText="1"/>
    </xf>
    <xf borderId="4" fillId="10" fontId="15" numFmtId="0" xfId="0" applyAlignment="1" applyBorder="1" applyFill="1" applyFont="1">
      <alignment horizontal="center" shrinkToFit="0" vertical="center" wrapText="1"/>
    </xf>
    <xf borderId="4" fillId="7" fontId="13" numFmtId="0" xfId="0" applyAlignment="1" applyBorder="1" applyFill="1" applyFont="1">
      <alignment horizontal="left" shrinkToFit="0" vertical="center" wrapText="1"/>
    </xf>
    <xf borderId="1" fillId="7" fontId="28" numFmtId="0" xfId="0" applyAlignment="1" applyBorder="1" applyFill="1" applyFont="1">
      <alignment horizontal="left" shrinkToFit="0" vertical="center" wrapText="1"/>
    </xf>
    <xf borderId="1" fillId="15" fontId="22" numFmtId="0" xfId="0" applyAlignment="1" applyBorder="1" applyFill="1" applyFont="1">
      <alignment horizontal="left" shrinkToFit="0" vertical="center" wrapText="1"/>
    </xf>
    <xf borderId="4" fillId="10" fontId="18" numFmtId="165" xfId="0" applyAlignment="1" applyBorder="1" applyFill="1" applyFont="1" applyNumberFormat="1">
      <alignment horizontal="left" readingOrder="0" shrinkToFit="0" vertical="center" wrapText="1"/>
    </xf>
    <xf borderId="4" fillId="5" fontId="29" numFmtId="0" xfId="0" applyAlignment="1" applyBorder="1" applyFill="1" applyFont="1">
      <alignment horizontal="center" shrinkToFit="0" vertical="center" wrapText="1"/>
    </xf>
    <xf borderId="4" fillId="10" fontId="18" numFmtId="9" xfId="0" applyAlignment="1" applyBorder="1" applyFill="1" applyFont="1" applyNumberFormat="1">
      <alignment horizontal="left" readingOrder="0" shrinkToFit="0" vertical="center" wrapText="1"/>
    </xf>
    <xf borderId="1" fillId="12" fontId="2" numFmtId="0" xfId="0" applyAlignment="1" applyBorder="1" applyFill="1" applyFont="1">
      <alignment horizontal="center" shrinkToFit="0" vertical="center" wrapText="1"/>
    </xf>
    <xf borderId="1" fillId="13" fontId="30" numFmtId="0" xfId="0" applyAlignment="1" applyBorder="1" applyFill="1" applyFont="1">
      <alignment horizontal="left" shrinkToFit="0" vertical="center" wrapText="1"/>
    </xf>
    <xf borderId="4" fillId="13" fontId="31" numFmtId="0" xfId="0" applyAlignment="1" applyBorder="1" applyFill="1" applyFont="1">
      <alignment horizontal="center" shrinkToFit="0" vertical="center" wrapText="1"/>
    </xf>
    <xf borderId="4" fillId="7" fontId="21" numFmtId="0" xfId="0" applyAlignment="1" applyBorder="1" applyFill="1" applyFont="1">
      <alignment horizontal="center" shrinkToFit="0" vertical="center" wrapText="1"/>
    </xf>
    <xf borderId="4" fillId="13" fontId="32" numFmtId="0" xfId="0" applyAlignment="1" applyBorder="1" applyFill="1" applyFont="1">
      <alignment horizontal="center" shrinkToFit="0" vertical="center" wrapText="1"/>
    </xf>
    <xf borderId="4" fillId="8" fontId="18" numFmtId="165" xfId="0" applyAlignment="1" applyBorder="1" applyFill="1" applyFont="1" applyNumberFormat="1">
      <alignment horizontal="left" readingOrder="0" shrinkToFit="0" vertical="center" wrapText="1"/>
    </xf>
    <xf borderId="1" fillId="14" fontId="2" numFmtId="0" xfId="0" applyAlignment="1" applyBorder="1" applyFill="1" applyFont="1">
      <alignment horizontal="center" shrinkToFit="0" vertical="center" wrapText="1"/>
    </xf>
    <xf borderId="1" fillId="15" fontId="33" numFmtId="0" xfId="0" applyAlignment="1" applyBorder="1" applyFill="1" applyFont="1">
      <alignment horizontal="left" shrinkToFit="0" vertical="center" wrapText="1"/>
    </xf>
    <xf borderId="4" fillId="15" fontId="34" numFmtId="0" xfId="0" applyAlignment="1" applyBorder="1" applyFill="1" applyFont="1">
      <alignment horizontal="center" shrinkToFit="0" vertical="center" wrapText="1"/>
    </xf>
    <xf borderId="4" fillId="15" fontId="35" numFmtId="0" xfId="0" applyAlignment="1" applyBorder="1" applyFill="1" applyFont="1">
      <alignment horizontal="center" shrinkToFit="0" vertical="center" wrapText="1"/>
    </xf>
    <xf borderId="4" fillId="10" fontId="18" numFmtId="166" xfId="0" applyAlignment="1" applyBorder="1" applyFill="1" applyFont="1" applyNumberFormat="1">
      <alignment horizontal="left" readingOrder="0" shrinkToFit="0" vertical="center" wrapText="1"/>
    </xf>
    <xf borderId="4" fillId="10" fontId="18" numFmtId="167" xfId="0" applyAlignment="1" applyBorder="1" applyFill="1" applyFont="1" applyNumberFormat="1">
      <alignment horizontal="left" readingOrder="0" shrinkToFit="0" vertical="center" wrapText="1"/>
    </xf>
    <xf borderId="1" fillId="16" fontId="2" numFmtId="0" xfId="0" applyAlignment="1" applyBorder="1" applyFill="1" applyFont="1">
      <alignment horizontal="center" shrinkToFit="0" vertical="center" wrapText="1"/>
    </xf>
    <xf borderId="1" fillId="17" fontId="36" numFmtId="0" xfId="0" applyAlignment="1" applyBorder="1" applyFill="1" applyFont="1">
      <alignment horizontal="left" shrinkToFit="0" vertical="center" wrapText="1"/>
    </xf>
    <xf borderId="4" fillId="17" fontId="37" numFmtId="0" xfId="0" applyAlignment="1" applyBorder="1" applyFill="1" applyFont="1">
      <alignment horizontal="center" shrinkToFit="0" vertical="center" wrapText="1"/>
    </xf>
    <xf borderId="4" fillId="17" fontId="38" numFmtId="0" xfId="0" applyAlignment="1" applyBorder="1" applyFill="1" applyFont="1">
      <alignment horizontal="center" shrinkToFit="0" vertical="center" wrapText="1"/>
    </xf>
    <xf borderId="1" fillId="2" fontId="39" numFmtId="0" xfId="0" applyAlignment="1" applyBorder="1" applyFill="1" applyFont="1">
      <alignment horizontal="center" shrinkToFit="0" vertical="center" wrapText="1"/>
    </xf>
    <xf borderId="1" fillId="9" fontId="40" numFmtId="0" xfId="0" applyAlignment="1" applyBorder="1" applyFill="1" applyFont="1">
      <alignment horizontal="left" shrinkToFit="0" vertical="center" wrapText="1"/>
    </xf>
    <xf borderId="4" fillId="19" fontId="7" numFmtId="0" xfId="0" applyAlignment="1" applyBorder="1" applyFill="1" applyFont="1">
      <alignment horizontal="center" shrinkToFit="0" vertical="center" wrapText="1"/>
    </xf>
    <xf borderId="4" fillId="9" fontId="41" numFmtId="0" xfId="0" applyAlignment="1" applyBorder="1" applyFill="1" applyFont="1">
      <alignment horizontal="center" shrinkToFit="0" vertical="center" wrapText="1"/>
    </xf>
    <xf borderId="4" fillId="8" fontId="6" numFmtId="0" xfId="0" applyAlignment="1" applyBorder="1" applyFill="1" applyFont="1">
      <alignment horizontal="center" shrinkToFit="0" vertical="center" wrapText="1"/>
    </xf>
    <xf borderId="4" fillId="10" fontId="6" numFmtId="0" xfId="0" applyAlignment="1" applyBorder="1" applyFill="1" applyFont="1">
      <alignment horizontal="center" shrinkToFit="0" vertical="center" wrapText="1"/>
    </xf>
    <xf borderId="4" fillId="9" fontId="42" numFmtId="0" xfId="0" applyAlignment="1" applyBorder="1" applyFill="1" applyFont="1">
      <alignment horizontal="center" shrinkToFit="0" vertical="center" wrapText="1"/>
    </xf>
    <xf borderId="4" fillId="7" fontId="43" numFmtId="0" xfId="0" applyAlignment="1" applyBorder="1" applyFill="1" applyFont="1">
      <alignment horizontal="center" shrinkToFit="0" vertical="center" wrapText="1"/>
    </xf>
    <xf borderId="4" fillId="14" fontId="7" numFmtId="0" xfId="0" applyAlignment="1" applyBorder="1" applyFill="1" applyFont="1">
      <alignment horizontal="center" shrinkToFit="0" vertical="center" wrapText="1"/>
    </xf>
    <xf borderId="4" fillId="7" fontId="44" numFmtId="0" xfId="0" applyAlignment="1" applyBorder="1" applyFill="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2" width="22.0"/>
    <col customWidth="1" min="3" max="3" width="28.0"/>
    <col customWidth="1" min="4" max="4" width="52.0"/>
    <col customWidth="1" min="5" max="5" width="12.0"/>
    <col customWidth="1" min="6" max="6" width="14.0"/>
    <col customWidth="1" min="7" max="26" width="8.71"/>
  </cols>
  <sheetData>
    <row r="1" ht="45.0" customHeight="1">
      <c r="A1" s="1" t="s">
        <v>1</v>
      </c>
      <c r="B1" s="3"/>
      <c r="C1" s="3"/>
      <c r="D1" s="3"/>
      <c r="E1" s="3"/>
      <c r="F1" s="4"/>
    </row>
    <row r="2" ht="19.5" customHeight="1">
      <c r="A2" s="6" t="s">
        <v>5</v>
      </c>
      <c r="B2" s="3"/>
      <c r="C2" s="3"/>
      <c r="D2" s="3"/>
      <c r="E2" s="3"/>
      <c r="F2" s="4"/>
    </row>
    <row r="3" ht="24.75" customHeight="1">
      <c r="A3" s="9" t="s">
        <v>9</v>
      </c>
      <c r="B3" s="9" t="s">
        <v>14</v>
      </c>
      <c r="C3" s="9" t="s">
        <v>16</v>
      </c>
      <c r="D3" s="9" t="s">
        <v>18</v>
      </c>
      <c r="E3" s="9" t="s">
        <v>19</v>
      </c>
      <c r="F3" s="9" t="s">
        <v>17</v>
      </c>
    </row>
    <row r="4" ht="45.0" customHeight="1">
      <c r="A4" s="12" t="s">
        <v>21</v>
      </c>
      <c r="B4" s="14" t="s">
        <v>23</v>
      </c>
      <c r="C4" s="15" t="s">
        <v>30</v>
      </c>
      <c r="D4" s="16" t="s">
        <v>34</v>
      </c>
      <c r="E4" s="17">
        <v>45.0</v>
      </c>
      <c r="F4" s="19" t="s">
        <v>38</v>
      </c>
    </row>
    <row r="5" ht="45.0" customHeight="1">
      <c r="A5" s="12" t="s">
        <v>39</v>
      </c>
      <c r="B5" s="14" t="s">
        <v>23</v>
      </c>
      <c r="C5" s="20" t="s">
        <v>40</v>
      </c>
      <c r="D5" s="21" t="s">
        <v>41</v>
      </c>
      <c r="E5" s="17">
        <v>45.0</v>
      </c>
      <c r="F5" s="19" t="s">
        <v>38</v>
      </c>
    </row>
    <row r="6" ht="45.0" customHeight="1">
      <c r="A6" s="12" t="s">
        <v>42</v>
      </c>
      <c r="B6" s="14" t="s">
        <v>23</v>
      </c>
      <c r="C6" s="15" t="s">
        <v>43</v>
      </c>
      <c r="D6" s="16" t="s">
        <v>45</v>
      </c>
      <c r="E6" s="17">
        <v>45.0</v>
      </c>
      <c r="F6" s="19" t="s">
        <v>38</v>
      </c>
    </row>
    <row r="7" ht="45.0" customHeight="1">
      <c r="A7" s="12" t="s">
        <v>46</v>
      </c>
      <c r="B7" s="14" t="s">
        <v>23</v>
      </c>
      <c r="C7" s="20" t="s">
        <v>47</v>
      </c>
      <c r="D7" s="21" t="s">
        <v>48</v>
      </c>
      <c r="E7" s="17">
        <v>45.0</v>
      </c>
      <c r="F7" s="19" t="s">
        <v>38</v>
      </c>
    </row>
    <row r="8" ht="45.0" customHeight="1">
      <c r="A8" s="24" t="s">
        <v>50</v>
      </c>
      <c r="B8" s="26" t="s">
        <v>53</v>
      </c>
      <c r="C8" s="28" t="s">
        <v>55</v>
      </c>
      <c r="D8" s="34" t="s">
        <v>58</v>
      </c>
      <c r="E8" s="17">
        <v>45.0</v>
      </c>
      <c r="F8" s="19" t="s">
        <v>38</v>
      </c>
    </row>
    <row r="9" ht="45.0" customHeight="1">
      <c r="A9" s="24" t="s">
        <v>71</v>
      </c>
      <c r="B9" s="26" t="s">
        <v>53</v>
      </c>
      <c r="C9" s="20" t="s">
        <v>72</v>
      </c>
      <c r="D9" s="21" t="s">
        <v>73</v>
      </c>
      <c r="E9" s="17">
        <v>45.0</v>
      </c>
      <c r="F9" s="19" t="s">
        <v>38</v>
      </c>
    </row>
    <row r="10" ht="45.0" customHeight="1">
      <c r="A10" s="24" t="s">
        <v>77</v>
      </c>
      <c r="B10" s="26" t="s">
        <v>53</v>
      </c>
      <c r="C10" s="28" t="s">
        <v>80</v>
      </c>
      <c r="D10" s="34" t="s">
        <v>82</v>
      </c>
      <c r="E10" s="17">
        <v>45.0</v>
      </c>
      <c r="F10" s="19" t="s">
        <v>38</v>
      </c>
    </row>
    <row r="11" ht="45.0" customHeight="1">
      <c r="A11" s="37" t="s">
        <v>84</v>
      </c>
      <c r="B11" s="38" t="s">
        <v>86</v>
      </c>
      <c r="C11" s="20" t="s">
        <v>89</v>
      </c>
      <c r="D11" s="21" t="s">
        <v>90</v>
      </c>
      <c r="E11" s="17">
        <v>45.0</v>
      </c>
      <c r="F11" s="19" t="s">
        <v>38</v>
      </c>
    </row>
    <row r="12" ht="45.0" customHeight="1">
      <c r="A12" s="37" t="s">
        <v>91</v>
      </c>
      <c r="B12" s="38" t="s">
        <v>86</v>
      </c>
      <c r="C12" s="39" t="s">
        <v>92</v>
      </c>
      <c r="D12" s="41" t="s">
        <v>94</v>
      </c>
      <c r="E12" s="17">
        <v>45.0</v>
      </c>
      <c r="F12" s="19" t="s">
        <v>38</v>
      </c>
    </row>
    <row r="13" ht="45.0" customHeight="1">
      <c r="A13" s="37" t="s">
        <v>98</v>
      </c>
      <c r="B13" s="38" t="s">
        <v>86</v>
      </c>
      <c r="C13" s="20" t="s">
        <v>104</v>
      </c>
      <c r="D13" s="21" t="s">
        <v>107</v>
      </c>
      <c r="E13" s="17">
        <v>45.0</v>
      </c>
      <c r="F13" s="19" t="s">
        <v>38</v>
      </c>
    </row>
    <row r="14" ht="45.0" customHeight="1">
      <c r="A14" s="37" t="s">
        <v>109</v>
      </c>
      <c r="B14" s="38" t="s">
        <v>86</v>
      </c>
      <c r="C14" s="39" t="s">
        <v>111</v>
      </c>
      <c r="D14" s="41" t="s">
        <v>112</v>
      </c>
      <c r="E14" s="17">
        <v>45.0</v>
      </c>
      <c r="F14" s="19" t="s">
        <v>38</v>
      </c>
    </row>
    <row r="15" ht="45.0" customHeight="1">
      <c r="A15" s="43" t="s">
        <v>117</v>
      </c>
      <c r="B15" s="45" t="s">
        <v>124</v>
      </c>
      <c r="C15" s="20" t="s">
        <v>130</v>
      </c>
      <c r="D15" s="21" t="s">
        <v>131</v>
      </c>
      <c r="E15" s="17">
        <v>45.0</v>
      </c>
      <c r="F15" s="19" t="s">
        <v>38</v>
      </c>
    </row>
    <row r="16" ht="45.0" customHeight="1">
      <c r="A16" s="43" t="s">
        <v>133</v>
      </c>
      <c r="B16" s="45" t="s">
        <v>124</v>
      </c>
      <c r="C16" s="46" t="s">
        <v>138</v>
      </c>
      <c r="D16" s="47" t="s">
        <v>146</v>
      </c>
      <c r="E16" s="17">
        <v>45.0</v>
      </c>
      <c r="F16" s="19" t="s">
        <v>38</v>
      </c>
    </row>
    <row r="17" ht="45.0" customHeight="1">
      <c r="A17" s="43" t="s">
        <v>170</v>
      </c>
      <c r="B17" s="45" t="s">
        <v>124</v>
      </c>
      <c r="C17" s="20" t="s">
        <v>171</v>
      </c>
      <c r="D17" s="21" t="s">
        <v>172</v>
      </c>
      <c r="E17" s="17">
        <v>45.0</v>
      </c>
      <c r="F17" s="19" t="s">
        <v>38</v>
      </c>
    </row>
    <row r="18" ht="45.0" customHeight="1">
      <c r="A18" s="43" t="s">
        <v>176</v>
      </c>
      <c r="B18" s="45" t="s">
        <v>124</v>
      </c>
      <c r="C18" s="46" t="s">
        <v>178</v>
      </c>
      <c r="D18" s="47" t="s">
        <v>180</v>
      </c>
      <c r="E18" s="17">
        <v>45.0</v>
      </c>
      <c r="F18" s="19" t="s">
        <v>38</v>
      </c>
    </row>
    <row r="19" ht="24.75" customHeight="1">
      <c r="A19" s="49" t="s">
        <v>183</v>
      </c>
      <c r="B19" s="50"/>
      <c r="C19" s="50"/>
      <c r="D19" s="52"/>
      <c r="E19" s="54">
        <f>SUM(E4:E18)</f>
        <v>675</v>
      </c>
      <c r="F19" s="56" t="s">
        <v>222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F1"/>
    <mergeCell ref="A2:F2"/>
    <mergeCell ref="A19:D19"/>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6" width="14.0"/>
    <col customWidth="1" min="7" max="26" width="8.71"/>
  </cols>
  <sheetData>
    <row r="1" ht="39.75" customHeight="1">
      <c r="A1" s="1" t="s">
        <v>0</v>
      </c>
      <c r="B1" s="3"/>
      <c r="C1" s="3"/>
      <c r="D1" s="3"/>
      <c r="E1" s="3"/>
      <c r="F1" s="4"/>
    </row>
    <row r="3" ht="27.75" customHeight="1">
      <c r="A3" s="5" t="s">
        <v>4</v>
      </c>
      <c r="B3" s="3"/>
      <c r="C3" s="3"/>
      <c r="D3" s="3"/>
      <c r="E3" s="3"/>
      <c r="F3" s="4"/>
    </row>
    <row r="4" ht="21.75" customHeight="1">
      <c r="A4" s="8" t="s">
        <v>8</v>
      </c>
      <c r="B4" s="8" t="s">
        <v>10</v>
      </c>
      <c r="C4" s="8" t="s">
        <v>12</v>
      </c>
      <c r="D4" s="8" t="s">
        <v>13</v>
      </c>
      <c r="E4" s="8" t="s">
        <v>15</v>
      </c>
      <c r="F4" s="8" t="s">
        <v>17</v>
      </c>
    </row>
    <row r="5" ht="21.75" customHeight="1">
      <c r="A5" s="11" t="s">
        <v>20</v>
      </c>
      <c r="B5" s="13">
        <v>15.0</v>
      </c>
      <c r="C5" s="13">
        <v>15.0</v>
      </c>
      <c r="D5" s="13">
        <v>15.0</v>
      </c>
      <c r="E5" s="22">
        <f t="shared" ref="E5:E19" si="1">B5+C5+D5</f>
        <v>45</v>
      </c>
      <c r="F5" s="19" t="s">
        <v>38</v>
      </c>
    </row>
    <row r="6" ht="21.75" customHeight="1">
      <c r="A6" s="11" t="s">
        <v>49</v>
      </c>
      <c r="B6" s="13">
        <v>15.0</v>
      </c>
      <c r="C6" s="13">
        <v>15.0</v>
      </c>
      <c r="D6" s="13">
        <v>15.0</v>
      </c>
      <c r="E6" s="22">
        <f t="shared" si="1"/>
        <v>45</v>
      </c>
      <c r="F6" s="19" t="s">
        <v>38</v>
      </c>
    </row>
    <row r="7" ht="21.75" customHeight="1">
      <c r="A7" s="11" t="s">
        <v>51</v>
      </c>
      <c r="B7" s="13">
        <v>15.0</v>
      </c>
      <c r="C7" s="13">
        <v>15.0</v>
      </c>
      <c r="D7" s="13">
        <v>15.0</v>
      </c>
      <c r="E7" s="22">
        <f t="shared" si="1"/>
        <v>45</v>
      </c>
      <c r="F7" s="19" t="s">
        <v>38</v>
      </c>
    </row>
    <row r="8" ht="21.75" customHeight="1">
      <c r="A8" s="11" t="s">
        <v>54</v>
      </c>
      <c r="B8" s="13">
        <v>15.0</v>
      </c>
      <c r="C8" s="13">
        <v>15.0</v>
      </c>
      <c r="D8" s="13">
        <v>15.0</v>
      </c>
      <c r="E8" s="22">
        <f t="shared" si="1"/>
        <v>45</v>
      </c>
      <c r="F8" s="19" t="s">
        <v>38</v>
      </c>
    </row>
    <row r="9" ht="21.75" customHeight="1">
      <c r="A9" s="29" t="s">
        <v>56</v>
      </c>
      <c r="B9" s="13">
        <v>15.0</v>
      </c>
      <c r="C9" s="13">
        <v>15.0</v>
      </c>
      <c r="D9" s="13">
        <v>15.0</v>
      </c>
      <c r="E9" s="22">
        <f t="shared" si="1"/>
        <v>45</v>
      </c>
      <c r="F9" s="19" t="s">
        <v>38</v>
      </c>
    </row>
    <row r="10" ht="21.75" customHeight="1">
      <c r="A10" s="29" t="s">
        <v>62</v>
      </c>
      <c r="B10" s="13">
        <v>15.0</v>
      </c>
      <c r="C10" s="13">
        <v>15.0</v>
      </c>
      <c r="D10" s="13">
        <v>15.0</v>
      </c>
      <c r="E10" s="22">
        <f t="shared" si="1"/>
        <v>45</v>
      </c>
      <c r="F10" s="19" t="s">
        <v>38</v>
      </c>
    </row>
    <row r="11" ht="21.75" customHeight="1">
      <c r="A11" s="29" t="s">
        <v>68</v>
      </c>
      <c r="B11" s="13">
        <v>15.0</v>
      </c>
      <c r="C11" s="13">
        <v>15.0</v>
      </c>
      <c r="D11" s="13">
        <v>15.0</v>
      </c>
      <c r="E11" s="22">
        <f t="shared" si="1"/>
        <v>45</v>
      </c>
      <c r="F11" s="19" t="s">
        <v>38</v>
      </c>
    </row>
    <row r="12" ht="21.75" customHeight="1">
      <c r="A12" s="44" t="s">
        <v>118</v>
      </c>
      <c r="B12" s="13">
        <v>15.0</v>
      </c>
      <c r="C12" s="13">
        <v>15.0</v>
      </c>
      <c r="D12" s="13">
        <v>15.0</v>
      </c>
      <c r="E12" s="22">
        <f t="shared" si="1"/>
        <v>45</v>
      </c>
      <c r="F12" s="19" t="s">
        <v>38</v>
      </c>
    </row>
    <row r="13" ht="21.75" customHeight="1">
      <c r="A13" s="44" t="s">
        <v>135</v>
      </c>
      <c r="B13" s="13">
        <v>15.0</v>
      </c>
      <c r="C13" s="13">
        <v>15.0</v>
      </c>
      <c r="D13" s="13">
        <v>15.0</v>
      </c>
      <c r="E13" s="22">
        <f t="shared" si="1"/>
        <v>45</v>
      </c>
      <c r="F13" s="19" t="s">
        <v>38</v>
      </c>
    </row>
    <row r="14" ht="21.75" customHeight="1">
      <c r="A14" s="44" t="s">
        <v>149</v>
      </c>
      <c r="B14" s="13">
        <v>15.0</v>
      </c>
      <c r="C14" s="13">
        <v>15.0</v>
      </c>
      <c r="D14" s="13">
        <v>15.0</v>
      </c>
      <c r="E14" s="22">
        <f t="shared" si="1"/>
        <v>45</v>
      </c>
      <c r="F14" s="19" t="s">
        <v>38</v>
      </c>
    </row>
    <row r="15" ht="21.75" customHeight="1">
      <c r="A15" s="44" t="s">
        <v>158</v>
      </c>
      <c r="B15" s="13">
        <v>15.0</v>
      </c>
      <c r="C15" s="13">
        <v>15.0</v>
      </c>
      <c r="D15" s="13">
        <v>15.0</v>
      </c>
      <c r="E15" s="22">
        <f t="shared" si="1"/>
        <v>45</v>
      </c>
      <c r="F15" s="19" t="s">
        <v>38</v>
      </c>
    </row>
    <row r="16" ht="21.75" customHeight="1">
      <c r="A16" s="48" t="s">
        <v>166</v>
      </c>
      <c r="B16" s="13">
        <v>15.0</v>
      </c>
      <c r="C16" s="13">
        <v>15.0</v>
      </c>
      <c r="D16" s="13">
        <v>15.0</v>
      </c>
      <c r="E16" s="22">
        <f t="shared" si="1"/>
        <v>45</v>
      </c>
      <c r="F16" s="19" t="s">
        <v>38</v>
      </c>
    </row>
    <row r="17" ht="21.75" customHeight="1">
      <c r="A17" s="48" t="s">
        <v>186</v>
      </c>
      <c r="B17" s="13">
        <v>15.0</v>
      </c>
      <c r="C17" s="13">
        <v>15.0</v>
      </c>
      <c r="D17" s="13">
        <v>15.0</v>
      </c>
      <c r="E17" s="22">
        <f t="shared" si="1"/>
        <v>45</v>
      </c>
      <c r="F17" s="19" t="s">
        <v>38</v>
      </c>
    </row>
    <row r="18" ht="21.75" customHeight="1">
      <c r="A18" s="48" t="s">
        <v>193</v>
      </c>
      <c r="B18" s="13">
        <v>15.0</v>
      </c>
      <c r="C18" s="13">
        <v>15.0</v>
      </c>
      <c r="D18" s="13">
        <v>15.0</v>
      </c>
      <c r="E18" s="22">
        <f t="shared" si="1"/>
        <v>45</v>
      </c>
      <c r="F18" s="19" t="s">
        <v>38</v>
      </c>
    </row>
    <row r="19" ht="21.75" customHeight="1">
      <c r="A19" s="48" t="s">
        <v>209</v>
      </c>
      <c r="B19" s="13">
        <v>15.0</v>
      </c>
      <c r="C19" s="13">
        <v>15.0</v>
      </c>
      <c r="D19" s="13">
        <v>15.0</v>
      </c>
      <c r="E19" s="22">
        <f t="shared" si="1"/>
        <v>45</v>
      </c>
      <c r="F19" s="19" t="s">
        <v>38</v>
      </c>
    </row>
    <row r="20" ht="24.75" customHeight="1">
      <c r="A20" s="57" t="s">
        <v>219</v>
      </c>
      <c r="B20" s="58">
        <f t="shared" ref="B20:E20" si="2">SUM(B5:B19)</f>
        <v>225</v>
      </c>
      <c r="C20" s="58">
        <f t="shared" si="2"/>
        <v>225</v>
      </c>
      <c r="D20" s="58">
        <f t="shared" si="2"/>
        <v>225</v>
      </c>
      <c r="E20" s="58">
        <f t="shared" si="2"/>
        <v>675</v>
      </c>
      <c r="F20" s="56" t="s">
        <v>258</v>
      </c>
    </row>
    <row r="21" ht="15.75" customHeight="1"/>
    <row r="22" ht="27.75" customHeight="1">
      <c r="A22" s="62" t="s">
        <v>267</v>
      </c>
      <c r="B22" s="3"/>
      <c r="C22" s="3"/>
      <c r="D22" s="3"/>
      <c r="E22" s="3"/>
      <c r="F22" s="4"/>
    </row>
    <row r="23" ht="21.75" customHeight="1">
      <c r="A23" s="8" t="s">
        <v>277</v>
      </c>
      <c r="B23" s="8" t="s">
        <v>10</v>
      </c>
      <c r="C23" s="8" t="s">
        <v>12</v>
      </c>
      <c r="D23" s="8" t="s">
        <v>13</v>
      </c>
      <c r="E23" s="8" t="s">
        <v>15</v>
      </c>
      <c r="F23" s="8" t="s">
        <v>17</v>
      </c>
    </row>
    <row r="24" ht="21.75" customHeight="1">
      <c r="A24" s="64" t="s">
        <v>288</v>
      </c>
      <c r="B24" s="65">
        <v>0.0</v>
      </c>
      <c r="C24" s="65">
        <v>0.0</v>
      </c>
      <c r="D24" s="65">
        <v>0.0</v>
      </c>
      <c r="E24" s="27">
        <f t="shared" ref="E24:E26" si="3">B24+C24+D24</f>
        <v>0</v>
      </c>
      <c r="F24" s="66" t="s">
        <v>327</v>
      </c>
    </row>
    <row r="25" ht="21.75" customHeight="1">
      <c r="A25" s="67" t="s">
        <v>336</v>
      </c>
      <c r="B25" s="65">
        <v>0.0</v>
      </c>
      <c r="C25" s="65">
        <v>0.0</v>
      </c>
      <c r="D25" s="65">
        <v>0.0</v>
      </c>
      <c r="E25" s="17">
        <f t="shared" si="3"/>
        <v>0</v>
      </c>
      <c r="F25" s="66" t="s">
        <v>327</v>
      </c>
    </row>
    <row r="26" ht="21.75" customHeight="1">
      <c r="A26" s="44" t="s">
        <v>353</v>
      </c>
      <c r="B26" s="65">
        <v>0.0</v>
      </c>
      <c r="C26" s="65">
        <v>0.0</v>
      </c>
      <c r="D26" s="65">
        <v>0.0</v>
      </c>
      <c r="E26" s="38">
        <f t="shared" si="3"/>
        <v>0</v>
      </c>
      <c r="F26" s="66" t="s">
        <v>327</v>
      </c>
    </row>
    <row r="27" ht="24.75" customHeight="1">
      <c r="A27" s="57" t="s">
        <v>365</v>
      </c>
      <c r="B27" s="58">
        <f t="shared" ref="B27:E27" si="4">SUM(B24:B26)</f>
        <v>0</v>
      </c>
      <c r="C27" s="58">
        <f t="shared" si="4"/>
        <v>0</v>
      </c>
      <c r="D27" s="58">
        <f t="shared" si="4"/>
        <v>0</v>
      </c>
      <c r="E27" s="58">
        <f t="shared" si="4"/>
        <v>0</v>
      </c>
      <c r="F27" s="56" t="s">
        <v>378</v>
      </c>
    </row>
    <row r="28" ht="15.75" customHeight="1"/>
    <row r="29" ht="30.0" customHeight="1">
      <c r="A29" s="68" t="s">
        <v>387</v>
      </c>
      <c r="B29" s="3"/>
      <c r="C29" s="3"/>
      <c r="D29" s="3"/>
      <c r="E29" s="3"/>
      <c r="F29" s="4"/>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F1"/>
    <mergeCell ref="A3:F3"/>
    <mergeCell ref="A22:F22"/>
    <mergeCell ref="A29:F29"/>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2" t="s">
        <v>2</v>
      </c>
      <c r="B1" s="3"/>
      <c r="C1" s="3"/>
      <c r="D1" s="3"/>
      <c r="E1" s="3"/>
      <c r="F1" s="3"/>
      <c r="G1" s="3"/>
      <c r="H1" s="3"/>
      <c r="I1" s="3"/>
      <c r="J1" s="3"/>
      <c r="K1" s="3"/>
      <c r="L1" s="3"/>
      <c r="M1" s="3"/>
      <c r="N1" s="3"/>
      <c r="O1" s="4"/>
    </row>
    <row r="2" ht="30.0" customHeight="1">
      <c r="A2" s="7" t="s">
        <v>7</v>
      </c>
      <c r="B2" s="3"/>
      <c r="C2" s="3"/>
      <c r="D2" s="3"/>
      <c r="E2" s="3"/>
      <c r="F2" s="3"/>
      <c r="G2" s="3"/>
      <c r="H2" s="3"/>
      <c r="I2" s="3"/>
      <c r="J2" s="3"/>
      <c r="K2" s="3"/>
      <c r="L2" s="3"/>
      <c r="M2" s="3"/>
      <c r="N2" s="3"/>
      <c r="O2" s="4"/>
    </row>
    <row r="3" ht="19.5" customHeight="1">
      <c r="A3" s="10" t="s">
        <v>11</v>
      </c>
      <c r="B3" s="3"/>
      <c r="C3" s="3"/>
      <c r="D3" s="3"/>
      <c r="E3" s="3"/>
      <c r="F3" s="3"/>
      <c r="G3" s="3"/>
      <c r="H3" s="3"/>
      <c r="I3" s="3"/>
      <c r="J3" s="3"/>
      <c r="K3" s="3"/>
      <c r="L3" s="3"/>
      <c r="M3" s="3"/>
      <c r="N3" s="3"/>
      <c r="O3" s="4"/>
    </row>
    <row r="4" ht="24.75" customHeight="1">
      <c r="A4" s="9" t="s">
        <v>22</v>
      </c>
      <c r="B4" s="9" t="s">
        <v>8</v>
      </c>
      <c r="C4" s="9" t="s">
        <v>14</v>
      </c>
      <c r="D4" s="9" t="s">
        <v>24</v>
      </c>
      <c r="E4" s="9" t="s">
        <v>25</v>
      </c>
      <c r="F4" s="9" t="s">
        <v>26</v>
      </c>
      <c r="G4" s="9" t="s">
        <v>27</v>
      </c>
      <c r="H4" s="9" t="s">
        <v>28</v>
      </c>
      <c r="I4" s="9" t="s">
        <v>29</v>
      </c>
      <c r="J4" s="9" t="s">
        <v>31</v>
      </c>
      <c r="K4" s="9" t="s">
        <v>32</v>
      </c>
      <c r="L4" s="9" t="s">
        <v>33</v>
      </c>
      <c r="M4" s="9" t="s">
        <v>17</v>
      </c>
      <c r="N4" s="9" t="s">
        <v>35</v>
      </c>
      <c r="O4" s="9" t="s">
        <v>36</v>
      </c>
    </row>
    <row r="5" ht="19.5" customHeight="1">
      <c r="A5" s="18" t="s">
        <v>37</v>
      </c>
      <c r="B5" s="3"/>
      <c r="C5" s="3"/>
      <c r="D5" s="3"/>
      <c r="E5" s="3"/>
      <c r="F5" s="3"/>
      <c r="G5" s="3"/>
      <c r="H5" s="3"/>
      <c r="I5" s="3"/>
      <c r="J5" s="3"/>
      <c r="K5" s="3"/>
      <c r="L5" s="3"/>
      <c r="M5" s="3"/>
      <c r="N5" s="3"/>
      <c r="O5" s="4"/>
    </row>
    <row r="6" ht="57.75" customHeight="1">
      <c r="A6" s="23" t="s">
        <v>44</v>
      </c>
      <c r="B6" s="25" t="s">
        <v>30</v>
      </c>
      <c r="C6" s="25" t="s">
        <v>23</v>
      </c>
      <c r="D6" s="27" t="s">
        <v>10</v>
      </c>
      <c r="E6" s="30" t="s">
        <v>57</v>
      </c>
      <c r="F6" s="30" t="s">
        <v>60</v>
      </c>
      <c r="G6" s="30" t="s">
        <v>61</v>
      </c>
      <c r="H6" s="30" t="s">
        <v>63</v>
      </c>
      <c r="I6" s="30" t="s">
        <v>64</v>
      </c>
      <c r="J6" s="30" t="s">
        <v>65</v>
      </c>
      <c r="K6" s="30" t="s">
        <v>66</v>
      </c>
      <c r="L6" s="30" t="s">
        <v>67</v>
      </c>
      <c r="M6" s="32" t="s">
        <v>69</v>
      </c>
      <c r="N6" s="25"/>
      <c r="O6" s="25"/>
    </row>
    <row r="7" ht="57.75" customHeight="1">
      <c r="A7" s="23" t="s">
        <v>70</v>
      </c>
      <c r="B7" s="35" t="s">
        <v>30</v>
      </c>
      <c r="C7" s="35" t="s">
        <v>23</v>
      </c>
      <c r="D7" s="27" t="s">
        <v>10</v>
      </c>
      <c r="E7" s="30" t="s">
        <v>74</v>
      </c>
      <c r="F7" s="30" t="s">
        <v>75</v>
      </c>
      <c r="G7" s="30" t="s">
        <v>76</v>
      </c>
      <c r="H7" s="30" t="s">
        <v>78</v>
      </c>
      <c r="I7" s="30" t="s">
        <v>79</v>
      </c>
      <c r="J7" s="30" t="s">
        <v>81</v>
      </c>
      <c r="K7" s="30" t="s">
        <v>66</v>
      </c>
      <c r="L7" s="30" t="s">
        <v>85</v>
      </c>
      <c r="M7" s="32" t="s">
        <v>69</v>
      </c>
      <c r="N7" s="35"/>
      <c r="O7" s="35"/>
    </row>
    <row r="8" ht="57.75" customHeight="1">
      <c r="A8" s="23" t="s">
        <v>87</v>
      </c>
      <c r="B8" s="25" t="s">
        <v>30</v>
      </c>
      <c r="C8" s="25" t="s">
        <v>23</v>
      </c>
      <c r="D8" s="27" t="s">
        <v>10</v>
      </c>
      <c r="E8" s="30" t="s">
        <v>95</v>
      </c>
      <c r="F8" s="30" t="s">
        <v>97</v>
      </c>
      <c r="G8" s="30" t="s">
        <v>100</v>
      </c>
      <c r="H8" s="30" t="s">
        <v>102</v>
      </c>
      <c r="I8" s="30" t="s">
        <v>106</v>
      </c>
      <c r="J8" s="30" t="s">
        <v>110</v>
      </c>
      <c r="K8" s="30" t="s">
        <v>66</v>
      </c>
      <c r="L8" s="30" t="s">
        <v>114</v>
      </c>
      <c r="M8" s="32" t="s">
        <v>69</v>
      </c>
      <c r="N8" s="25"/>
      <c r="O8" s="25"/>
    </row>
    <row r="9" ht="57.75" customHeight="1">
      <c r="A9" s="23" t="s">
        <v>116</v>
      </c>
      <c r="B9" s="35" t="s">
        <v>30</v>
      </c>
      <c r="C9" s="35" t="s">
        <v>23</v>
      </c>
      <c r="D9" s="27" t="s">
        <v>10</v>
      </c>
      <c r="E9" s="30" t="s">
        <v>119</v>
      </c>
      <c r="F9" s="30" t="s">
        <v>121</v>
      </c>
      <c r="G9" s="30" t="s">
        <v>122</v>
      </c>
      <c r="H9" s="30" t="s">
        <v>123</v>
      </c>
      <c r="I9" s="30" t="s">
        <v>125</v>
      </c>
      <c r="J9" s="30" t="s">
        <v>127</v>
      </c>
      <c r="K9" s="30" t="s">
        <v>108</v>
      </c>
      <c r="L9" s="30" t="s">
        <v>128</v>
      </c>
      <c r="M9" s="32" t="s">
        <v>69</v>
      </c>
      <c r="N9" s="35"/>
      <c r="O9" s="35"/>
    </row>
    <row r="10" ht="57.75" customHeight="1">
      <c r="A10" s="23" t="s">
        <v>132</v>
      </c>
      <c r="B10" s="25" t="s">
        <v>30</v>
      </c>
      <c r="C10" s="25" t="s">
        <v>23</v>
      </c>
      <c r="D10" s="27" t="s">
        <v>10</v>
      </c>
      <c r="E10" s="30" t="s">
        <v>137</v>
      </c>
      <c r="F10" s="30" t="s">
        <v>139</v>
      </c>
      <c r="G10" s="30" t="s">
        <v>141</v>
      </c>
      <c r="H10" s="30" t="s">
        <v>142</v>
      </c>
      <c r="I10" s="30" t="s">
        <v>143</v>
      </c>
      <c r="J10" s="30" t="s">
        <v>144</v>
      </c>
      <c r="K10" s="30" t="s">
        <v>136</v>
      </c>
      <c r="L10" s="30" t="s">
        <v>147</v>
      </c>
      <c r="M10" s="32" t="s">
        <v>69</v>
      </c>
      <c r="N10" s="25"/>
      <c r="O10" s="25"/>
    </row>
    <row r="11" ht="57.75" customHeight="1">
      <c r="A11" s="23" t="s">
        <v>148</v>
      </c>
      <c r="B11" s="35" t="s">
        <v>30</v>
      </c>
      <c r="C11" s="35" t="s">
        <v>23</v>
      </c>
      <c r="D11" s="27" t="s">
        <v>10</v>
      </c>
      <c r="E11" s="30" t="s">
        <v>151</v>
      </c>
      <c r="F11" s="30" t="s">
        <v>152</v>
      </c>
      <c r="G11" s="30" t="s">
        <v>153</v>
      </c>
      <c r="H11" s="30" t="s">
        <v>154</v>
      </c>
      <c r="I11" s="30" t="s">
        <v>156</v>
      </c>
      <c r="J11" s="30" t="s">
        <v>157</v>
      </c>
      <c r="K11" s="30" t="s">
        <v>66</v>
      </c>
      <c r="L11" s="30" t="s">
        <v>159</v>
      </c>
      <c r="M11" s="32" t="s">
        <v>69</v>
      </c>
      <c r="N11" s="35"/>
      <c r="O11" s="35"/>
    </row>
    <row r="12" ht="57.75" customHeight="1">
      <c r="A12" s="23" t="s">
        <v>161</v>
      </c>
      <c r="B12" s="25" t="s">
        <v>30</v>
      </c>
      <c r="C12" s="25" t="s">
        <v>23</v>
      </c>
      <c r="D12" s="27" t="s">
        <v>10</v>
      </c>
      <c r="E12" s="30" t="s">
        <v>163</v>
      </c>
      <c r="F12" s="51">
        <v>46086.0</v>
      </c>
      <c r="G12" s="51">
        <v>46150.0</v>
      </c>
      <c r="H12" s="51">
        <v>46213.0</v>
      </c>
      <c r="I12" s="51">
        <v>46056.0</v>
      </c>
      <c r="J12" s="51">
        <v>46024.0</v>
      </c>
      <c r="K12" s="30" t="s">
        <v>108</v>
      </c>
      <c r="L12" s="30" t="s">
        <v>188</v>
      </c>
      <c r="M12" s="32" t="s">
        <v>69</v>
      </c>
      <c r="N12" s="25"/>
      <c r="O12" s="25"/>
    </row>
    <row r="13" ht="57.75" customHeight="1">
      <c r="A13" s="23" t="s">
        <v>190</v>
      </c>
      <c r="B13" s="35" t="s">
        <v>30</v>
      </c>
      <c r="C13" s="35" t="s">
        <v>23</v>
      </c>
      <c r="D13" s="27" t="s">
        <v>10</v>
      </c>
      <c r="E13" s="30" t="s">
        <v>196</v>
      </c>
      <c r="F13" s="30" t="s">
        <v>198</v>
      </c>
      <c r="G13" s="30" t="s">
        <v>200</v>
      </c>
      <c r="H13" s="30" t="s">
        <v>202</v>
      </c>
      <c r="I13" s="30" t="s">
        <v>204</v>
      </c>
      <c r="J13" s="30" t="s">
        <v>205</v>
      </c>
      <c r="K13" s="30" t="s">
        <v>206</v>
      </c>
      <c r="L13" s="30" t="s">
        <v>208</v>
      </c>
      <c r="M13" s="32" t="s">
        <v>69</v>
      </c>
      <c r="N13" s="35"/>
      <c r="O13" s="35"/>
    </row>
    <row r="14" ht="57.75" customHeight="1">
      <c r="A14" s="23" t="s">
        <v>210</v>
      </c>
      <c r="B14" s="25" t="s">
        <v>30</v>
      </c>
      <c r="C14" s="25" t="s">
        <v>23</v>
      </c>
      <c r="D14" s="27" t="s">
        <v>10</v>
      </c>
      <c r="E14" s="30" t="s">
        <v>212</v>
      </c>
      <c r="F14" s="53" t="s">
        <v>214</v>
      </c>
      <c r="G14" s="53" t="s">
        <v>216</v>
      </c>
      <c r="H14" s="55">
        <v>0.75</v>
      </c>
      <c r="I14" s="55">
        <v>7.5</v>
      </c>
      <c r="J14" s="53" t="s">
        <v>224</v>
      </c>
      <c r="K14" s="30" t="s">
        <v>66</v>
      </c>
      <c r="L14" s="30" t="s">
        <v>225</v>
      </c>
      <c r="M14" s="32" t="s">
        <v>69</v>
      </c>
      <c r="N14" s="25"/>
      <c r="O14" s="25"/>
    </row>
    <row r="15" ht="57.75" customHeight="1">
      <c r="A15" s="23" t="s">
        <v>227</v>
      </c>
      <c r="B15" s="35" t="s">
        <v>30</v>
      </c>
      <c r="C15" s="35" t="s">
        <v>23</v>
      </c>
      <c r="D15" s="27" t="s">
        <v>10</v>
      </c>
      <c r="E15" s="30" t="s">
        <v>229</v>
      </c>
      <c r="F15" s="53">
        <v>6.0</v>
      </c>
      <c r="G15" s="53">
        <v>12.0</v>
      </c>
      <c r="H15" s="53">
        <v>15.0</v>
      </c>
      <c r="I15" s="53">
        <v>18.0</v>
      </c>
      <c r="J15" s="53">
        <v>25.0</v>
      </c>
      <c r="K15" s="30" t="s">
        <v>206</v>
      </c>
      <c r="L15" s="30" t="s">
        <v>231</v>
      </c>
      <c r="M15" s="32" t="s">
        <v>69</v>
      </c>
      <c r="N15" s="35"/>
      <c r="O15" s="35"/>
    </row>
    <row r="16" ht="57.75" customHeight="1">
      <c r="A16" s="23" t="s">
        <v>233</v>
      </c>
      <c r="B16" s="25" t="s">
        <v>30</v>
      </c>
      <c r="C16" s="25" t="s">
        <v>23</v>
      </c>
      <c r="D16" s="27" t="s">
        <v>10</v>
      </c>
      <c r="E16" s="30" t="s">
        <v>236</v>
      </c>
      <c r="F16" s="30" t="s">
        <v>237</v>
      </c>
      <c r="G16" s="30" t="s">
        <v>238</v>
      </c>
      <c r="H16" s="30" t="s">
        <v>240</v>
      </c>
      <c r="I16" s="30" t="s">
        <v>241</v>
      </c>
      <c r="J16" s="30" t="s">
        <v>242</v>
      </c>
      <c r="K16" s="30" t="s">
        <v>66</v>
      </c>
      <c r="L16" s="30" t="s">
        <v>243</v>
      </c>
      <c r="M16" s="32" t="s">
        <v>69</v>
      </c>
      <c r="N16" s="25"/>
      <c r="O16" s="25"/>
    </row>
    <row r="17" ht="57.75" customHeight="1">
      <c r="A17" s="23" t="s">
        <v>245</v>
      </c>
      <c r="B17" s="35" t="s">
        <v>30</v>
      </c>
      <c r="C17" s="35" t="s">
        <v>23</v>
      </c>
      <c r="D17" s="27" t="s">
        <v>10</v>
      </c>
      <c r="E17" s="30" t="s">
        <v>247</v>
      </c>
      <c r="F17" s="53">
        <v>12.0</v>
      </c>
      <c r="G17" s="53">
        <v>16.0</v>
      </c>
      <c r="H17" s="53">
        <v>20.0</v>
      </c>
      <c r="I17" s="53">
        <v>24.0</v>
      </c>
      <c r="J17" s="53">
        <v>27.0</v>
      </c>
      <c r="K17" s="30" t="s">
        <v>66</v>
      </c>
      <c r="L17" s="30" t="s">
        <v>248</v>
      </c>
      <c r="M17" s="32" t="s">
        <v>69</v>
      </c>
      <c r="N17" s="35"/>
      <c r="O17" s="35"/>
    </row>
    <row r="18" ht="57.75" customHeight="1">
      <c r="A18" s="23" t="s">
        <v>249</v>
      </c>
      <c r="B18" s="25" t="s">
        <v>30</v>
      </c>
      <c r="C18" s="25" t="s">
        <v>23</v>
      </c>
      <c r="D18" s="27" t="s">
        <v>10</v>
      </c>
      <c r="E18" s="30" t="s">
        <v>250</v>
      </c>
      <c r="F18" s="60">
        <v>9.0</v>
      </c>
      <c r="G18" s="53" t="s">
        <v>252</v>
      </c>
      <c r="H18" s="53" t="s">
        <v>253</v>
      </c>
      <c r="I18" s="53">
        <v>9.0</v>
      </c>
      <c r="J18" s="60">
        <v>9.0</v>
      </c>
      <c r="K18" s="30" t="s">
        <v>66</v>
      </c>
      <c r="L18" s="30" t="s">
        <v>254</v>
      </c>
      <c r="M18" s="32" t="s">
        <v>69</v>
      </c>
      <c r="N18" s="25"/>
      <c r="O18" s="25"/>
    </row>
    <row r="19" ht="57.75" customHeight="1">
      <c r="A19" s="23" t="s">
        <v>256</v>
      </c>
      <c r="B19" s="35" t="s">
        <v>30</v>
      </c>
      <c r="C19" s="35" t="s">
        <v>23</v>
      </c>
      <c r="D19" s="27" t="s">
        <v>10</v>
      </c>
      <c r="E19" s="30" t="s">
        <v>257</v>
      </c>
      <c r="F19" s="53">
        <v>1.0</v>
      </c>
      <c r="G19" s="53">
        <v>3.0</v>
      </c>
      <c r="H19" s="53">
        <v>4.0</v>
      </c>
      <c r="I19" s="53">
        <v>5.0</v>
      </c>
      <c r="J19" s="53">
        <v>7.0</v>
      </c>
      <c r="K19" s="30" t="s">
        <v>201</v>
      </c>
      <c r="L19" s="30" t="s">
        <v>259</v>
      </c>
      <c r="M19" s="32" t="s">
        <v>69</v>
      </c>
      <c r="N19" s="35"/>
      <c r="O19" s="35"/>
    </row>
    <row r="20" ht="57.75" customHeight="1">
      <c r="A20" s="23" t="s">
        <v>260</v>
      </c>
      <c r="B20" s="25" t="s">
        <v>30</v>
      </c>
      <c r="C20" s="25" t="s">
        <v>23</v>
      </c>
      <c r="D20" s="27" t="s">
        <v>10</v>
      </c>
      <c r="E20" s="30" t="s">
        <v>261</v>
      </c>
      <c r="F20" s="30" t="s">
        <v>262</v>
      </c>
      <c r="G20" s="30" t="s">
        <v>263</v>
      </c>
      <c r="H20" s="30" t="s">
        <v>264</v>
      </c>
      <c r="I20" s="30" t="s">
        <v>266</v>
      </c>
      <c r="J20" s="30" t="s">
        <v>268</v>
      </c>
      <c r="K20" s="30" t="s">
        <v>66</v>
      </c>
      <c r="L20" s="30" t="s">
        <v>269</v>
      </c>
      <c r="M20" s="32" t="s">
        <v>69</v>
      </c>
      <c r="N20" s="25"/>
      <c r="O20" s="25"/>
    </row>
    <row r="21" ht="19.5" customHeight="1">
      <c r="A21" s="61" t="s">
        <v>255</v>
      </c>
      <c r="B21" s="3"/>
      <c r="C21" s="3"/>
      <c r="D21" s="3"/>
      <c r="E21" s="3"/>
      <c r="F21" s="3"/>
      <c r="G21" s="3"/>
      <c r="H21" s="3"/>
      <c r="I21" s="3"/>
      <c r="J21" s="3"/>
      <c r="K21" s="3"/>
      <c r="L21" s="3"/>
      <c r="M21" s="3"/>
      <c r="N21" s="3"/>
      <c r="O21" s="4"/>
    </row>
    <row r="22" ht="57.75" customHeight="1">
      <c r="A22" s="23" t="s">
        <v>286</v>
      </c>
      <c r="B22" s="35" t="s">
        <v>30</v>
      </c>
      <c r="C22" s="35" t="s">
        <v>23</v>
      </c>
      <c r="D22" s="17" t="s">
        <v>12</v>
      </c>
      <c r="E22" s="40" t="s">
        <v>304</v>
      </c>
      <c r="F22" s="40" t="s">
        <v>306</v>
      </c>
      <c r="G22" s="40" t="s">
        <v>307</v>
      </c>
      <c r="H22" s="40" t="s">
        <v>309</v>
      </c>
      <c r="I22" s="40" t="s">
        <v>312</v>
      </c>
      <c r="J22" s="40" t="s">
        <v>314</v>
      </c>
      <c r="K22" s="42" t="s">
        <v>136</v>
      </c>
      <c r="L22" s="40" t="s">
        <v>318</v>
      </c>
      <c r="M22" s="32" t="s">
        <v>69</v>
      </c>
      <c r="N22" s="35"/>
      <c r="O22" s="35"/>
    </row>
    <row r="23" ht="57.75" customHeight="1">
      <c r="A23" s="23" t="s">
        <v>324</v>
      </c>
      <c r="B23" s="25" t="s">
        <v>30</v>
      </c>
      <c r="C23" s="25" t="s">
        <v>23</v>
      </c>
      <c r="D23" s="17" t="s">
        <v>12</v>
      </c>
      <c r="E23" s="31" t="s">
        <v>331</v>
      </c>
      <c r="F23" s="31" t="s">
        <v>337</v>
      </c>
      <c r="G23" s="31" t="s">
        <v>339</v>
      </c>
      <c r="H23" s="31" t="s">
        <v>340</v>
      </c>
      <c r="I23" s="31" t="s">
        <v>342</v>
      </c>
      <c r="J23" s="31" t="s">
        <v>343</v>
      </c>
      <c r="K23" s="36" t="s">
        <v>136</v>
      </c>
      <c r="L23" s="31" t="s">
        <v>350</v>
      </c>
      <c r="M23" s="32" t="s">
        <v>69</v>
      </c>
      <c r="N23" s="25"/>
      <c r="O23" s="25"/>
    </row>
    <row r="24" ht="57.75" customHeight="1">
      <c r="A24" s="23" t="s">
        <v>352</v>
      </c>
      <c r="B24" s="35" t="s">
        <v>30</v>
      </c>
      <c r="C24" s="35" t="s">
        <v>23</v>
      </c>
      <c r="D24" s="17" t="s">
        <v>12</v>
      </c>
      <c r="E24" s="40" t="s">
        <v>355</v>
      </c>
      <c r="F24" s="40" t="s">
        <v>356</v>
      </c>
      <c r="G24" s="40" t="s">
        <v>357</v>
      </c>
      <c r="H24" s="40" t="s">
        <v>358</v>
      </c>
      <c r="I24" s="40" t="s">
        <v>359</v>
      </c>
      <c r="J24" s="40" t="s">
        <v>361</v>
      </c>
      <c r="K24" s="42" t="s">
        <v>66</v>
      </c>
      <c r="L24" s="40" t="s">
        <v>371</v>
      </c>
      <c r="M24" s="32" t="s">
        <v>69</v>
      </c>
      <c r="N24" s="35"/>
      <c r="O24" s="35"/>
    </row>
    <row r="25" ht="57.75" customHeight="1">
      <c r="A25" s="23" t="s">
        <v>373</v>
      </c>
      <c r="B25" s="25" t="s">
        <v>30</v>
      </c>
      <c r="C25" s="25" t="s">
        <v>23</v>
      </c>
      <c r="D25" s="17" t="s">
        <v>12</v>
      </c>
      <c r="E25" s="31" t="s">
        <v>375</v>
      </c>
      <c r="F25" s="31" t="s">
        <v>377</v>
      </c>
      <c r="G25" s="31" t="s">
        <v>379</v>
      </c>
      <c r="H25" s="31" t="s">
        <v>382</v>
      </c>
      <c r="I25" s="31" t="s">
        <v>385</v>
      </c>
      <c r="J25" s="31" t="s">
        <v>388</v>
      </c>
      <c r="K25" s="36" t="s">
        <v>108</v>
      </c>
      <c r="L25" s="31" t="s">
        <v>390</v>
      </c>
      <c r="M25" s="32" t="s">
        <v>69</v>
      </c>
      <c r="N25" s="25"/>
      <c r="O25" s="25"/>
    </row>
    <row r="26" ht="57.75" customHeight="1">
      <c r="A26" s="23" t="s">
        <v>396</v>
      </c>
      <c r="B26" s="35" t="s">
        <v>30</v>
      </c>
      <c r="C26" s="35" t="s">
        <v>23</v>
      </c>
      <c r="D26" s="17" t="s">
        <v>12</v>
      </c>
      <c r="E26" s="40" t="s">
        <v>400</v>
      </c>
      <c r="F26" s="40" t="s">
        <v>402</v>
      </c>
      <c r="G26" s="40" t="s">
        <v>403</v>
      </c>
      <c r="H26" s="40" t="s">
        <v>404</v>
      </c>
      <c r="I26" s="40" t="s">
        <v>405</v>
      </c>
      <c r="J26" s="40" t="s">
        <v>406</v>
      </c>
      <c r="K26" s="42" t="s">
        <v>201</v>
      </c>
      <c r="L26" s="40" t="s">
        <v>410</v>
      </c>
      <c r="M26" s="32" t="s">
        <v>69</v>
      </c>
      <c r="N26" s="35"/>
      <c r="O26" s="35"/>
    </row>
    <row r="27" ht="57.75" customHeight="1">
      <c r="A27" s="23" t="s">
        <v>414</v>
      </c>
      <c r="B27" s="25" t="s">
        <v>30</v>
      </c>
      <c r="C27" s="25" t="s">
        <v>23</v>
      </c>
      <c r="D27" s="17" t="s">
        <v>12</v>
      </c>
      <c r="E27" s="31" t="s">
        <v>416</v>
      </c>
      <c r="F27" s="31">
        <v>3.0</v>
      </c>
      <c r="G27" s="31">
        <v>9.0</v>
      </c>
      <c r="H27" s="31">
        <v>27.0</v>
      </c>
      <c r="I27" s="31">
        <v>81.0</v>
      </c>
      <c r="J27" s="31">
        <v>243.0</v>
      </c>
      <c r="K27" s="36" t="s">
        <v>108</v>
      </c>
      <c r="L27" s="31" t="s">
        <v>433</v>
      </c>
      <c r="M27" s="32" t="s">
        <v>69</v>
      </c>
      <c r="N27" s="25"/>
      <c r="O27" s="25"/>
    </row>
    <row r="28" ht="57.75" customHeight="1">
      <c r="A28" s="23" t="s">
        <v>434</v>
      </c>
      <c r="B28" s="35" t="s">
        <v>30</v>
      </c>
      <c r="C28" s="35" t="s">
        <v>23</v>
      </c>
      <c r="D28" s="17" t="s">
        <v>12</v>
      </c>
      <c r="E28" s="40" t="s">
        <v>436</v>
      </c>
      <c r="F28" s="40">
        <v>4.0</v>
      </c>
      <c r="G28" s="40">
        <v>10.0</v>
      </c>
      <c r="H28" s="40">
        <v>17.0</v>
      </c>
      <c r="I28" s="40">
        <v>26.0</v>
      </c>
      <c r="J28" s="40">
        <v>37.0</v>
      </c>
      <c r="K28" s="42" t="s">
        <v>66</v>
      </c>
      <c r="L28" s="40" t="s">
        <v>437</v>
      </c>
      <c r="M28" s="32" t="s">
        <v>69</v>
      </c>
      <c r="N28" s="35"/>
      <c r="O28" s="35"/>
    </row>
    <row r="29" ht="57.75" customHeight="1">
      <c r="A29" s="23" t="s">
        <v>438</v>
      </c>
      <c r="B29" s="25" t="s">
        <v>30</v>
      </c>
      <c r="C29" s="25" t="s">
        <v>23</v>
      </c>
      <c r="D29" s="17" t="s">
        <v>12</v>
      </c>
      <c r="E29" s="31" t="s">
        <v>440</v>
      </c>
      <c r="F29" s="31" t="s">
        <v>441</v>
      </c>
      <c r="G29" s="31" t="s">
        <v>442</v>
      </c>
      <c r="H29" s="31" t="s">
        <v>444</v>
      </c>
      <c r="I29" s="31" t="s">
        <v>445</v>
      </c>
      <c r="J29" s="31" t="s">
        <v>446</v>
      </c>
      <c r="K29" s="36" t="s">
        <v>136</v>
      </c>
      <c r="L29" s="31" t="s">
        <v>447</v>
      </c>
      <c r="M29" s="32" t="s">
        <v>69</v>
      </c>
      <c r="N29" s="25"/>
      <c r="O29" s="25"/>
    </row>
    <row r="30" ht="57.75" customHeight="1">
      <c r="A30" s="23" t="s">
        <v>449</v>
      </c>
      <c r="B30" s="35" t="s">
        <v>30</v>
      </c>
      <c r="C30" s="35" t="s">
        <v>23</v>
      </c>
      <c r="D30" s="17" t="s">
        <v>12</v>
      </c>
      <c r="E30" s="40" t="s">
        <v>451</v>
      </c>
      <c r="F30" s="40">
        <v>-5.0</v>
      </c>
      <c r="G30" s="40">
        <v>-1.0</v>
      </c>
      <c r="H30" s="40">
        <v>1.0</v>
      </c>
      <c r="I30" s="40">
        <v>5.0</v>
      </c>
      <c r="J30" s="40">
        <v>25.0</v>
      </c>
      <c r="K30" s="42" t="s">
        <v>136</v>
      </c>
      <c r="L30" s="40" t="s">
        <v>459</v>
      </c>
      <c r="M30" s="32" t="s">
        <v>69</v>
      </c>
      <c r="N30" s="35"/>
      <c r="O30" s="35"/>
    </row>
    <row r="31" ht="57.75" customHeight="1">
      <c r="A31" s="23" t="s">
        <v>461</v>
      </c>
      <c r="B31" s="25" t="s">
        <v>30</v>
      </c>
      <c r="C31" s="25" t="s">
        <v>23</v>
      </c>
      <c r="D31" s="17" t="s">
        <v>12</v>
      </c>
      <c r="E31" s="31" t="s">
        <v>463</v>
      </c>
      <c r="F31" s="31">
        <v>12.0</v>
      </c>
      <c r="G31" s="31">
        <v>14.0</v>
      </c>
      <c r="H31" s="31">
        <v>18.0</v>
      </c>
      <c r="I31" s="31">
        <v>42.0</v>
      </c>
      <c r="J31" s="31">
        <v>56.0</v>
      </c>
      <c r="K31" s="36" t="s">
        <v>136</v>
      </c>
      <c r="L31" s="31" t="s">
        <v>470</v>
      </c>
      <c r="M31" s="32" t="s">
        <v>69</v>
      </c>
      <c r="N31" s="25"/>
      <c r="O31" s="25"/>
    </row>
    <row r="32" ht="57.75" customHeight="1">
      <c r="A32" s="23" t="s">
        <v>472</v>
      </c>
      <c r="B32" s="35" t="s">
        <v>30</v>
      </c>
      <c r="C32" s="35" t="s">
        <v>23</v>
      </c>
      <c r="D32" s="17" t="s">
        <v>12</v>
      </c>
      <c r="E32" s="40" t="s">
        <v>474</v>
      </c>
      <c r="F32" s="40" t="s">
        <v>475</v>
      </c>
      <c r="G32" s="40">
        <v>12.0</v>
      </c>
      <c r="H32" s="40">
        <v>120.0</v>
      </c>
      <c r="I32" s="40">
        <v>1200.0</v>
      </c>
      <c r="J32" s="40" t="s">
        <v>478</v>
      </c>
      <c r="K32" s="42" t="s">
        <v>108</v>
      </c>
      <c r="L32" s="40" t="s">
        <v>479</v>
      </c>
      <c r="M32" s="32" t="s">
        <v>69</v>
      </c>
      <c r="N32" s="35"/>
      <c r="O32" s="35"/>
    </row>
    <row r="33" ht="57.75" customHeight="1">
      <c r="A33" s="23" t="s">
        <v>485</v>
      </c>
      <c r="B33" s="25" t="s">
        <v>30</v>
      </c>
      <c r="C33" s="25" t="s">
        <v>23</v>
      </c>
      <c r="D33" s="17" t="s">
        <v>12</v>
      </c>
      <c r="E33" s="31" t="s">
        <v>488</v>
      </c>
      <c r="F33" s="31" t="s">
        <v>490</v>
      </c>
      <c r="G33" s="31" t="s">
        <v>491</v>
      </c>
      <c r="H33" s="31" t="s">
        <v>492</v>
      </c>
      <c r="I33" s="31" t="s">
        <v>493</v>
      </c>
      <c r="J33" s="31" t="s">
        <v>494</v>
      </c>
      <c r="K33" s="36" t="s">
        <v>66</v>
      </c>
      <c r="L33" s="31" t="s">
        <v>496</v>
      </c>
      <c r="M33" s="32" t="s">
        <v>69</v>
      </c>
      <c r="N33" s="25"/>
      <c r="O33" s="25"/>
    </row>
    <row r="34" ht="57.75" customHeight="1">
      <c r="A34" s="23" t="s">
        <v>499</v>
      </c>
      <c r="B34" s="35" t="s">
        <v>30</v>
      </c>
      <c r="C34" s="35" t="s">
        <v>23</v>
      </c>
      <c r="D34" s="17" t="s">
        <v>12</v>
      </c>
      <c r="E34" s="40" t="s">
        <v>502</v>
      </c>
      <c r="F34" s="40" t="s">
        <v>505</v>
      </c>
      <c r="G34" s="40" t="s">
        <v>507</v>
      </c>
      <c r="H34" s="40" t="s">
        <v>509</v>
      </c>
      <c r="I34" s="40" t="s">
        <v>510</v>
      </c>
      <c r="J34" s="40" t="s">
        <v>511</v>
      </c>
      <c r="K34" s="42" t="s">
        <v>108</v>
      </c>
      <c r="L34" s="40" t="s">
        <v>513</v>
      </c>
      <c r="M34" s="32" t="s">
        <v>69</v>
      </c>
      <c r="N34" s="35"/>
      <c r="O34" s="35"/>
    </row>
    <row r="35" ht="57.75" customHeight="1">
      <c r="A35" s="23" t="s">
        <v>517</v>
      </c>
      <c r="B35" s="25" t="s">
        <v>30</v>
      </c>
      <c r="C35" s="25" t="s">
        <v>23</v>
      </c>
      <c r="D35" s="17" t="s">
        <v>12</v>
      </c>
      <c r="E35" s="31" t="s">
        <v>522</v>
      </c>
      <c r="F35" s="31">
        <v>8.24</v>
      </c>
      <c r="G35" s="31">
        <v>8.3</v>
      </c>
      <c r="H35" s="31">
        <v>8.36</v>
      </c>
      <c r="I35" s="31">
        <v>8.48</v>
      </c>
      <c r="J35" s="31">
        <v>9.0</v>
      </c>
      <c r="K35" s="36" t="s">
        <v>108</v>
      </c>
      <c r="L35" s="31" t="s">
        <v>525</v>
      </c>
      <c r="M35" s="32" t="s">
        <v>69</v>
      </c>
      <c r="N35" s="25"/>
      <c r="O35" s="25"/>
    </row>
    <row r="36" ht="57.75" customHeight="1">
      <c r="A36" s="23" t="s">
        <v>528</v>
      </c>
      <c r="B36" s="35" t="s">
        <v>30</v>
      </c>
      <c r="C36" s="35" t="s">
        <v>23</v>
      </c>
      <c r="D36" s="17" t="s">
        <v>12</v>
      </c>
      <c r="E36" s="40" t="s">
        <v>530</v>
      </c>
      <c r="F36" s="70">
        <v>46024.0</v>
      </c>
      <c r="G36" s="40">
        <v>1.0</v>
      </c>
      <c r="H36" s="40">
        <v>2.0</v>
      </c>
      <c r="I36" s="40">
        <v>4.0</v>
      </c>
      <c r="J36" s="40">
        <v>8.0</v>
      </c>
      <c r="K36" s="42" t="s">
        <v>108</v>
      </c>
      <c r="L36" s="40" t="s">
        <v>535</v>
      </c>
      <c r="M36" s="32" t="s">
        <v>69</v>
      </c>
      <c r="N36" s="35"/>
      <c r="O36" s="35"/>
    </row>
    <row r="37" ht="19.5" customHeight="1">
      <c r="A37" s="69" t="s">
        <v>435</v>
      </c>
      <c r="B37" s="3"/>
      <c r="C37" s="3"/>
      <c r="D37" s="3"/>
      <c r="E37" s="3"/>
      <c r="F37" s="3"/>
      <c r="G37" s="3"/>
      <c r="H37" s="3"/>
      <c r="I37" s="3"/>
      <c r="J37" s="3"/>
      <c r="K37" s="3"/>
      <c r="L37" s="3"/>
      <c r="M37" s="3"/>
      <c r="N37" s="3"/>
      <c r="O37" s="4"/>
    </row>
    <row r="38" ht="57.75" customHeight="1">
      <c r="A38" s="23" t="s">
        <v>553</v>
      </c>
      <c r="B38" s="25" t="s">
        <v>30</v>
      </c>
      <c r="C38" s="25" t="s">
        <v>23</v>
      </c>
      <c r="D38" s="38" t="s">
        <v>13</v>
      </c>
      <c r="E38" s="31" t="s">
        <v>556</v>
      </c>
      <c r="F38" s="31">
        <v>6.0</v>
      </c>
      <c r="G38" s="31">
        <v>12.0</v>
      </c>
      <c r="H38" s="31">
        <v>18.0</v>
      </c>
      <c r="I38" s="31">
        <v>24.0</v>
      </c>
      <c r="J38" s="31">
        <v>30.0</v>
      </c>
      <c r="K38" s="36" t="s">
        <v>136</v>
      </c>
      <c r="L38" s="31" t="s">
        <v>559</v>
      </c>
      <c r="M38" s="32" t="s">
        <v>69</v>
      </c>
      <c r="N38" s="25"/>
      <c r="O38" s="25"/>
    </row>
    <row r="39" ht="57.75" customHeight="1">
      <c r="A39" s="23" t="s">
        <v>561</v>
      </c>
      <c r="B39" s="35" t="s">
        <v>30</v>
      </c>
      <c r="C39" s="35" t="s">
        <v>23</v>
      </c>
      <c r="D39" s="38" t="s">
        <v>13</v>
      </c>
      <c r="E39" s="40" t="s">
        <v>563</v>
      </c>
      <c r="F39" s="40" t="s">
        <v>564</v>
      </c>
      <c r="G39" s="40" t="s">
        <v>565</v>
      </c>
      <c r="H39" s="40" t="s">
        <v>566</v>
      </c>
      <c r="I39" s="40" t="s">
        <v>567</v>
      </c>
      <c r="J39" s="40" t="s">
        <v>569</v>
      </c>
      <c r="K39" s="42" t="s">
        <v>201</v>
      </c>
      <c r="L39" s="40" t="s">
        <v>570</v>
      </c>
      <c r="M39" s="32" t="s">
        <v>69</v>
      </c>
      <c r="N39" s="35"/>
      <c r="O39" s="35"/>
    </row>
    <row r="40" ht="57.75" customHeight="1">
      <c r="A40" s="23" t="s">
        <v>571</v>
      </c>
      <c r="B40" s="25" t="s">
        <v>30</v>
      </c>
      <c r="C40" s="25" t="s">
        <v>23</v>
      </c>
      <c r="D40" s="38" t="s">
        <v>13</v>
      </c>
      <c r="E40" s="31" t="s">
        <v>572</v>
      </c>
      <c r="F40" s="31" t="s">
        <v>573</v>
      </c>
      <c r="G40" s="31" t="s">
        <v>574</v>
      </c>
      <c r="H40" s="31" t="s">
        <v>575</v>
      </c>
      <c r="I40" s="31" t="s">
        <v>576</v>
      </c>
      <c r="J40" s="31" t="s">
        <v>578</v>
      </c>
      <c r="K40" s="36" t="s">
        <v>66</v>
      </c>
      <c r="L40" s="31" t="s">
        <v>579</v>
      </c>
      <c r="M40" s="32" t="s">
        <v>69</v>
      </c>
      <c r="N40" s="25"/>
      <c r="O40" s="25"/>
    </row>
    <row r="41" ht="57.75" customHeight="1">
      <c r="A41" s="23" t="s">
        <v>580</v>
      </c>
      <c r="B41" s="35" t="s">
        <v>30</v>
      </c>
      <c r="C41" s="35" t="s">
        <v>23</v>
      </c>
      <c r="D41" s="38" t="s">
        <v>13</v>
      </c>
      <c r="E41" s="40" t="s">
        <v>581</v>
      </c>
      <c r="F41" s="40" t="s">
        <v>582</v>
      </c>
      <c r="G41" s="40" t="s">
        <v>583</v>
      </c>
      <c r="H41" s="40" t="s">
        <v>584</v>
      </c>
      <c r="I41" s="40" t="s">
        <v>585</v>
      </c>
      <c r="J41" s="40" t="s">
        <v>586</v>
      </c>
      <c r="K41" s="42" t="s">
        <v>66</v>
      </c>
      <c r="L41" s="40" t="s">
        <v>587</v>
      </c>
      <c r="M41" s="32" t="s">
        <v>69</v>
      </c>
      <c r="N41" s="35"/>
      <c r="O41" s="35"/>
    </row>
    <row r="42" ht="57.75" customHeight="1">
      <c r="A42" s="23" t="s">
        <v>588</v>
      </c>
      <c r="B42" s="25" t="s">
        <v>30</v>
      </c>
      <c r="C42" s="25" t="s">
        <v>23</v>
      </c>
      <c r="D42" s="38" t="s">
        <v>13</v>
      </c>
      <c r="E42" s="31" t="s">
        <v>589</v>
      </c>
      <c r="F42" s="31">
        <v>2.0</v>
      </c>
      <c r="G42" s="31">
        <v>3.0</v>
      </c>
      <c r="H42" s="31">
        <v>4.0</v>
      </c>
      <c r="I42" s="31">
        <v>5.0</v>
      </c>
      <c r="J42" s="31">
        <v>6.0</v>
      </c>
      <c r="K42" s="36" t="s">
        <v>108</v>
      </c>
      <c r="L42" s="31" t="s">
        <v>590</v>
      </c>
      <c r="M42" s="32" t="s">
        <v>69</v>
      </c>
      <c r="N42" s="25"/>
      <c r="O42" s="25"/>
    </row>
    <row r="43" ht="57.75" customHeight="1">
      <c r="A43" s="23" t="s">
        <v>591</v>
      </c>
      <c r="B43" s="35" t="s">
        <v>30</v>
      </c>
      <c r="C43" s="35" t="s">
        <v>23</v>
      </c>
      <c r="D43" s="38" t="s">
        <v>13</v>
      </c>
      <c r="E43" s="40" t="s">
        <v>556</v>
      </c>
      <c r="F43" s="40">
        <v>6.0</v>
      </c>
      <c r="G43" s="40">
        <v>12.0</v>
      </c>
      <c r="H43" s="40">
        <v>18.0</v>
      </c>
      <c r="I43" s="40">
        <v>24.0</v>
      </c>
      <c r="J43" s="40">
        <v>30.0</v>
      </c>
      <c r="K43" s="42" t="s">
        <v>136</v>
      </c>
      <c r="L43" s="40" t="s">
        <v>592</v>
      </c>
      <c r="M43" s="32" t="s">
        <v>69</v>
      </c>
      <c r="N43" s="35"/>
      <c r="O43" s="35"/>
    </row>
    <row r="44" ht="57.75" customHeight="1">
      <c r="A44" s="23" t="s">
        <v>593</v>
      </c>
      <c r="B44" s="25" t="s">
        <v>30</v>
      </c>
      <c r="C44" s="25" t="s">
        <v>23</v>
      </c>
      <c r="D44" s="38" t="s">
        <v>13</v>
      </c>
      <c r="E44" s="31" t="s">
        <v>594</v>
      </c>
      <c r="F44" s="31" t="s">
        <v>582</v>
      </c>
      <c r="G44" s="31" t="s">
        <v>583</v>
      </c>
      <c r="H44" s="31" t="s">
        <v>584</v>
      </c>
      <c r="I44" s="31" t="s">
        <v>585</v>
      </c>
      <c r="J44" s="31" t="s">
        <v>586</v>
      </c>
      <c r="K44" s="36" t="s">
        <v>66</v>
      </c>
      <c r="L44" s="31" t="s">
        <v>596</v>
      </c>
      <c r="M44" s="32" t="s">
        <v>69</v>
      </c>
      <c r="N44" s="25"/>
      <c r="O44" s="25"/>
    </row>
    <row r="45" ht="57.75" customHeight="1">
      <c r="A45" s="23" t="s">
        <v>597</v>
      </c>
      <c r="B45" s="35" t="s">
        <v>30</v>
      </c>
      <c r="C45" s="35" t="s">
        <v>23</v>
      </c>
      <c r="D45" s="38" t="s">
        <v>13</v>
      </c>
      <c r="E45" s="40" t="s">
        <v>572</v>
      </c>
      <c r="F45" s="40" t="s">
        <v>573</v>
      </c>
      <c r="G45" s="40" t="s">
        <v>574</v>
      </c>
      <c r="H45" s="40" t="s">
        <v>575</v>
      </c>
      <c r="I45" s="40" t="s">
        <v>576</v>
      </c>
      <c r="J45" s="40" t="s">
        <v>578</v>
      </c>
      <c r="K45" s="42" t="s">
        <v>66</v>
      </c>
      <c r="L45" s="40" t="s">
        <v>601</v>
      </c>
      <c r="M45" s="32" t="s">
        <v>69</v>
      </c>
      <c r="N45" s="35"/>
      <c r="O45" s="35"/>
    </row>
    <row r="46" ht="57.75" customHeight="1">
      <c r="A46" s="23" t="s">
        <v>603</v>
      </c>
      <c r="B46" s="25" t="s">
        <v>30</v>
      </c>
      <c r="C46" s="25" t="s">
        <v>23</v>
      </c>
      <c r="D46" s="38" t="s">
        <v>13</v>
      </c>
      <c r="E46" s="31" t="s">
        <v>604</v>
      </c>
      <c r="F46" s="31">
        <v>2.0</v>
      </c>
      <c r="G46" s="31">
        <v>3.0</v>
      </c>
      <c r="H46" s="31">
        <v>4.0</v>
      </c>
      <c r="I46" s="31">
        <v>5.0</v>
      </c>
      <c r="J46" s="31">
        <v>6.0</v>
      </c>
      <c r="K46" s="36" t="s">
        <v>201</v>
      </c>
      <c r="L46" s="31" t="s">
        <v>607</v>
      </c>
      <c r="M46" s="32" t="s">
        <v>69</v>
      </c>
      <c r="N46" s="25"/>
      <c r="O46" s="25"/>
    </row>
    <row r="47" ht="57.75" customHeight="1">
      <c r="A47" s="23" t="s">
        <v>609</v>
      </c>
      <c r="B47" s="35" t="s">
        <v>30</v>
      </c>
      <c r="C47" s="35" t="s">
        <v>23</v>
      </c>
      <c r="D47" s="38" t="s">
        <v>13</v>
      </c>
      <c r="E47" s="40" t="s">
        <v>612</v>
      </c>
      <c r="F47" s="40">
        <v>1.0</v>
      </c>
      <c r="G47" s="40">
        <v>2.0</v>
      </c>
      <c r="H47" s="40">
        <v>3.0</v>
      </c>
      <c r="I47" s="40">
        <v>4.0</v>
      </c>
      <c r="J47" s="40">
        <v>5.0</v>
      </c>
      <c r="K47" s="42" t="s">
        <v>108</v>
      </c>
      <c r="L47" s="40" t="s">
        <v>615</v>
      </c>
      <c r="M47" s="32" t="s">
        <v>69</v>
      </c>
      <c r="N47" s="35"/>
      <c r="O47" s="35"/>
    </row>
    <row r="48" ht="57.75" customHeight="1">
      <c r="A48" s="23" t="s">
        <v>619</v>
      </c>
      <c r="B48" s="25" t="s">
        <v>30</v>
      </c>
      <c r="C48" s="25" t="s">
        <v>23</v>
      </c>
      <c r="D48" s="38" t="s">
        <v>13</v>
      </c>
      <c r="E48" s="31" t="s">
        <v>623</v>
      </c>
      <c r="F48" s="31" t="s">
        <v>624</v>
      </c>
      <c r="G48" s="31" t="s">
        <v>625</v>
      </c>
      <c r="H48" s="31" t="s">
        <v>627</v>
      </c>
      <c r="I48" s="31" t="s">
        <v>628</v>
      </c>
      <c r="J48" s="31" t="s">
        <v>347</v>
      </c>
      <c r="K48" s="36" t="s">
        <v>201</v>
      </c>
      <c r="L48" s="31" t="s">
        <v>632</v>
      </c>
      <c r="M48" s="32" t="s">
        <v>69</v>
      </c>
      <c r="N48" s="25"/>
      <c r="O48" s="25"/>
    </row>
    <row r="49" ht="57.75" customHeight="1">
      <c r="A49" s="23" t="s">
        <v>636</v>
      </c>
      <c r="B49" s="35" t="s">
        <v>30</v>
      </c>
      <c r="C49" s="35" t="s">
        <v>23</v>
      </c>
      <c r="D49" s="38" t="s">
        <v>13</v>
      </c>
      <c r="E49" s="40" t="s">
        <v>639</v>
      </c>
      <c r="F49" s="40" t="s">
        <v>640</v>
      </c>
      <c r="G49" s="40" t="s">
        <v>641</v>
      </c>
      <c r="H49" s="40" t="s">
        <v>643</v>
      </c>
      <c r="I49" s="40" t="s">
        <v>645</v>
      </c>
      <c r="J49" s="40" t="s">
        <v>647</v>
      </c>
      <c r="K49" s="42" t="s">
        <v>108</v>
      </c>
      <c r="L49" s="40" t="s">
        <v>651</v>
      </c>
      <c r="M49" s="32" t="s">
        <v>69</v>
      </c>
      <c r="N49" s="35"/>
      <c r="O49" s="35"/>
    </row>
    <row r="50" ht="57.75" customHeight="1">
      <c r="A50" s="23" t="s">
        <v>653</v>
      </c>
      <c r="B50" s="25" t="s">
        <v>30</v>
      </c>
      <c r="C50" s="25" t="s">
        <v>23</v>
      </c>
      <c r="D50" s="38" t="s">
        <v>13</v>
      </c>
      <c r="E50" s="31" t="s">
        <v>655</v>
      </c>
      <c r="F50" s="31">
        <v>3.0</v>
      </c>
      <c r="G50" s="31">
        <v>4.0</v>
      </c>
      <c r="H50" s="31">
        <v>5.0</v>
      </c>
      <c r="I50" s="31">
        <v>6.0</v>
      </c>
      <c r="J50" s="31">
        <v>7.0</v>
      </c>
      <c r="K50" s="36" t="s">
        <v>66</v>
      </c>
      <c r="L50" s="31" t="s">
        <v>663</v>
      </c>
      <c r="M50" s="32" t="s">
        <v>69</v>
      </c>
      <c r="N50" s="25"/>
      <c r="O50" s="25"/>
    </row>
    <row r="51" ht="57.75" customHeight="1">
      <c r="A51" s="23" t="s">
        <v>665</v>
      </c>
      <c r="B51" s="35" t="s">
        <v>30</v>
      </c>
      <c r="C51" s="35" t="s">
        <v>23</v>
      </c>
      <c r="D51" s="38" t="s">
        <v>13</v>
      </c>
      <c r="E51" s="40" t="s">
        <v>670</v>
      </c>
      <c r="F51" s="40">
        <v>6.0</v>
      </c>
      <c r="G51" s="40">
        <v>7.0</v>
      </c>
      <c r="H51" s="40">
        <v>8.0</v>
      </c>
      <c r="I51" s="40">
        <v>9.0</v>
      </c>
      <c r="J51" s="40">
        <v>10.0</v>
      </c>
      <c r="K51" s="42" t="s">
        <v>201</v>
      </c>
      <c r="L51" s="40" t="s">
        <v>675</v>
      </c>
      <c r="M51" s="32" t="s">
        <v>69</v>
      </c>
      <c r="N51" s="35"/>
      <c r="O51" s="35"/>
    </row>
    <row r="52" ht="57.75" customHeight="1">
      <c r="A52" s="23" t="s">
        <v>678</v>
      </c>
      <c r="B52" s="25" t="s">
        <v>30</v>
      </c>
      <c r="C52" s="25" t="s">
        <v>23</v>
      </c>
      <c r="D52" s="38" t="s">
        <v>13</v>
      </c>
      <c r="E52" s="31" t="s">
        <v>681</v>
      </c>
      <c r="F52" s="31" t="s">
        <v>682</v>
      </c>
      <c r="G52" s="31" t="s">
        <v>684</v>
      </c>
      <c r="H52" s="31" t="s">
        <v>685</v>
      </c>
      <c r="I52" s="31" t="s">
        <v>686</v>
      </c>
      <c r="J52" s="31" t="s">
        <v>688</v>
      </c>
      <c r="K52" s="36" t="s">
        <v>108</v>
      </c>
      <c r="L52" s="31" t="s">
        <v>693</v>
      </c>
      <c r="M52" s="32" t="s">
        <v>69</v>
      </c>
      <c r="N52" s="25"/>
      <c r="O52" s="25"/>
    </row>
    <row r="53" ht="25.5" customHeight="1">
      <c r="A53" s="49" t="s">
        <v>697</v>
      </c>
      <c r="B53" s="50"/>
      <c r="C53" s="50"/>
      <c r="D53" s="50"/>
      <c r="E53" s="50"/>
      <c r="F53" s="50"/>
      <c r="G53" s="50"/>
      <c r="H53" s="50"/>
      <c r="I53" s="50"/>
      <c r="J53" s="52"/>
      <c r="M53" s="71">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2" t="s">
        <v>3</v>
      </c>
      <c r="B1" s="3"/>
      <c r="C1" s="3"/>
      <c r="D1" s="3"/>
      <c r="E1" s="3"/>
      <c r="F1" s="3"/>
      <c r="G1" s="3"/>
      <c r="H1" s="3"/>
      <c r="I1" s="3"/>
      <c r="J1" s="3"/>
      <c r="K1" s="3"/>
      <c r="L1" s="3"/>
      <c r="M1" s="3"/>
      <c r="N1" s="3"/>
      <c r="O1" s="4"/>
    </row>
    <row r="2" ht="30.0" customHeight="1">
      <c r="A2" s="7" t="s">
        <v>6</v>
      </c>
      <c r="B2" s="3"/>
      <c r="C2" s="3"/>
      <c r="D2" s="3"/>
      <c r="E2" s="3"/>
      <c r="F2" s="3"/>
      <c r="G2" s="3"/>
      <c r="H2" s="3"/>
      <c r="I2" s="3"/>
      <c r="J2" s="3"/>
      <c r="K2" s="3"/>
      <c r="L2" s="3"/>
      <c r="M2" s="3"/>
      <c r="N2" s="3"/>
      <c r="O2" s="4"/>
    </row>
    <row r="3" ht="19.5" customHeight="1">
      <c r="A3" s="10" t="s">
        <v>11</v>
      </c>
      <c r="B3" s="3"/>
      <c r="C3" s="3"/>
      <c r="D3" s="3"/>
      <c r="E3" s="3"/>
      <c r="F3" s="3"/>
      <c r="G3" s="3"/>
      <c r="H3" s="3"/>
      <c r="I3" s="3"/>
      <c r="J3" s="3"/>
      <c r="K3" s="3"/>
      <c r="L3" s="3"/>
      <c r="M3" s="3"/>
      <c r="N3" s="3"/>
      <c r="O3" s="4"/>
    </row>
    <row r="4" ht="24.75" customHeight="1">
      <c r="A4" s="9" t="s">
        <v>22</v>
      </c>
      <c r="B4" s="9" t="s">
        <v>8</v>
      </c>
      <c r="C4" s="9" t="s">
        <v>14</v>
      </c>
      <c r="D4" s="9" t="s">
        <v>24</v>
      </c>
      <c r="E4" s="9" t="s">
        <v>25</v>
      </c>
      <c r="F4" s="9" t="s">
        <v>26</v>
      </c>
      <c r="G4" s="9" t="s">
        <v>27</v>
      </c>
      <c r="H4" s="9" t="s">
        <v>28</v>
      </c>
      <c r="I4" s="9" t="s">
        <v>29</v>
      </c>
      <c r="J4" s="9" t="s">
        <v>31</v>
      </c>
      <c r="K4" s="9" t="s">
        <v>32</v>
      </c>
      <c r="L4" s="9" t="s">
        <v>33</v>
      </c>
      <c r="M4" s="9" t="s">
        <v>17</v>
      </c>
      <c r="N4" s="9" t="s">
        <v>35</v>
      </c>
      <c r="O4" s="9" t="s">
        <v>36</v>
      </c>
    </row>
    <row r="5" ht="19.5" customHeight="1">
      <c r="A5" s="18" t="s">
        <v>37</v>
      </c>
      <c r="B5" s="3"/>
      <c r="C5" s="3"/>
      <c r="D5" s="3"/>
      <c r="E5" s="3"/>
      <c r="F5" s="3"/>
      <c r="G5" s="3"/>
      <c r="H5" s="3"/>
      <c r="I5" s="3"/>
      <c r="J5" s="3"/>
      <c r="K5" s="3"/>
      <c r="L5" s="3"/>
      <c r="M5" s="3"/>
      <c r="N5" s="3"/>
      <c r="O5" s="4"/>
    </row>
    <row r="6" ht="57.75" customHeight="1">
      <c r="A6" s="23" t="s">
        <v>52</v>
      </c>
      <c r="B6" s="25" t="s">
        <v>40</v>
      </c>
      <c r="C6" s="25" t="s">
        <v>23</v>
      </c>
      <c r="D6" s="27" t="s">
        <v>10</v>
      </c>
      <c r="E6" s="31" t="s">
        <v>59</v>
      </c>
      <c r="F6" s="31">
        <v>3.0</v>
      </c>
      <c r="G6" s="33">
        <v>30.0</v>
      </c>
      <c r="H6" s="33">
        <v>300.0</v>
      </c>
      <c r="I6" s="33">
        <v>3000.0</v>
      </c>
      <c r="J6" s="33">
        <v>30000.0</v>
      </c>
      <c r="K6" s="36" t="s">
        <v>66</v>
      </c>
      <c r="L6" s="31" t="s">
        <v>83</v>
      </c>
      <c r="M6" s="32" t="s">
        <v>69</v>
      </c>
      <c r="N6" s="25"/>
      <c r="O6" s="25"/>
    </row>
    <row r="7" ht="57.75" customHeight="1">
      <c r="A7" s="23" t="s">
        <v>88</v>
      </c>
      <c r="B7" s="35" t="s">
        <v>40</v>
      </c>
      <c r="C7" s="35" t="s">
        <v>23</v>
      </c>
      <c r="D7" s="27" t="s">
        <v>10</v>
      </c>
      <c r="E7" s="40" t="s">
        <v>93</v>
      </c>
      <c r="F7" s="40" t="s">
        <v>96</v>
      </c>
      <c r="G7" s="40" t="s">
        <v>99</v>
      </c>
      <c r="H7" s="40" t="s">
        <v>101</v>
      </c>
      <c r="I7" s="40" t="s">
        <v>103</v>
      </c>
      <c r="J7" s="40" t="s">
        <v>105</v>
      </c>
      <c r="K7" s="42" t="s">
        <v>108</v>
      </c>
      <c r="L7" s="40" t="s">
        <v>113</v>
      </c>
      <c r="M7" s="32" t="s">
        <v>69</v>
      </c>
      <c r="N7" s="35"/>
      <c r="O7" s="35"/>
    </row>
    <row r="8" ht="57.75" customHeight="1">
      <c r="A8" s="23" t="s">
        <v>115</v>
      </c>
      <c r="B8" s="25" t="s">
        <v>40</v>
      </c>
      <c r="C8" s="25" t="s">
        <v>23</v>
      </c>
      <c r="D8" s="27" t="s">
        <v>10</v>
      </c>
      <c r="E8" s="31" t="s">
        <v>120</v>
      </c>
      <c r="F8" s="31">
        <v>10.0</v>
      </c>
      <c r="G8" s="31">
        <v>15.0</v>
      </c>
      <c r="H8" s="31">
        <v>20.0</v>
      </c>
      <c r="I8" s="31">
        <v>25.0</v>
      </c>
      <c r="J8" s="31">
        <v>30.0</v>
      </c>
      <c r="K8" s="36" t="s">
        <v>108</v>
      </c>
      <c r="L8" s="31" t="s">
        <v>126</v>
      </c>
      <c r="M8" s="32" t="s">
        <v>69</v>
      </c>
      <c r="N8" s="25"/>
      <c r="O8" s="25"/>
    </row>
    <row r="9" ht="57.75" customHeight="1">
      <c r="A9" s="23" t="s">
        <v>129</v>
      </c>
      <c r="B9" s="35" t="s">
        <v>40</v>
      </c>
      <c r="C9" s="35" t="s">
        <v>23</v>
      </c>
      <c r="D9" s="27" t="s">
        <v>10</v>
      </c>
      <c r="E9" s="40" t="s">
        <v>134</v>
      </c>
      <c r="F9" s="40">
        <v>18.0</v>
      </c>
      <c r="G9" s="40">
        <v>36.0</v>
      </c>
      <c r="H9" s="40">
        <v>162.0</v>
      </c>
      <c r="I9" s="40">
        <v>180.0</v>
      </c>
      <c r="J9" s="40">
        <v>198.0</v>
      </c>
      <c r="K9" s="42" t="s">
        <v>136</v>
      </c>
      <c r="L9" s="40" t="s">
        <v>140</v>
      </c>
      <c r="M9" s="32" t="s">
        <v>69</v>
      </c>
      <c r="N9" s="35"/>
      <c r="O9" s="35"/>
    </row>
    <row r="10" ht="57.75" customHeight="1">
      <c r="A10" s="23" t="s">
        <v>145</v>
      </c>
      <c r="B10" s="25" t="s">
        <v>40</v>
      </c>
      <c r="C10" s="25" t="s">
        <v>23</v>
      </c>
      <c r="D10" s="27" t="s">
        <v>10</v>
      </c>
      <c r="E10" s="31" t="s">
        <v>150</v>
      </c>
      <c r="F10" s="31">
        <v>400.0</v>
      </c>
      <c r="G10" s="31">
        <v>450.0</v>
      </c>
      <c r="H10" s="31">
        <v>500.0</v>
      </c>
      <c r="I10" s="31">
        <v>550.0</v>
      </c>
      <c r="J10" s="31">
        <v>600.0</v>
      </c>
      <c r="K10" s="36" t="s">
        <v>108</v>
      </c>
      <c r="L10" s="31" t="s">
        <v>155</v>
      </c>
      <c r="M10" s="32" t="s">
        <v>69</v>
      </c>
      <c r="N10" s="25"/>
      <c r="O10" s="25"/>
    </row>
    <row r="11" ht="57.75" customHeight="1">
      <c r="A11" s="23" t="s">
        <v>160</v>
      </c>
      <c r="B11" s="35" t="s">
        <v>40</v>
      </c>
      <c r="C11" s="35" t="s">
        <v>23</v>
      </c>
      <c r="D11" s="27" t="s">
        <v>10</v>
      </c>
      <c r="E11" s="40" t="s">
        <v>162</v>
      </c>
      <c r="F11" s="40">
        <v>2.0</v>
      </c>
      <c r="G11" s="40">
        <v>3.0</v>
      </c>
      <c r="H11" s="40">
        <v>4.0</v>
      </c>
      <c r="I11" s="40">
        <v>5.0</v>
      </c>
      <c r="J11" s="40">
        <v>9.0</v>
      </c>
      <c r="K11" s="42" t="s">
        <v>66</v>
      </c>
      <c r="L11" s="40" t="s">
        <v>164</v>
      </c>
      <c r="M11" s="32" t="s">
        <v>69</v>
      </c>
      <c r="N11" s="35"/>
      <c r="O11" s="35"/>
    </row>
    <row r="12" ht="57.75" customHeight="1">
      <c r="A12" s="23" t="s">
        <v>165</v>
      </c>
      <c r="B12" s="25" t="s">
        <v>40</v>
      </c>
      <c r="C12" s="25" t="s">
        <v>23</v>
      </c>
      <c r="D12" s="27" t="s">
        <v>10</v>
      </c>
      <c r="E12" s="31" t="s">
        <v>167</v>
      </c>
      <c r="F12" s="31">
        <v>300.0</v>
      </c>
      <c r="G12" s="31">
        <v>350.0</v>
      </c>
      <c r="H12" s="31">
        <v>400.0</v>
      </c>
      <c r="I12" s="31">
        <v>450.0</v>
      </c>
      <c r="J12" s="31">
        <v>500.0</v>
      </c>
      <c r="K12" s="36" t="s">
        <v>108</v>
      </c>
      <c r="L12" s="31" t="s">
        <v>168</v>
      </c>
      <c r="M12" s="32" t="s">
        <v>69</v>
      </c>
      <c r="N12" s="25"/>
      <c r="O12" s="25"/>
    </row>
    <row r="13" ht="57.75" customHeight="1">
      <c r="A13" s="23" t="s">
        <v>169</v>
      </c>
      <c r="B13" s="35" t="s">
        <v>40</v>
      </c>
      <c r="C13" s="35" t="s">
        <v>23</v>
      </c>
      <c r="D13" s="27" t="s">
        <v>10</v>
      </c>
      <c r="E13" s="40" t="s">
        <v>173</v>
      </c>
      <c r="F13" s="40" t="s">
        <v>174</v>
      </c>
      <c r="G13" s="40" t="s">
        <v>175</v>
      </c>
      <c r="H13" s="40" t="s">
        <v>177</v>
      </c>
      <c r="I13" s="40" t="s">
        <v>179</v>
      </c>
      <c r="J13" s="40" t="s">
        <v>181</v>
      </c>
      <c r="K13" s="42" t="s">
        <v>108</v>
      </c>
      <c r="L13" s="40" t="s">
        <v>182</v>
      </c>
      <c r="M13" s="32" t="s">
        <v>69</v>
      </c>
      <c r="N13" s="35"/>
      <c r="O13" s="35"/>
    </row>
    <row r="14" ht="57.75" customHeight="1">
      <c r="A14" s="23" t="s">
        <v>184</v>
      </c>
      <c r="B14" s="25" t="s">
        <v>40</v>
      </c>
      <c r="C14" s="25" t="s">
        <v>23</v>
      </c>
      <c r="D14" s="27" t="s">
        <v>10</v>
      </c>
      <c r="E14" s="31" t="s">
        <v>185</v>
      </c>
      <c r="F14" s="31">
        <v>200.0</v>
      </c>
      <c r="G14" s="31">
        <v>250.0</v>
      </c>
      <c r="H14" s="31">
        <v>300.0</v>
      </c>
      <c r="I14" s="31">
        <v>350.0</v>
      </c>
      <c r="J14" s="31">
        <v>400.0</v>
      </c>
      <c r="K14" s="36" t="s">
        <v>66</v>
      </c>
      <c r="L14" s="31" t="s">
        <v>187</v>
      </c>
      <c r="M14" s="32" t="s">
        <v>69</v>
      </c>
      <c r="N14" s="25"/>
      <c r="O14" s="25"/>
    </row>
    <row r="15" ht="57.75" customHeight="1">
      <c r="A15" s="23" t="s">
        <v>189</v>
      </c>
      <c r="B15" s="35" t="s">
        <v>40</v>
      </c>
      <c r="C15" s="35" t="s">
        <v>23</v>
      </c>
      <c r="D15" s="27" t="s">
        <v>10</v>
      </c>
      <c r="E15" s="40" t="s">
        <v>191</v>
      </c>
      <c r="F15" s="40" t="s">
        <v>192</v>
      </c>
      <c r="G15" s="40" t="s">
        <v>194</v>
      </c>
      <c r="H15" s="40" t="s">
        <v>195</v>
      </c>
      <c r="I15" s="40" t="s">
        <v>197</v>
      </c>
      <c r="J15" s="40" t="s">
        <v>199</v>
      </c>
      <c r="K15" s="42" t="s">
        <v>201</v>
      </c>
      <c r="L15" s="40" t="s">
        <v>203</v>
      </c>
      <c r="M15" s="32" t="s">
        <v>69</v>
      </c>
      <c r="N15" s="35"/>
      <c r="O15" s="35"/>
    </row>
    <row r="16" ht="57.75" customHeight="1">
      <c r="A16" s="23" t="s">
        <v>207</v>
      </c>
      <c r="B16" s="25" t="s">
        <v>40</v>
      </c>
      <c r="C16" s="25" t="s">
        <v>23</v>
      </c>
      <c r="D16" s="27" t="s">
        <v>10</v>
      </c>
      <c r="E16" s="31" t="s">
        <v>211</v>
      </c>
      <c r="F16" s="31">
        <v>120.0</v>
      </c>
      <c r="G16" s="31">
        <v>200.0</v>
      </c>
      <c r="H16" s="31">
        <v>240.0</v>
      </c>
      <c r="I16" s="31">
        <v>300.0</v>
      </c>
      <c r="J16" s="31">
        <v>600.0</v>
      </c>
      <c r="K16" s="36" t="s">
        <v>201</v>
      </c>
      <c r="L16" s="31" t="s">
        <v>213</v>
      </c>
      <c r="M16" s="32" t="s">
        <v>69</v>
      </c>
      <c r="N16" s="25"/>
      <c r="O16" s="25"/>
    </row>
    <row r="17" ht="57.75" customHeight="1">
      <c r="A17" s="23" t="s">
        <v>215</v>
      </c>
      <c r="B17" s="35" t="s">
        <v>40</v>
      </c>
      <c r="C17" s="35" t="s">
        <v>23</v>
      </c>
      <c r="D17" s="27" t="s">
        <v>10</v>
      </c>
      <c r="E17" s="40" t="s">
        <v>217</v>
      </c>
      <c r="F17" s="40" t="s">
        <v>218</v>
      </c>
      <c r="G17" s="40" t="s">
        <v>175</v>
      </c>
      <c r="H17" s="40" t="s">
        <v>220</v>
      </c>
      <c r="I17" s="40" t="s">
        <v>179</v>
      </c>
      <c r="J17" s="40" t="s">
        <v>221</v>
      </c>
      <c r="K17" s="42" t="s">
        <v>136</v>
      </c>
      <c r="L17" s="40" t="s">
        <v>223</v>
      </c>
      <c r="M17" s="32" t="s">
        <v>69</v>
      </c>
      <c r="N17" s="35"/>
      <c r="O17" s="35"/>
    </row>
    <row r="18" ht="57.75" customHeight="1">
      <c r="A18" s="23" t="s">
        <v>226</v>
      </c>
      <c r="B18" s="25" t="s">
        <v>40</v>
      </c>
      <c r="C18" s="25" t="s">
        <v>23</v>
      </c>
      <c r="D18" s="27" t="s">
        <v>10</v>
      </c>
      <c r="E18" s="31" t="s">
        <v>228</v>
      </c>
      <c r="F18" s="31">
        <v>50.0</v>
      </c>
      <c r="G18" s="31">
        <v>60.0</v>
      </c>
      <c r="H18" s="31">
        <v>70.0</v>
      </c>
      <c r="I18" s="31">
        <v>80.0</v>
      </c>
      <c r="J18" s="31">
        <v>90.0</v>
      </c>
      <c r="K18" s="36" t="s">
        <v>66</v>
      </c>
      <c r="L18" s="31" t="s">
        <v>230</v>
      </c>
      <c r="M18" s="32" t="s">
        <v>69</v>
      </c>
      <c r="N18" s="25"/>
      <c r="O18" s="25"/>
    </row>
    <row r="19" ht="57.75" customHeight="1">
      <c r="A19" s="23" t="s">
        <v>232</v>
      </c>
      <c r="B19" s="35" t="s">
        <v>40</v>
      </c>
      <c r="C19" s="35" t="s">
        <v>23</v>
      </c>
      <c r="D19" s="27" t="s">
        <v>10</v>
      </c>
      <c r="E19" s="40" t="s">
        <v>234</v>
      </c>
      <c r="F19" s="40" t="s">
        <v>235</v>
      </c>
      <c r="G19" s="40">
        <v>10.0</v>
      </c>
      <c r="H19" s="40">
        <v>25.0</v>
      </c>
      <c r="I19" s="40">
        <v>100.0</v>
      </c>
      <c r="J19" s="40">
        <v>250.0</v>
      </c>
      <c r="K19" s="42" t="s">
        <v>108</v>
      </c>
      <c r="L19" s="40" t="s">
        <v>239</v>
      </c>
      <c r="M19" s="32" t="s">
        <v>69</v>
      </c>
      <c r="N19" s="35"/>
      <c r="O19" s="35"/>
    </row>
    <row r="20" ht="57.75" customHeight="1">
      <c r="A20" s="23" t="s">
        <v>244</v>
      </c>
      <c r="B20" s="25" t="s">
        <v>40</v>
      </c>
      <c r="C20" s="25" t="s">
        <v>23</v>
      </c>
      <c r="D20" s="27" t="s">
        <v>10</v>
      </c>
      <c r="E20" s="31" t="s">
        <v>246</v>
      </c>
      <c r="F20" s="59">
        <v>0.15</v>
      </c>
      <c r="G20" s="59">
        <v>0.7</v>
      </c>
      <c r="H20" s="59">
        <v>0.75</v>
      </c>
      <c r="I20" s="59">
        <v>0.8</v>
      </c>
      <c r="J20" s="59">
        <v>0.85</v>
      </c>
      <c r="K20" s="36" t="s">
        <v>206</v>
      </c>
      <c r="L20" s="31" t="s">
        <v>251</v>
      </c>
      <c r="M20" s="32" t="s">
        <v>69</v>
      </c>
      <c r="N20" s="25"/>
      <c r="O20" s="25"/>
    </row>
    <row r="21" ht="19.5" customHeight="1">
      <c r="A21" s="61" t="s">
        <v>255</v>
      </c>
      <c r="B21" s="3"/>
      <c r="C21" s="3"/>
      <c r="D21" s="3"/>
      <c r="E21" s="3"/>
      <c r="F21" s="3"/>
      <c r="G21" s="3"/>
      <c r="H21" s="3"/>
      <c r="I21" s="3"/>
      <c r="J21" s="3"/>
      <c r="K21" s="3"/>
      <c r="L21" s="3"/>
      <c r="M21" s="3"/>
      <c r="N21" s="3"/>
      <c r="O21" s="4"/>
    </row>
    <row r="22" ht="57.75" customHeight="1">
      <c r="A22" s="23" t="s">
        <v>265</v>
      </c>
      <c r="B22" s="35" t="s">
        <v>40</v>
      </c>
      <c r="C22" s="35" t="s">
        <v>23</v>
      </c>
      <c r="D22" s="17" t="s">
        <v>12</v>
      </c>
      <c r="E22" s="40" t="s">
        <v>270</v>
      </c>
      <c r="F22" s="40" t="s">
        <v>271</v>
      </c>
      <c r="G22" s="63" t="s">
        <v>272</v>
      </c>
      <c r="H22" s="63" t="s">
        <v>273</v>
      </c>
      <c r="I22" s="63" t="s">
        <v>274</v>
      </c>
      <c r="J22" s="63" t="s">
        <v>275</v>
      </c>
      <c r="K22" s="42" t="s">
        <v>108</v>
      </c>
      <c r="L22" s="40" t="s">
        <v>276</v>
      </c>
      <c r="M22" s="32" t="s">
        <v>69</v>
      </c>
      <c r="N22" s="35"/>
      <c r="O22" s="35"/>
    </row>
    <row r="23" ht="57.75" customHeight="1">
      <c r="A23" s="23" t="s">
        <v>278</v>
      </c>
      <c r="B23" s="25" t="s">
        <v>40</v>
      </c>
      <c r="C23" s="25" t="s">
        <v>23</v>
      </c>
      <c r="D23" s="17" t="s">
        <v>12</v>
      </c>
      <c r="E23" s="31" t="s">
        <v>279</v>
      </c>
      <c r="F23" s="31" t="s">
        <v>280</v>
      </c>
      <c r="G23" s="31" t="s">
        <v>281</v>
      </c>
      <c r="H23" s="31" t="s">
        <v>282</v>
      </c>
      <c r="I23" s="31" t="s">
        <v>283</v>
      </c>
      <c r="J23" s="31" t="s">
        <v>284</v>
      </c>
      <c r="K23" s="36" t="s">
        <v>66</v>
      </c>
      <c r="L23" s="31" t="s">
        <v>285</v>
      </c>
      <c r="M23" s="32" t="s">
        <v>69</v>
      </c>
      <c r="N23" s="25"/>
      <c r="O23" s="25"/>
    </row>
    <row r="24" ht="57.75" customHeight="1">
      <c r="A24" s="23" t="s">
        <v>287</v>
      </c>
      <c r="B24" s="35" t="s">
        <v>40</v>
      </c>
      <c r="C24" s="35" t="s">
        <v>23</v>
      </c>
      <c r="D24" s="17" t="s">
        <v>12</v>
      </c>
      <c r="E24" s="40" t="s">
        <v>289</v>
      </c>
      <c r="F24" s="40" t="s">
        <v>290</v>
      </c>
      <c r="G24" s="40" t="s">
        <v>291</v>
      </c>
      <c r="H24" s="40" t="s">
        <v>292</v>
      </c>
      <c r="I24" s="40" t="s">
        <v>293</v>
      </c>
      <c r="J24" s="40" t="s">
        <v>294</v>
      </c>
      <c r="K24" s="42" t="s">
        <v>66</v>
      </c>
      <c r="L24" s="40" t="s">
        <v>295</v>
      </c>
      <c r="M24" s="32" t="s">
        <v>69</v>
      </c>
      <c r="N24" s="35"/>
      <c r="O24" s="35"/>
    </row>
    <row r="25" ht="57.75" customHeight="1">
      <c r="A25" s="23" t="s">
        <v>296</v>
      </c>
      <c r="B25" s="25" t="s">
        <v>40</v>
      </c>
      <c r="C25" s="25" t="s">
        <v>23</v>
      </c>
      <c r="D25" s="17" t="s">
        <v>12</v>
      </c>
      <c r="E25" s="31" t="s">
        <v>297</v>
      </c>
      <c r="F25" s="31" t="s">
        <v>298</v>
      </c>
      <c r="G25" s="31" t="s">
        <v>299</v>
      </c>
      <c r="H25" s="31" t="s">
        <v>300</v>
      </c>
      <c r="I25" s="31" t="s">
        <v>301</v>
      </c>
      <c r="J25" s="31" t="s">
        <v>302</v>
      </c>
      <c r="K25" s="36" t="s">
        <v>66</v>
      </c>
      <c r="L25" s="31" t="s">
        <v>303</v>
      </c>
      <c r="M25" s="32" t="s">
        <v>69</v>
      </c>
      <c r="N25" s="25"/>
      <c r="O25" s="25"/>
    </row>
    <row r="26" ht="57.75" customHeight="1">
      <c r="A26" s="23" t="s">
        <v>305</v>
      </c>
      <c r="B26" s="35" t="s">
        <v>40</v>
      </c>
      <c r="C26" s="35" t="s">
        <v>23</v>
      </c>
      <c r="D26" s="17" t="s">
        <v>12</v>
      </c>
      <c r="E26" s="40" t="s">
        <v>308</v>
      </c>
      <c r="F26" s="40" t="s">
        <v>310</v>
      </c>
      <c r="G26" s="40" t="s">
        <v>311</v>
      </c>
      <c r="H26" s="40" t="s">
        <v>313</v>
      </c>
      <c r="I26" s="40" t="s">
        <v>99</v>
      </c>
      <c r="J26" s="40" t="s">
        <v>315</v>
      </c>
      <c r="K26" s="42" t="s">
        <v>66</v>
      </c>
      <c r="L26" s="40" t="s">
        <v>316</v>
      </c>
      <c r="M26" s="32" t="s">
        <v>69</v>
      </c>
      <c r="N26" s="35"/>
      <c r="O26" s="35"/>
    </row>
    <row r="27" ht="57.75" customHeight="1">
      <c r="A27" s="23" t="s">
        <v>317</v>
      </c>
      <c r="B27" s="25" t="s">
        <v>40</v>
      </c>
      <c r="C27" s="25" t="s">
        <v>23</v>
      </c>
      <c r="D27" s="17" t="s">
        <v>12</v>
      </c>
      <c r="E27" s="31" t="s">
        <v>319</v>
      </c>
      <c r="F27" s="31" t="s">
        <v>320</v>
      </c>
      <c r="G27" s="31" t="s">
        <v>321</v>
      </c>
      <c r="H27" s="31" t="s">
        <v>322</v>
      </c>
      <c r="I27" s="31" t="s">
        <v>323</v>
      </c>
      <c r="J27" s="31" t="s">
        <v>325</v>
      </c>
      <c r="K27" s="36" t="s">
        <v>66</v>
      </c>
      <c r="L27" s="31" t="s">
        <v>326</v>
      </c>
      <c r="M27" s="32" t="s">
        <v>69</v>
      </c>
      <c r="N27" s="25"/>
      <c r="O27" s="25"/>
    </row>
    <row r="28" ht="57.75" customHeight="1">
      <c r="A28" s="23" t="s">
        <v>328</v>
      </c>
      <c r="B28" s="35" t="s">
        <v>40</v>
      </c>
      <c r="C28" s="35" t="s">
        <v>23</v>
      </c>
      <c r="D28" s="17" t="s">
        <v>12</v>
      </c>
      <c r="E28" s="40" t="s">
        <v>329</v>
      </c>
      <c r="F28" s="40" t="s">
        <v>330</v>
      </c>
      <c r="G28" s="40" t="s">
        <v>332</v>
      </c>
      <c r="H28" s="40" t="s">
        <v>333</v>
      </c>
      <c r="I28" s="40" t="s">
        <v>334</v>
      </c>
      <c r="J28" s="40" t="s">
        <v>335</v>
      </c>
      <c r="K28" s="42" t="s">
        <v>108</v>
      </c>
      <c r="L28" s="40" t="s">
        <v>338</v>
      </c>
      <c r="M28" s="32" t="s">
        <v>69</v>
      </c>
      <c r="N28" s="35"/>
      <c r="O28" s="35"/>
    </row>
    <row r="29" ht="57.75" customHeight="1">
      <c r="A29" s="23" t="s">
        <v>341</v>
      </c>
      <c r="B29" s="25" t="s">
        <v>40</v>
      </c>
      <c r="C29" s="25" t="s">
        <v>23</v>
      </c>
      <c r="D29" s="17" t="s">
        <v>12</v>
      </c>
      <c r="E29" s="31" t="s">
        <v>344</v>
      </c>
      <c r="F29" s="31" t="s">
        <v>345</v>
      </c>
      <c r="G29" s="31" t="s">
        <v>346</v>
      </c>
      <c r="H29" s="31" t="s">
        <v>347</v>
      </c>
      <c r="I29" s="31" t="s">
        <v>348</v>
      </c>
      <c r="J29" s="31" t="s">
        <v>349</v>
      </c>
      <c r="K29" s="36" t="s">
        <v>66</v>
      </c>
      <c r="L29" s="31" t="s">
        <v>351</v>
      </c>
      <c r="M29" s="32" t="s">
        <v>69</v>
      </c>
      <c r="N29" s="25"/>
      <c r="O29" s="25"/>
    </row>
    <row r="30" ht="57.75" customHeight="1">
      <c r="A30" s="23" t="s">
        <v>354</v>
      </c>
      <c r="B30" s="35" t="s">
        <v>40</v>
      </c>
      <c r="C30" s="35" t="s">
        <v>23</v>
      </c>
      <c r="D30" s="17" t="s">
        <v>12</v>
      </c>
      <c r="E30" s="40" t="s">
        <v>360</v>
      </c>
      <c r="F30" s="40" t="s">
        <v>362</v>
      </c>
      <c r="G30" s="40" t="s">
        <v>363</v>
      </c>
      <c r="H30" s="40" t="s">
        <v>364</v>
      </c>
      <c r="I30" s="40" t="s">
        <v>366</v>
      </c>
      <c r="J30" s="40" t="s">
        <v>367</v>
      </c>
      <c r="K30" s="42" t="s">
        <v>108</v>
      </c>
      <c r="L30" s="40" t="s">
        <v>368</v>
      </c>
      <c r="M30" s="32" t="s">
        <v>69</v>
      </c>
      <c r="N30" s="35"/>
      <c r="O30" s="35"/>
    </row>
    <row r="31" ht="57.75" customHeight="1">
      <c r="A31" s="23" t="s">
        <v>369</v>
      </c>
      <c r="B31" s="25" t="s">
        <v>40</v>
      </c>
      <c r="C31" s="25" t="s">
        <v>23</v>
      </c>
      <c r="D31" s="17" t="s">
        <v>12</v>
      </c>
      <c r="E31" s="31" t="s">
        <v>370</v>
      </c>
      <c r="F31" s="31">
        <v>60.0</v>
      </c>
      <c r="G31" s="31">
        <v>80.0</v>
      </c>
      <c r="H31" s="31">
        <v>100.0</v>
      </c>
      <c r="I31" s="31">
        <v>120.0</v>
      </c>
      <c r="J31" s="31">
        <v>150.0</v>
      </c>
      <c r="K31" s="36" t="s">
        <v>108</v>
      </c>
      <c r="L31" s="31" t="s">
        <v>372</v>
      </c>
      <c r="M31" s="32" t="s">
        <v>69</v>
      </c>
      <c r="N31" s="25"/>
      <c r="O31" s="25"/>
    </row>
    <row r="32" ht="57.75" customHeight="1">
      <c r="A32" s="23" t="s">
        <v>374</v>
      </c>
      <c r="B32" s="35" t="s">
        <v>40</v>
      </c>
      <c r="C32" s="35" t="s">
        <v>23</v>
      </c>
      <c r="D32" s="17" t="s">
        <v>12</v>
      </c>
      <c r="E32" s="40" t="s">
        <v>376</v>
      </c>
      <c r="F32" s="40" t="s">
        <v>380</v>
      </c>
      <c r="G32" s="40" t="s">
        <v>381</v>
      </c>
      <c r="H32" s="40" t="s">
        <v>383</v>
      </c>
      <c r="I32" s="40" t="s">
        <v>384</v>
      </c>
      <c r="J32" s="40" t="s">
        <v>386</v>
      </c>
      <c r="K32" s="42" t="s">
        <v>66</v>
      </c>
      <c r="L32" s="40" t="s">
        <v>389</v>
      </c>
      <c r="M32" s="32" t="s">
        <v>69</v>
      </c>
      <c r="N32" s="35"/>
      <c r="O32" s="35"/>
    </row>
    <row r="33" ht="57.75" customHeight="1">
      <c r="A33" s="23" t="s">
        <v>391</v>
      </c>
      <c r="B33" s="25" t="s">
        <v>40</v>
      </c>
      <c r="C33" s="25" t="s">
        <v>23</v>
      </c>
      <c r="D33" s="17" t="s">
        <v>12</v>
      </c>
      <c r="E33" s="31" t="s">
        <v>392</v>
      </c>
      <c r="F33" s="31" t="s">
        <v>393</v>
      </c>
      <c r="G33" s="31" t="s">
        <v>394</v>
      </c>
      <c r="H33" s="31" t="s">
        <v>395</v>
      </c>
      <c r="I33" s="31" t="s">
        <v>397</v>
      </c>
      <c r="J33" s="31" t="s">
        <v>398</v>
      </c>
      <c r="K33" s="36" t="s">
        <v>66</v>
      </c>
      <c r="L33" s="31" t="s">
        <v>399</v>
      </c>
      <c r="M33" s="32" t="s">
        <v>69</v>
      </c>
      <c r="N33" s="25"/>
      <c r="O33" s="25"/>
    </row>
    <row r="34" ht="57.75" customHeight="1">
      <c r="A34" s="23" t="s">
        <v>401</v>
      </c>
      <c r="B34" s="35" t="s">
        <v>40</v>
      </c>
      <c r="C34" s="35" t="s">
        <v>23</v>
      </c>
      <c r="D34" s="17" t="s">
        <v>12</v>
      </c>
      <c r="E34" s="40" t="s">
        <v>407</v>
      </c>
      <c r="F34" s="40" t="s">
        <v>408</v>
      </c>
      <c r="G34" s="40" t="s">
        <v>409</v>
      </c>
      <c r="H34" s="40" t="s">
        <v>411</v>
      </c>
      <c r="I34" s="40" t="s">
        <v>412</v>
      </c>
      <c r="J34" s="40" t="s">
        <v>413</v>
      </c>
      <c r="K34" s="42" t="s">
        <v>108</v>
      </c>
      <c r="L34" s="40" t="s">
        <v>415</v>
      </c>
      <c r="M34" s="32" t="s">
        <v>69</v>
      </c>
      <c r="N34" s="35"/>
      <c r="O34" s="35"/>
    </row>
    <row r="35" ht="57.75" customHeight="1">
      <c r="A35" s="23" t="s">
        <v>417</v>
      </c>
      <c r="B35" s="25" t="s">
        <v>40</v>
      </c>
      <c r="C35" s="25" t="s">
        <v>23</v>
      </c>
      <c r="D35" s="17" t="s">
        <v>12</v>
      </c>
      <c r="E35" s="31" t="s">
        <v>418</v>
      </c>
      <c r="F35" s="31" t="s">
        <v>419</v>
      </c>
      <c r="G35" s="31" t="s">
        <v>420</v>
      </c>
      <c r="H35" s="31" t="s">
        <v>421</v>
      </c>
      <c r="I35" s="31" t="s">
        <v>422</v>
      </c>
      <c r="J35" s="31" t="s">
        <v>423</v>
      </c>
      <c r="K35" s="36" t="s">
        <v>108</v>
      </c>
      <c r="L35" s="31" t="s">
        <v>424</v>
      </c>
      <c r="M35" s="32" t="s">
        <v>69</v>
      </c>
      <c r="N35" s="25"/>
      <c r="O35" s="25"/>
    </row>
    <row r="36" ht="57.75" customHeight="1">
      <c r="A36" s="23" t="s">
        <v>425</v>
      </c>
      <c r="B36" s="35" t="s">
        <v>40</v>
      </c>
      <c r="C36" s="35" t="s">
        <v>23</v>
      </c>
      <c r="D36" s="17" t="s">
        <v>12</v>
      </c>
      <c r="E36" s="40" t="s">
        <v>426</v>
      </c>
      <c r="F36" s="40" t="s">
        <v>427</v>
      </c>
      <c r="G36" s="40" t="s">
        <v>428</v>
      </c>
      <c r="H36" s="40" t="s">
        <v>429</v>
      </c>
      <c r="I36" s="40" t="s">
        <v>430</v>
      </c>
      <c r="J36" s="40" t="s">
        <v>431</v>
      </c>
      <c r="K36" s="42" t="s">
        <v>66</v>
      </c>
      <c r="L36" s="40" t="s">
        <v>432</v>
      </c>
      <c r="M36" s="32" t="s">
        <v>69</v>
      </c>
      <c r="N36" s="35"/>
      <c r="O36" s="35"/>
    </row>
    <row r="37" ht="19.5" customHeight="1">
      <c r="A37" s="69" t="s">
        <v>435</v>
      </c>
      <c r="B37" s="3"/>
      <c r="C37" s="3"/>
      <c r="D37" s="3"/>
      <c r="E37" s="3"/>
      <c r="F37" s="3"/>
      <c r="G37" s="3"/>
      <c r="H37" s="3"/>
      <c r="I37" s="3"/>
      <c r="J37" s="3"/>
      <c r="K37" s="3"/>
      <c r="L37" s="3"/>
      <c r="M37" s="3"/>
      <c r="N37" s="3"/>
      <c r="O37" s="4"/>
    </row>
    <row r="38" ht="57.75" customHeight="1">
      <c r="A38" s="23" t="s">
        <v>439</v>
      </c>
      <c r="B38" s="25" t="s">
        <v>40</v>
      </c>
      <c r="C38" s="25" t="s">
        <v>23</v>
      </c>
      <c r="D38" s="38" t="s">
        <v>13</v>
      </c>
      <c r="E38" s="31" t="s">
        <v>443</v>
      </c>
      <c r="F38" s="31">
        <v>60.0</v>
      </c>
      <c r="G38" s="31">
        <v>64.0</v>
      </c>
      <c r="H38" s="31">
        <v>68.0</v>
      </c>
      <c r="I38" s="31">
        <v>72.0</v>
      </c>
      <c r="J38" s="31">
        <v>76.0</v>
      </c>
      <c r="K38" s="36" t="s">
        <v>201</v>
      </c>
      <c r="L38" s="31" t="s">
        <v>448</v>
      </c>
      <c r="M38" s="32" t="s">
        <v>69</v>
      </c>
      <c r="N38" s="25"/>
      <c r="O38" s="25"/>
    </row>
    <row r="39" ht="57.75" customHeight="1">
      <c r="A39" s="23" t="s">
        <v>450</v>
      </c>
      <c r="B39" s="35" t="s">
        <v>40</v>
      </c>
      <c r="C39" s="35" t="s">
        <v>23</v>
      </c>
      <c r="D39" s="38" t="s">
        <v>13</v>
      </c>
      <c r="E39" s="40" t="s">
        <v>452</v>
      </c>
      <c r="F39" s="40" t="s">
        <v>453</v>
      </c>
      <c r="G39" s="40" t="s">
        <v>454</v>
      </c>
      <c r="H39" s="40" t="s">
        <v>455</v>
      </c>
      <c r="I39" s="40" t="s">
        <v>456</v>
      </c>
      <c r="J39" s="40" t="s">
        <v>457</v>
      </c>
      <c r="K39" s="42" t="s">
        <v>66</v>
      </c>
      <c r="L39" s="40" t="s">
        <v>458</v>
      </c>
      <c r="M39" s="32" t="s">
        <v>69</v>
      </c>
      <c r="N39" s="35"/>
      <c r="O39" s="35"/>
    </row>
    <row r="40" ht="57.75" customHeight="1">
      <c r="A40" s="23" t="s">
        <v>460</v>
      </c>
      <c r="B40" s="25" t="s">
        <v>40</v>
      </c>
      <c r="C40" s="25" t="s">
        <v>23</v>
      </c>
      <c r="D40" s="38" t="s">
        <v>13</v>
      </c>
      <c r="E40" s="31" t="s">
        <v>462</v>
      </c>
      <c r="F40" s="31" t="s">
        <v>464</v>
      </c>
      <c r="G40" s="31" t="s">
        <v>465</v>
      </c>
      <c r="H40" s="31" t="s">
        <v>466</v>
      </c>
      <c r="I40" s="31" t="s">
        <v>467</v>
      </c>
      <c r="J40" s="31" t="s">
        <v>468</v>
      </c>
      <c r="K40" s="36" t="s">
        <v>108</v>
      </c>
      <c r="L40" s="31" t="s">
        <v>469</v>
      </c>
      <c r="M40" s="32" t="s">
        <v>69</v>
      </c>
      <c r="N40" s="25"/>
      <c r="O40" s="25"/>
    </row>
    <row r="41" ht="57.75" customHeight="1">
      <c r="A41" s="23" t="s">
        <v>471</v>
      </c>
      <c r="B41" s="35" t="s">
        <v>40</v>
      </c>
      <c r="C41" s="35" t="s">
        <v>23</v>
      </c>
      <c r="D41" s="38" t="s">
        <v>13</v>
      </c>
      <c r="E41" s="40" t="s">
        <v>473</v>
      </c>
      <c r="F41" s="40">
        <v>22.0</v>
      </c>
      <c r="G41" s="40">
        <v>24.0</v>
      </c>
      <c r="H41" s="40">
        <v>26.0</v>
      </c>
      <c r="I41" s="40">
        <v>28.0</v>
      </c>
      <c r="J41" s="40">
        <v>30.0</v>
      </c>
      <c r="K41" s="42" t="s">
        <v>108</v>
      </c>
      <c r="L41" s="40" t="s">
        <v>476</v>
      </c>
      <c r="M41" s="32" t="s">
        <v>69</v>
      </c>
      <c r="N41" s="35"/>
      <c r="O41" s="35"/>
    </row>
    <row r="42" ht="57.75" customHeight="1">
      <c r="A42" s="23" t="s">
        <v>477</v>
      </c>
      <c r="B42" s="25" t="s">
        <v>40</v>
      </c>
      <c r="C42" s="25" t="s">
        <v>23</v>
      </c>
      <c r="D42" s="38" t="s">
        <v>13</v>
      </c>
      <c r="E42" s="31" t="s">
        <v>480</v>
      </c>
      <c r="F42" s="31" t="s">
        <v>481</v>
      </c>
      <c r="G42" s="31" t="s">
        <v>482</v>
      </c>
      <c r="H42" s="31" t="s">
        <v>483</v>
      </c>
      <c r="I42" s="31" t="s">
        <v>484</v>
      </c>
      <c r="J42" s="31" t="s">
        <v>486</v>
      </c>
      <c r="K42" s="36" t="s">
        <v>201</v>
      </c>
      <c r="L42" s="31" t="s">
        <v>487</v>
      </c>
      <c r="M42" s="32" t="s">
        <v>69</v>
      </c>
      <c r="N42" s="25"/>
      <c r="O42" s="25"/>
    </row>
    <row r="43" ht="57.75" customHeight="1">
      <c r="A43" s="23" t="s">
        <v>489</v>
      </c>
      <c r="B43" s="35" t="s">
        <v>40</v>
      </c>
      <c r="C43" s="35" t="s">
        <v>23</v>
      </c>
      <c r="D43" s="38" t="s">
        <v>13</v>
      </c>
      <c r="E43" s="40" t="s">
        <v>495</v>
      </c>
      <c r="F43" s="40">
        <v>380.0</v>
      </c>
      <c r="G43" s="40">
        <v>402.0</v>
      </c>
      <c r="H43" s="40">
        <v>416.0</v>
      </c>
      <c r="I43" s="40">
        <v>426.0</v>
      </c>
      <c r="J43" s="40">
        <v>440.0</v>
      </c>
      <c r="K43" s="42" t="s">
        <v>201</v>
      </c>
      <c r="L43" s="40" t="s">
        <v>497</v>
      </c>
      <c r="M43" s="32" t="s">
        <v>69</v>
      </c>
      <c r="N43" s="35"/>
      <c r="O43" s="35"/>
    </row>
    <row r="44" ht="57.75" customHeight="1">
      <c r="A44" s="23" t="s">
        <v>498</v>
      </c>
      <c r="B44" s="25" t="s">
        <v>40</v>
      </c>
      <c r="C44" s="25" t="s">
        <v>23</v>
      </c>
      <c r="D44" s="38" t="s">
        <v>13</v>
      </c>
      <c r="E44" s="31" t="s">
        <v>500</v>
      </c>
      <c r="F44" s="31" t="s">
        <v>501</v>
      </c>
      <c r="G44" s="31">
        <v>35.0</v>
      </c>
      <c r="H44" s="31" t="s">
        <v>503</v>
      </c>
      <c r="I44" s="31" t="s">
        <v>504</v>
      </c>
      <c r="J44" s="31" t="s">
        <v>506</v>
      </c>
      <c r="K44" s="36" t="s">
        <v>108</v>
      </c>
      <c r="L44" s="31" t="s">
        <v>508</v>
      </c>
      <c r="M44" s="32" t="s">
        <v>69</v>
      </c>
      <c r="N44" s="25"/>
      <c r="O44" s="25"/>
    </row>
    <row r="45" ht="57.75" customHeight="1">
      <c r="A45" s="23" t="s">
        <v>512</v>
      </c>
      <c r="B45" s="35" t="s">
        <v>40</v>
      </c>
      <c r="C45" s="35" t="s">
        <v>23</v>
      </c>
      <c r="D45" s="38" t="s">
        <v>13</v>
      </c>
      <c r="E45" s="40" t="s">
        <v>514</v>
      </c>
      <c r="F45" s="40" t="s">
        <v>515</v>
      </c>
      <c r="G45" s="40" t="s">
        <v>516</v>
      </c>
      <c r="H45" s="40" t="s">
        <v>518</v>
      </c>
      <c r="I45" s="40" t="s">
        <v>519</v>
      </c>
      <c r="J45" s="40" t="s">
        <v>520</v>
      </c>
      <c r="K45" s="42" t="s">
        <v>66</v>
      </c>
      <c r="L45" s="40" t="s">
        <v>521</v>
      </c>
      <c r="M45" s="32" t="s">
        <v>69</v>
      </c>
      <c r="N45" s="35"/>
      <c r="O45" s="35"/>
    </row>
    <row r="46" ht="57.75" customHeight="1">
      <c r="A46" s="23" t="s">
        <v>523</v>
      </c>
      <c r="B46" s="25" t="s">
        <v>40</v>
      </c>
      <c r="C46" s="25" t="s">
        <v>23</v>
      </c>
      <c r="D46" s="38" t="s">
        <v>13</v>
      </c>
      <c r="E46" s="31" t="s">
        <v>524</v>
      </c>
      <c r="F46" s="31">
        <v>128.0</v>
      </c>
      <c r="G46" s="31">
        <v>136.0</v>
      </c>
      <c r="H46" s="31">
        <v>144.0</v>
      </c>
      <c r="I46" s="31">
        <v>152.0</v>
      </c>
      <c r="J46" s="31">
        <v>160.0</v>
      </c>
      <c r="K46" s="36" t="s">
        <v>108</v>
      </c>
      <c r="L46" s="31" t="s">
        <v>526</v>
      </c>
      <c r="M46" s="32" t="s">
        <v>69</v>
      </c>
      <c r="N46" s="25"/>
      <c r="O46" s="25"/>
    </row>
    <row r="47" ht="57.75" customHeight="1">
      <c r="A47" s="23" t="s">
        <v>527</v>
      </c>
      <c r="B47" s="35" t="s">
        <v>40</v>
      </c>
      <c r="C47" s="35" t="s">
        <v>23</v>
      </c>
      <c r="D47" s="38" t="s">
        <v>13</v>
      </c>
      <c r="E47" s="40" t="s">
        <v>529</v>
      </c>
      <c r="F47" s="40" t="s">
        <v>481</v>
      </c>
      <c r="G47" s="40" t="s">
        <v>482</v>
      </c>
      <c r="H47" s="40" t="s">
        <v>483</v>
      </c>
      <c r="I47" s="40" t="s">
        <v>484</v>
      </c>
      <c r="J47" s="40" t="s">
        <v>486</v>
      </c>
      <c r="K47" s="42" t="s">
        <v>201</v>
      </c>
      <c r="L47" s="40" t="s">
        <v>531</v>
      </c>
      <c r="M47" s="32" t="s">
        <v>69</v>
      </c>
      <c r="N47" s="35"/>
      <c r="O47" s="35"/>
    </row>
    <row r="48" ht="57.75" customHeight="1">
      <c r="A48" s="23" t="s">
        <v>532</v>
      </c>
      <c r="B48" s="25" t="s">
        <v>40</v>
      </c>
      <c r="C48" s="25" t="s">
        <v>23</v>
      </c>
      <c r="D48" s="38" t="s">
        <v>13</v>
      </c>
      <c r="E48" s="31" t="s">
        <v>533</v>
      </c>
      <c r="F48" s="31">
        <v>320.0</v>
      </c>
      <c r="G48" s="31">
        <v>360.0</v>
      </c>
      <c r="H48" s="31">
        <v>400.0</v>
      </c>
      <c r="I48" s="31">
        <v>440.0</v>
      </c>
      <c r="J48" s="31">
        <v>480.0</v>
      </c>
      <c r="K48" s="36" t="s">
        <v>108</v>
      </c>
      <c r="L48" s="31" t="s">
        <v>534</v>
      </c>
      <c r="M48" s="32" t="s">
        <v>69</v>
      </c>
      <c r="N48" s="25"/>
      <c r="O48" s="25"/>
    </row>
    <row r="49" ht="57.75" customHeight="1">
      <c r="A49" s="23" t="s">
        <v>536</v>
      </c>
      <c r="B49" s="35" t="s">
        <v>40</v>
      </c>
      <c r="C49" s="35" t="s">
        <v>23</v>
      </c>
      <c r="D49" s="38" t="s">
        <v>13</v>
      </c>
      <c r="E49" s="40" t="s">
        <v>537</v>
      </c>
      <c r="F49" s="40" t="s">
        <v>538</v>
      </c>
      <c r="G49" s="40" t="s">
        <v>539</v>
      </c>
      <c r="H49" s="40" t="s">
        <v>540</v>
      </c>
      <c r="I49" s="40" t="s">
        <v>541</v>
      </c>
      <c r="J49" s="40" t="s">
        <v>542</v>
      </c>
      <c r="K49" s="42" t="s">
        <v>108</v>
      </c>
      <c r="L49" s="40" t="s">
        <v>543</v>
      </c>
      <c r="M49" s="32" t="s">
        <v>69</v>
      </c>
      <c r="N49" s="35"/>
      <c r="O49" s="35"/>
    </row>
    <row r="50" ht="57.75" customHeight="1">
      <c r="A50" s="23" t="s">
        <v>544</v>
      </c>
      <c r="B50" s="25" t="s">
        <v>40</v>
      </c>
      <c r="C50" s="25" t="s">
        <v>23</v>
      </c>
      <c r="D50" s="38" t="s">
        <v>13</v>
      </c>
      <c r="E50" s="31" t="s">
        <v>545</v>
      </c>
      <c r="F50" s="31" t="s">
        <v>546</v>
      </c>
      <c r="G50" s="31" t="s">
        <v>547</v>
      </c>
      <c r="H50" s="31" t="s">
        <v>548</v>
      </c>
      <c r="I50" s="31" t="s">
        <v>549</v>
      </c>
      <c r="J50" s="31" t="s">
        <v>550</v>
      </c>
      <c r="K50" s="36" t="s">
        <v>108</v>
      </c>
      <c r="L50" s="31" t="s">
        <v>551</v>
      </c>
      <c r="M50" s="32" t="s">
        <v>69</v>
      </c>
      <c r="N50" s="25"/>
      <c r="O50" s="25"/>
    </row>
    <row r="51" ht="57.75" customHeight="1">
      <c r="A51" s="23" t="s">
        <v>552</v>
      </c>
      <c r="B51" s="35" t="s">
        <v>40</v>
      </c>
      <c r="C51" s="35" t="s">
        <v>23</v>
      </c>
      <c r="D51" s="38" t="s">
        <v>13</v>
      </c>
      <c r="E51" s="40" t="s">
        <v>554</v>
      </c>
      <c r="F51" s="40">
        <v>32.0</v>
      </c>
      <c r="G51" s="40">
        <v>36.0</v>
      </c>
      <c r="H51" s="40">
        <v>40.0</v>
      </c>
      <c r="I51" s="40">
        <v>44.0</v>
      </c>
      <c r="J51" s="40">
        <v>48.0</v>
      </c>
      <c r="K51" s="42" t="s">
        <v>108</v>
      </c>
      <c r="L51" s="40" t="s">
        <v>555</v>
      </c>
      <c r="M51" s="32" t="s">
        <v>69</v>
      </c>
      <c r="N51" s="35"/>
      <c r="O51" s="35"/>
    </row>
    <row r="52" ht="57.75" customHeight="1">
      <c r="A52" s="23" t="s">
        <v>557</v>
      </c>
      <c r="B52" s="25" t="s">
        <v>40</v>
      </c>
      <c r="C52" s="25" t="s">
        <v>23</v>
      </c>
      <c r="D52" s="38" t="s">
        <v>13</v>
      </c>
      <c r="E52" s="31" t="s">
        <v>558</v>
      </c>
      <c r="F52" s="31" t="s">
        <v>481</v>
      </c>
      <c r="G52" s="31" t="s">
        <v>482</v>
      </c>
      <c r="H52" s="31" t="s">
        <v>483</v>
      </c>
      <c r="I52" s="31" t="s">
        <v>484</v>
      </c>
      <c r="J52" s="31" t="s">
        <v>486</v>
      </c>
      <c r="K52" s="36" t="s">
        <v>201</v>
      </c>
      <c r="L52" s="31" t="s">
        <v>560</v>
      </c>
      <c r="M52" s="32" t="s">
        <v>69</v>
      </c>
      <c r="N52" s="25"/>
      <c r="O52" s="25"/>
    </row>
    <row r="53" ht="25.5" customHeight="1">
      <c r="A53" s="49" t="s">
        <v>562</v>
      </c>
      <c r="B53" s="50"/>
      <c r="C53" s="50"/>
      <c r="D53" s="50"/>
      <c r="E53" s="50"/>
      <c r="F53" s="50"/>
      <c r="G53" s="50"/>
      <c r="H53" s="50"/>
      <c r="I53" s="50"/>
      <c r="J53" s="52"/>
      <c r="M53" s="71">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2" t="s">
        <v>568</v>
      </c>
      <c r="B1" s="3"/>
      <c r="C1" s="3"/>
      <c r="D1" s="3"/>
      <c r="E1" s="3"/>
      <c r="F1" s="3"/>
      <c r="G1" s="3"/>
      <c r="H1" s="3"/>
      <c r="I1" s="3"/>
      <c r="J1" s="3"/>
      <c r="K1" s="3"/>
      <c r="L1" s="3"/>
      <c r="M1" s="3"/>
      <c r="N1" s="3"/>
      <c r="O1" s="4"/>
    </row>
    <row r="2" ht="30.0" customHeight="1">
      <c r="A2" s="7" t="s">
        <v>577</v>
      </c>
      <c r="B2" s="3"/>
      <c r="C2" s="3"/>
      <c r="D2" s="3"/>
      <c r="E2" s="3"/>
      <c r="F2" s="3"/>
      <c r="G2" s="3"/>
      <c r="H2" s="3"/>
      <c r="I2" s="3"/>
      <c r="J2" s="3"/>
      <c r="K2" s="3"/>
      <c r="L2" s="3"/>
      <c r="M2" s="3"/>
      <c r="N2" s="3"/>
      <c r="O2" s="4"/>
    </row>
    <row r="3" ht="19.5" customHeight="1">
      <c r="A3" s="10" t="s">
        <v>11</v>
      </c>
      <c r="B3" s="3"/>
      <c r="C3" s="3"/>
      <c r="D3" s="3"/>
      <c r="E3" s="3"/>
      <c r="F3" s="3"/>
      <c r="G3" s="3"/>
      <c r="H3" s="3"/>
      <c r="I3" s="3"/>
      <c r="J3" s="3"/>
      <c r="K3" s="3"/>
      <c r="L3" s="3"/>
      <c r="M3" s="3"/>
      <c r="N3" s="3"/>
      <c r="O3" s="4"/>
    </row>
    <row r="4" ht="24.75" customHeight="1">
      <c r="A4" s="9" t="s">
        <v>22</v>
      </c>
      <c r="B4" s="9" t="s">
        <v>8</v>
      </c>
      <c r="C4" s="9" t="s">
        <v>14</v>
      </c>
      <c r="D4" s="9" t="s">
        <v>24</v>
      </c>
      <c r="E4" s="9" t="s">
        <v>25</v>
      </c>
      <c r="F4" s="9" t="s">
        <v>26</v>
      </c>
      <c r="G4" s="9" t="s">
        <v>27</v>
      </c>
      <c r="H4" s="9" t="s">
        <v>28</v>
      </c>
      <c r="I4" s="9" t="s">
        <v>29</v>
      </c>
      <c r="J4" s="9" t="s">
        <v>31</v>
      </c>
      <c r="K4" s="9" t="s">
        <v>32</v>
      </c>
      <c r="L4" s="9" t="s">
        <v>33</v>
      </c>
      <c r="M4" s="9" t="s">
        <v>17</v>
      </c>
      <c r="N4" s="9" t="s">
        <v>35</v>
      </c>
      <c r="O4" s="9" t="s">
        <v>36</v>
      </c>
    </row>
    <row r="5" ht="19.5" customHeight="1">
      <c r="A5" s="18" t="s">
        <v>37</v>
      </c>
      <c r="B5" s="3"/>
      <c r="C5" s="3"/>
      <c r="D5" s="3"/>
      <c r="E5" s="3"/>
      <c r="F5" s="3"/>
      <c r="G5" s="3"/>
      <c r="H5" s="3"/>
      <c r="I5" s="3"/>
      <c r="J5" s="3"/>
      <c r="K5" s="3"/>
      <c r="L5" s="3"/>
      <c r="M5" s="3"/>
      <c r="N5" s="3"/>
      <c r="O5" s="4"/>
    </row>
    <row r="6" ht="57.75" customHeight="1">
      <c r="A6" s="23" t="s">
        <v>595</v>
      </c>
      <c r="B6" s="25" t="s">
        <v>43</v>
      </c>
      <c r="C6" s="25" t="s">
        <v>23</v>
      </c>
      <c r="D6" s="27" t="s">
        <v>10</v>
      </c>
      <c r="E6" s="31" t="s">
        <v>598</v>
      </c>
      <c r="F6" s="31" t="s">
        <v>292</v>
      </c>
      <c r="G6" s="31" t="s">
        <v>293</v>
      </c>
      <c r="H6" s="31" t="s">
        <v>294</v>
      </c>
      <c r="I6" s="31" t="s">
        <v>599</v>
      </c>
      <c r="J6" s="31" t="s">
        <v>600</v>
      </c>
      <c r="K6" s="36" t="s">
        <v>66</v>
      </c>
      <c r="L6" s="31" t="s">
        <v>602</v>
      </c>
      <c r="M6" s="32" t="s">
        <v>69</v>
      </c>
      <c r="N6" s="25"/>
      <c r="O6" s="25"/>
    </row>
    <row r="7" ht="57.75" customHeight="1">
      <c r="A7" s="23" t="s">
        <v>605</v>
      </c>
      <c r="B7" s="35" t="s">
        <v>43</v>
      </c>
      <c r="C7" s="35" t="s">
        <v>23</v>
      </c>
      <c r="D7" s="27" t="s">
        <v>10</v>
      </c>
      <c r="E7" s="40" t="s">
        <v>606</v>
      </c>
      <c r="F7" s="40" t="s">
        <v>273</v>
      </c>
      <c r="G7" s="40" t="s">
        <v>608</v>
      </c>
      <c r="H7" s="40" t="s">
        <v>275</v>
      </c>
      <c r="I7" s="40" t="s">
        <v>610</v>
      </c>
      <c r="J7" s="40" t="s">
        <v>611</v>
      </c>
      <c r="K7" s="42" t="s">
        <v>108</v>
      </c>
      <c r="L7" s="40" t="s">
        <v>613</v>
      </c>
      <c r="M7" s="32" t="s">
        <v>69</v>
      </c>
      <c r="N7" s="35"/>
      <c r="O7" s="35"/>
    </row>
    <row r="8" ht="57.75" customHeight="1">
      <c r="A8" s="23" t="s">
        <v>614</v>
      </c>
      <c r="B8" s="25" t="s">
        <v>43</v>
      </c>
      <c r="C8" s="25" t="s">
        <v>23</v>
      </c>
      <c r="D8" s="27" t="s">
        <v>10</v>
      </c>
      <c r="E8" s="31" t="s">
        <v>616</v>
      </c>
      <c r="F8" s="31" t="s">
        <v>617</v>
      </c>
      <c r="G8" s="31" t="s">
        <v>618</v>
      </c>
      <c r="H8" s="31" t="s">
        <v>620</v>
      </c>
      <c r="I8" s="31" t="s">
        <v>621</v>
      </c>
      <c r="J8" s="31" t="s">
        <v>298</v>
      </c>
      <c r="K8" s="36" t="s">
        <v>66</v>
      </c>
      <c r="L8" s="31" t="s">
        <v>622</v>
      </c>
      <c r="M8" s="32" t="s">
        <v>69</v>
      </c>
      <c r="N8" s="25"/>
      <c r="O8" s="25"/>
    </row>
    <row r="9" ht="57.75" customHeight="1">
      <c r="A9" s="23" t="s">
        <v>626</v>
      </c>
      <c r="B9" s="35" t="s">
        <v>43</v>
      </c>
      <c r="C9" s="35" t="s">
        <v>23</v>
      </c>
      <c r="D9" s="27" t="s">
        <v>10</v>
      </c>
      <c r="E9" s="40" t="s">
        <v>629</v>
      </c>
      <c r="F9" s="40" t="s">
        <v>630</v>
      </c>
      <c r="G9" s="40" t="s">
        <v>631</v>
      </c>
      <c r="H9" s="40" t="s">
        <v>633</v>
      </c>
      <c r="I9" s="40" t="s">
        <v>634</v>
      </c>
      <c r="J9" s="40" t="s">
        <v>635</v>
      </c>
      <c r="K9" s="42" t="s">
        <v>108</v>
      </c>
      <c r="L9" s="40" t="s">
        <v>637</v>
      </c>
      <c r="M9" s="32" t="s">
        <v>69</v>
      </c>
      <c r="N9" s="35"/>
      <c r="O9" s="35"/>
    </row>
    <row r="10" ht="57.75" customHeight="1">
      <c r="A10" s="23" t="s">
        <v>638</v>
      </c>
      <c r="B10" s="25" t="s">
        <v>43</v>
      </c>
      <c r="C10" s="25" t="s">
        <v>23</v>
      </c>
      <c r="D10" s="27" t="s">
        <v>10</v>
      </c>
      <c r="E10" s="31" t="s">
        <v>642</v>
      </c>
      <c r="F10" s="31" t="s">
        <v>644</v>
      </c>
      <c r="G10" s="31" t="s">
        <v>646</v>
      </c>
      <c r="H10" s="31" t="s">
        <v>648</v>
      </c>
      <c r="I10" s="31" t="s">
        <v>649</v>
      </c>
      <c r="J10" s="31" t="s">
        <v>650</v>
      </c>
      <c r="K10" s="36" t="s">
        <v>66</v>
      </c>
      <c r="L10" s="31" t="s">
        <v>652</v>
      </c>
      <c r="M10" s="32" t="s">
        <v>69</v>
      </c>
      <c r="N10" s="25"/>
      <c r="O10" s="25"/>
    </row>
    <row r="11" ht="57.75" customHeight="1">
      <c r="A11" s="23" t="s">
        <v>654</v>
      </c>
      <c r="B11" s="35" t="s">
        <v>43</v>
      </c>
      <c r="C11" s="35" t="s">
        <v>23</v>
      </c>
      <c r="D11" s="27" t="s">
        <v>10</v>
      </c>
      <c r="E11" s="40" t="s">
        <v>656</v>
      </c>
      <c r="F11" s="40" t="s">
        <v>657</v>
      </c>
      <c r="G11" s="40" t="s">
        <v>658</v>
      </c>
      <c r="H11" s="40" t="s">
        <v>659</v>
      </c>
      <c r="I11" s="40" t="s">
        <v>660</v>
      </c>
      <c r="J11" s="40" t="s">
        <v>661</v>
      </c>
      <c r="K11" s="42" t="s">
        <v>108</v>
      </c>
      <c r="L11" s="40" t="s">
        <v>662</v>
      </c>
      <c r="M11" s="32" t="s">
        <v>69</v>
      </c>
      <c r="N11" s="35"/>
      <c r="O11" s="35"/>
    </row>
    <row r="12" ht="57.75" customHeight="1">
      <c r="A12" s="23" t="s">
        <v>664</v>
      </c>
      <c r="B12" s="25" t="s">
        <v>43</v>
      </c>
      <c r="C12" s="25" t="s">
        <v>23</v>
      </c>
      <c r="D12" s="27" t="s">
        <v>10</v>
      </c>
      <c r="E12" s="31" t="s">
        <v>666</v>
      </c>
      <c r="F12" s="31" t="s">
        <v>667</v>
      </c>
      <c r="G12" s="31" t="s">
        <v>668</v>
      </c>
      <c r="H12" s="31" t="s">
        <v>669</v>
      </c>
      <c r="I12" s="31" t="s">
        <v>671</v>
      </c>
      <c r="J12" s="31" t="s">
        <v>672</v>
      </c>
      <c r="K12" s="36" t="s">
        <v>108</v>
      </c>
      <c r="L12" s="31" t="s">
        <v>673</v>
      </c>
      <c r="M12" s="32" t="s">
        <v>69</v>
      </c>
      <c r="N12" s="25"/>
      <c r="O12" s="25"/>
    </row>
    <row r="13" ht="57.75" customHeight="1">
      <c r="A13" s="23" t="s">
        <v>674</v>
      </c>
      <c r="B13" s="35" t="s">
        <v>43</v>
      </c>
      <c r="C13" s="35" t="s">
        <v>23</v>
      </c>
      <c r="D13" s="27" t="s">
        <v>10</v>
      </c>
      <c r="E13" s="40" t="s">
        <v>676</v>
      </c>
      <c r="F13" s="40" t="s">
        <v>677</v>
      </c>
      <c r="G13" s="40" t="s">
        <v>618</v>
      </c>
      <c r="H13" s="40" t="s">
        <v>620</v>
      </c>
      <c r="I13" s="40" t="s">
        <v>621</v>
      </c>
      <c r="J13" s="40" t="s">
        <v>679</v>
      </c>
      <c r="K13" s="42" t="s">
        <v>108</v>
      </c>
      <c r="L13" s="40" t="s">
        <v>680</v>
      </c>
      <c r="M13" s="32" t="s">
        <v>69</v>
      </c>
      <c r="N13" s="35"/>
      <c r="O13" s="35"/>
    </row>
    <row r="14" ht="57.75" customHeight="1">
      <c r="A14" s="23" t="s">
        <v>683</v>
      </c>
      <c r="B14" s="25" t="s">
        <v>43</v>
      </c>
      <c r="C14" s="25" t="s">
        <v>23</v>
      </c>
      <c r="D14" s="27" t="s">
        <v>10</v>
      </c>
      <c r="E14" s="31" t="s">
        <v>687</v>
      </c>
      <c r="F14" s="31" t="s">
        <v>689</v>
      </c>
      <c r="G14" s="31" t="s">
        <v>690</v>
      </c>
      <c r="H14" s="31" t="s">
        <v>691</v>
      </c>
      <c r="I14" s="31" t="s">
        <v>692</v>
      </c>
      <c r="J14" s="31" t="s">
        <v>694</v>
      </c>
      <c r="K14" s="36" t="s">
        <v>108</v>
      </c>
      <c r="L14" s="31" t="s">
        <v>695</v>
      </c>
      <c r="M14" s="32" t="s">
        <v>69</v>
      </c>
      <c r="N14" s="25"/>
      <c r="O14" s="25"/>
    </row>
    <row r="15" ht="57.75" customHeight="1">
      <c r="A15" s="23" t="s">
        <v>696</v>
      </c>
      <c r="B15" s="35" t="s">
        <v>43</v>
      </c>
      <c r="C15" s="35" t="s">
        <v>23</v>
      </c>
      <c r="D15" s="27" t="s">
        <v>10</v>
      </c>
      <c r="E15" s="40" t="s">
        <v>698</v>
      </c>
      <c r="F15" s="40">
        <v>4.0</v>
      </c>
      <c r="G15" s="40">
        <v>5.0</v>
      </c>
      <c r="H15" s="40">
        <v>6.0</v>
      </c>
      <c r="I15" s="40">
        <v>7.5</v>
      </c>
      <c r="J15" s="40">
        <v>8.0</v>
      </c>
      <c r="K15" s="42" t="s">
        <v>108</v>
      </c>
      <c r="L15" s="40" t="s">
        <v>699</v>
      </c>
      <c r="M15" s="32" t="s">
        <v>69</v>
      </c>
      <c r="N15" s="35"/>
      <c r="O15" s="35"/>
    </row>
    <row r="16" ht="57.75" customHeight="1">
      <c r="A16" s="23" t="s">
        <v>700</v>
      </c>
      <c r="B16" s="25" t="s">
        <v>43</v>
      </c>
      <c r="C16" s="25" t="s">
        <v>23</v>
      </c>
      <c r="D16" s="27" t="s">
        <v>10</v>
      </c>
      <c r="E16" s="31" t="s">
        <v>701</v>
      </c>
      <c r="F16" s="31" t="s">
        <v>702</v>
      </c>
      <c r="G16" s="31" t="s">
        <v>703</v>
      </c>
      <c r="H16" s="31" t="s">
        <v>704</v>
      </c>
      <c r="I16" s="31" t="s">
        <v>705</v>
      </c>
      <c r="J16" s="31" t="s">
        <v>706</v>
      </c>
      <c r="K16" s="36" t="s">
        <v>66</v>
      </c>
      <c r="L16" s="31" t="s">
        <v>707</v>
      </c>
      <c r="M16" s="32" t="s">
        <v>69</v>
      </c>
      <c r="N16" s="25"/>
      <c r="O16" s="25"/>
    </row>
    <row r="17" ht="57.75" customHeight="1">
      <c r="A17" s="23" t="s">
        <v>708</v>
      </c>
      <c r="B17" s="35" t="s">
        <v>43</v>
      </c>
      <c r="C17" s="35" t="s">
        <v>23</v>
      </c>
      <c r="D17" s="27" t="s">
        <v>10</v>
      </c>
      <c r="E17" s="40" t="s">
        <v>709</v>
      </c>
      <c r="F17" s="40" t="s">
        <v>710</v>
      </c>
      <c r="G17" s="63" t="s">
        <v>711</v>
      </c>
      <c r="H17" s="40" t="s">
        <v>712</v>
      </c>
      <c r="I17" s="63" t="s">
        <v>713</v>
      </c>
      <c r="J17" s="40" t="s">
        <v>714</v>
      </c>
      <c r="K17" s="42" t="s">
        <v>136</v>
      </c>
      <c r="L17" s="40" t="s">
        <v>715</v>
      </c>
      <c r="M17" s="32" t="s">
        <v>69</v>
      </c>
      <c r="N17" s="35"/>
      <c r="O17" s="35"/>
    </row>
    <row r="18" ht="57.75" customHeight="1">
      <c r="A18" s="23" t="s">
        <v>716</v>
      </c>
      <c r="B18" s="25" t="s">
        <v>43</v>
      </c>
      <c r="C18" s="25" t="s">
        <v>23</v>
      </c>
      <c r="D18" s="27" t="s">
        <v>10</v>
      </c>
      <c r="E18" s="31" t="s">
        <v>717</v>
      </c>
      <c r="F18" s="31" t="s">
        <v>718</v>
      </c>
      <c r="G18" s="31" t="s">
        <v>719</v>
      </c>
      <c r="H18" s="31" t="s">
        <v>720</v>
      </c>
      <c r="I18" s="31" t="s">
        <v>721</v>
      </c>
      <c r="J18" s="31" t="s">
        <v>722</v>
      </c>
      <c r="K18" s="36" t="s">
        <v>66</v>
      </c>
      <c r="L18" s="31" t="s">
        <v>723</v>
      </c>
      <c r="M18" s="32" t="s">
        <v>69</v>
      </c>
      <c r="N18" s="25"/>
      <c r="O18" s="25"/>
    </row>
    <row r="19" ht="57.75" customHeight="1">
      <c r="A19" s="23" t="s">
        <v>724</v>
      </c>
      <c r="B19" s="35" t="s">
        <v>43</v>
      </c>
      <c r="C19" s="35" t="s">
        <v>23</v>
      </c>
      <c r="D19" s="27" t="s">
        <v>10</v>
      </c>
      <c r="E19" s="40" t="s">
        <v>725</v>
      </c>
      <c r="F19" s="40" t="s">
        <v>726</v>
      </c>
      <c r="G19" s="40" t="s">
        <v>727</v>
      </c>
      <c r="H19" s="40" t="s">
        <v>728</v>
      </c>
      <c r="I19" s="40" t="s">
        <v>630</v>
      </c>
      <c r="J19" s="40" t="s">
        <v>631</v>
      </c>
      <c r="K19" s="42" t="s">
        <v>108</v>
      </c>
      <c r="L19" s="40" t="s">
        <v>729</v>
      </c>
      <c r="M19" s="32" t="s">
        <v>69</v>
      </c>
      <c r="N19" s="35"/>
      <c r="O19" s="35"/>
    </row>
    <row r="20" ht="57.75" customHeight="1">
      <c r="A20" s="23" t="s">
        <v>730</v>
      </c>
      <c r="B20" s="25" t="s">
        <v>43</v>
      </c>
      <c r="C20" s="25" t="s">
        <v>23</v>
      </c>
      <c r="D20" s="27" t="s">
        <v>10</v>
      </c>
      <c r="E20" s="31" t="s">
        <v>731</v>
      </c>
      <c r="F20" s="31" t="s">
        <v>732</v>
      </c>
      <c r="G20" s="31" t="s">
        <v>362</v>
      </c>
      <c r="H20" s="31" t="s">
        <v>733</v>
      </c>
      <c r="I20" s="31" t="s">
        <v>363</v>
      </c>
      <c r="J20" s="31" t="s">
        <v>734</v>
      </c>
      <c r="K20" s="36" t="s">
        <v>66</v>
      </c>
      <c r="L20" s="31" t="s">
        <v>735</v>
      </c>
      <c r="M20" s="32" t="s">
        <v>69</v>
      </c>
      <c r="N20" s="25"/>
      <c r="O20" s="25"/>
    </row>
    <row r="21" ht="19.5" customHeight="1">
      <c r="A21" s="61" t="s">
        <v>255</v>
      </c>
      <c r="B21" s="3"/>
      <c r="C21" s="3"/>
      <c r="D21" s="3"/>
      <c r="E21" s="3"/>
      <c r="F21" s="3"/>
      <c r="G21" s="3"/>
      <c r="H21" s="3"/>
      <c r="I21" s="3"/>
      <c r="J21" s="3"/>
      <c r="K21" s="3"/>
      <c r="L21" s="3"/>
      <c r="M21" s="3"/>
      <c r="N21" s="3"/>
      <c r="O21" s="4"/>
    </row>
    <row r="22" ht="57.75" customHeight="1">
      <c r="A22" s="23" t="s">
        <v>736</v>
      </c>
      <c r="B22" s="35" t="s">
        <v>43</v>
      </c>
      <c r="C22" s="35" t="s">
        <v>23</v>
      </c>
      <c r="D22" s="17" t="s">
        <v>12</v>
      </c>
      <c r="E22" s="40" t="s">
        <v>270</v>
      </c>
      <c r="F22" s="40" t="s">
        <v>271</v>
      </c>
      <c r="G22" s="40" t="s">
        <v>272</v>
      </c>
      <c r="H22" s="40" t="s">
        <v>273</v>
      </c>
      <c r="I22" s="40" t="s">
        <v>274</v>
      </c>
      <c r="J22" s="40" t="s">
        <v>275</v>
      </c>
      <c r="K22" s="42" t="s">
        <v>108</v>
      </c>
      <c r="L22" s="40" t="s">
        <v>276</v>
      </c>
      <c r="M22" s="32" t="s">
        <v>69</v>
      </c>
      <c r="N22" s="35"/>
      <c r="O22" s="35"/>
    </row>
    <row r="23" ht="57.75" customHeight="1">
      <c r="A23" s="23" t="s">
        <v>737</v>
      </c>
      <c r="B23" s="25" t="s">
        <v>43</v>
      </c>
      <c r="C23" s="25" t="s">
        <v>23</v>
      </c>
      <c r="D23" s="17" t="s">
        <v>12</v>
      </c>
      <c r="E23" s="31" t="s">
        <v>279</v>
      </c>
      <c r="F23" s="31" t="s">
        <v>280</v>
      </c>
      <c r="G23" s="31" t="s">
        <v>281</v>
      </c>
      <c r="H23" s="31" t="s">
        <v>282</v>
      </c>
      <c r="I23" s="31" t="s">
        <v>283</v>
      </c>
      <c r="J23" s="31" t="s">
        <v>284</v>
      </c>
      <c r="K23" s="36" t="s">
        <v>66</v>
      </c>
      <c r="L23" s="31" t="s">
        <v>285</v>
      </c>
      <c r="M23" s="32" t="s">
        <v>69</v>
      </c>
      <c r="N23" s="25"/>
      <c r="O23" s="25"/>
    </row>
    <row r="24" ht="57.75" customHeight="1">
      <c r="A24" s="23" t="s">
        <v>738</v>
      </c>
      <c r="B24" s="35" t="s">
        <v>43</v>
      </c>
      <c r="C24" s="35" t="s">
        <v>23</v>
      </c>
      <c r="D24" s="17" t="s">
        <v>12</v>
      </c>
      <c r="E24" s="40" t="s">
        <v>289</v>
      </c>
      <c r="F24" s="40" t="s">
        <v>290</v>
      </c>
      <c r="G24" s="40" t="s">
        <v>291</v>
      </c>
      <c r="H24" s="40" t="s">
        <v>292</v>
      </c>
      <c r="I24" s="40" t="s">
        <v>293</v>
      </c>
      <c r="J24" s="40" t="s">
        <v>294</v>
      </c>
      <c r="K24" s="42" t="s">
        <v>66</v>
      </c>
      <c r="L24" s="40" t="s">
        <v>295</v>
      </c>
      <c r="M24" s="32" t="s">
        <v>69</v>
      </c>
      <c r="N24" s="35"/>
      <c r="O24" s="35"/>
    </row>
    <row r="25" ht="57.75" customHeight="1">
      <c r="A25" s="23" t="s">
        <v>739</v>
      </c>
      <c r="B25" s="25" t="s">
        <v>43</v>
      </c>
      <c r="C25" s="25" t="s">
        <v>23</v>
      </c>
      <c r="D25" s="17" t="s">
        <v>12</v>
      </c>
      <c r="E25" s="31" t="s">
        <v>297</v>
      </c>
      <c r="F25" s="31" t="s">
        <v>298</v>
      </c>
      <c r="G25" s="31" t="s">
        <v>299</v>
      </c>
      <c r="H25" s="31" t="s">
        <v>300</v>
      </c>
      <c r="I25" s="31" t="s">
        <v>301</v>
      </c>
      <c r="J25" s="31" t="s">
        <v>302</v>
      </c>
      <c r="K25" s="36" t="s">
        <v>66</v>
      </c>
      <c r="L25" s="31" t="s">
        <v>303</v>
      </c>
      <c r="M25" s="32" t="s">
        <v>69</v>
      </c>
      <c r="N25" s="25"/>
      <c r="O25" s="25"/>
    </row>
    <row r="26" ht="57.75" customHeight="1">
      <c r="A26" s="23" t="s">
        <v>740</v>
      </c>
      <c r="B26" s="35" t="s">
        <v>43</v>
      </c>
      <c r="C26" s="35" t="s">
        <v>23</v>
      </c>
      <c r="D26" s="17" t="s">
        <v>12</v>
      </c>
      <c r="E26" s="40" t="s">
        <v>308</v>
      </c>
      <c r="F26" s="40" t="s">
        <v>310</v>
      </c>
      <c r="G26" s="40" t="s">
        <v>311</v>
      </c>
      <c r="H26" s="40" t="s">
        <v>313</v>
      </c>
      <c r="I26" s="40" t="s">
        <v>99</v>
      </c>
      <c r="J26" s="40" t="s">
        <v>315</v>
      </c>
      <c r="K26" s="42" t="s">
        <v>66</v>
      </c>
      <c r="L26" s="40" t="s">
        <v>316</v>
      </c>
      <c r="M26" s="32" t="s">
        <v>69</v>
      </c>
      <c r="N26" s="35"/>
      <c r="O26" s="35"/>
    </row>
    <row r="27" ht="57.75" customHeight="1">
      <c r="A27" s="23" t="s">
        <v>741</v>
      </c>
      <c r="B27" s="25" t="s">
        <v>43</v>
      </c>
      <c r="C27" s="25" t="s">
        <v>23</v>
      </c>
      <c r="D27" s="17" t="s">
        <v>12</v>
      </c>
      <c r="E27" s="31" t="s">
        <v>319</v>
      </c>
      <c r="F27" s="31" t="s">
        <v>320</v>
      </c>
      <c r="G27" s="31" t="s">
        <v>321</v>
      </c>
      <c r="H27" s="31" t="s">
        <v>322</v>
      </c>
      <c r="I27" s="31" t="s">
        <v>323</v>
      </c>
      <c r="J27" s="31" t="s">
        <v>325</v>
      </c>
      <c r="K27" s="36" t="s">
        <v>66</v>
      </c>
      <c r="L27" s="31" t="s">
        <v>326</v>
      </c>
      <c r="M27" s="32" t="s">
        <v>69</v>
      </c>
      <c r="N27" s="25"/>
      <c r="O27" s="25"/>
    </row>
    <row r="28" ht="57.75" customHeight="1">
      <c r="A28" s="23" t="s">
        <v>742</v>
      </c>
      <c r="B28" s="35" t="s">
        <v>43</v>
      </c>
      <c r="C28" s="35" t="s">
        <v>23</v>
      </c>
      <c r="D28" s="17" t="s">
        <v>12</v>
      </c>
      <c r="E28" s="40" t="s">
        <v>329</v>
      </c>
      <c r="F28" s="40" t="s">
        <v>330</v>
      </c>
      <c r="G28" s="40" t="s">
        <v>332</v>
      </c>
      <c r="H28" s="40" t="s">
        <v>333</v>
      </c>
      <c r="I28" s="40" t="s">
        <v>334</v>
      </c>
      <c r="J28" s="40" t="s">
        <v>335</v>
      </c>
      <c r="K28" s="42" t="s">
        <v>108</v>
      </c>
      <c r="L28" s="40" t="s">
        <v>338</v>
      </c>
      <c r="M28" s="32" t="s">
        <v>69</v>
      </c>
      <c r="N28" s="35"/>
      <c r="O28" s="35"/>
    </row>
    <row r="29" ht="57.75" customHeight="1">
      <c r="A29" s="23" t="s">
        <v>743</v>
      </c>
      <c r="B29" s="25" t="s">
        <v>43</v>
      </c>
      <c r="C29" s="25" t="s">
        <v>23</v>
      </c>
      <c r="D29" s="17" t="s">
        <v>12</v>
      </c>
      <c r="E29" s="31" t="s">
        <v>344</v>
      </c>
      <c r="F29" s="31" t="s">
        <v>345</v>
      </c>
      <c r="G29" s="31" t="s">
        <v>346</v>
      </c>
      <c r="H29" s="31" t="s">
        <v>347</v>
      </c>
      <c r="I29" s="31" t="s">
        <v>348</v>
      </c>
      <c r="J29" s="31" t="s">
        <v>349</v>
      </c>
      <c r="K29" s="36" t="s">
        <v>66</v>
      </c>
      <c r="L29" s="31" t="s">
        <v>351</v>
      </c>
      <c r="M29" s="32" t="s">
        <v>69</v>
      </c>
      <c r="N29" s="25"/>
      <c r="O29" s="25"/>
    </row>
    <row r="30" ht="57.75" customHeight="1">
      <c r="A30" s="23" t="s">
        <v>744</v>
      </c>
      <c r="B30" s="35" t="s">
        <v>43</v>
      </c>
      <c r="C30" s="35" t="s">
        <v>23</v>
      </c>
      <c r="D30" s="17" t="s">
        <v>12</v>
      </c>
      <c r="E30" s="40" t="s">
        <v>360</v>
      </c>
      <c r="F30" s="40" t="s">
        <v>362</v>
      </c>
      <c r="G30" s="40" t="s">
        <v>363</v>
      </c>
      <c r="H30" s="40" t="s">
        <v>364</v>
      </c>
      <c r="I30" s="40" t="s">
        <v>366</v>
      </c>
      <c r="J30" s="40" t="s">
        <v>367</v>
      </c>
      <c r="K30" s="42" t="s">
        <v>108</v>
      </c>
      <c r="L30" s="40" t="s">
        <v>368</v>
      </c>
      <c r="M30" s="32" t="s">
        <v>69</v>
      </c>
      <c r="N30" s="35"/>
      <c r="O30" s="35"/>
    </row>
    <row r="31" ht="57.75" customHeight="1">
      <c r="A31" s="23" t="s">
        <v>745</v>
      </c>
      <c r="B31" s="25" t="s">
        <v>43</v>
      </c>
      <c r="C31" s="25" t="s">
        <v>23</v>
      </c>
      <c r="D31" s="17" t="s">
        <v>12</v>
      </c>
      <c r="E31" s="31" t="s">
        <v>370</v>
      </c>
      <c r="F31" s="31">
        <v>60.0</v>
      </c>
      <c r="G31" s="31">
        <v>80.0</v>
      </c>
      <c r="H31" s="31">
        <v>100.0</v>
      </c>
      <c r="I31" s="31">
        <v>120.0</v>
      </c>
      <c r="J31" s="31">
        <v>150.0</v>
      </c>
      <c r="K31" s="36" t="s">
        <v>108</v>
      </c>
      <c r="L31" s="31" t="s">
        <v>372</v>
      </c>
      <c r="M31" s="32" t="s">
        <v>69</v>
      </c>
      <c r="N31" s="25"/>
      <c r="O31" s="25"/>
    </row>
    <row r="32" ht="57.75" customHeight="1">
      <c r="A32" s="23" t="s">
        <v>746</v>
      </c>
      <c r="B32" s="35" t="s">
        <v>43</v>
      </c>
      <c r="C32" s="35" t="s">
        <v>23</v>
      </c>
      <c r="D32" s="17" t="s">
        <v>12</v>
      </c>
      <c r="E32" s="40" t="s">
        <v>376</v>
      </c>
      <c r="F32" s="40" t="s">
        <v>380</v>
      </c>
      <c r="G32" s="40" t="s">
        <v>381</v>
      </c>
      <c r="H32" s="40" t="s">
        <v>383</v>
      </c>
      <c r="I32" s="40" t="s">
        <v>384</v>
      </c>
      <c r="J32" s="40" t="s">
        <v>386</v>
      </c>
      <c r="K32" s="42" t="s">
        <v>66</v>
      </c>
      <c r="L32" s="40" t="s">
        <v>389</v>
      </c>
      <c r="M32" s="32" t="s">
        <v>69</v>
      </c>
      <c r="N32" s="35"/>
      <c r="O32" s="35"/>
    </row>
    <row r="33" ht="57.75" customHeight="1">
      <c r="A33" s="23" t="s">
        <v>747</v>
      </c>
      <c r="B33" s="25" t="s">
        <v>43</v>
      </c>
      <c r="C33" s="25" t="s">
        <v>23</v>
      </c>
      <c r="D33" s="17" t="s">
        <v>12</v>
      </c>
      <c r="E33" s="31" t="s">
        <v>392</v>
      </c>
      <c r="F33" s="31" t="s">
        <v>393</v>
      </c>
      <c r="G33" s="31" t="s">
        <v>394</v>
      </c>
      <c r="H33" s="33" t="s">
        <v>395</v>
      </c>
      <c r="I33" s="31" t="s">
        <v>397</v>
      </c>
      <c r="J33" s="33" t="s">
        <v>398</v>
      </c>
      <c r="K33" s="36" t="s">
        <v>66</v>
      </c>
      <c r="L33" s="31" t="s">
        <v>399</v>
      </c>
      <c r="M33" s="32" t="s">
        <v>69</v>
      </c>
      <c r="N33" s="25"/>
      <c r="O33" s="25"/>
    </row>
    <row r="34" ht="57.75" customHeight="1">
      <c r="A34" s="23" t="s">
        <v>748</v>
      </c>
      <c r="B34" s="35" t="s">
        <v>43</v>
      </c>
      <c r="C34" s="35" t="s">
        <v>23</v>
      </c>
      <c r="D34" s="17" t="s">
        <v>12</v>
      </c>
      <c r="E34" s="40" t="s">
        <v>407</v>
      </c>
      <c r="F34" s="40" t="s">
        <v>408</v>
      </c>
      <c r="G34" s="40" t="s">
        <v>409</v>
      </c>
      <c r="H34" s="40" t="s">
        <v>411</v>
      </c>
      <c r="I34" s="40" t="s">
        <v>412</v>
      </c>
      <c r="J34" s="40" t="s">
        <v>413</v>
      </c>
      <c r="K34" s="42" t="s">
        <v>108</v>
      </c>
      <c r="L34" s="40" t="s">
        <v>415</v>
      </c>
      <c r="M34" s="32" t="s">
        <v>69</v>
      </c>
      <c r="N34" s="35"/>
      <c r="O34" s="35"/>
    </row>
    <row r="35" ht="57.75" customHeight="1">
      <c r="A35" s="23" t="s">
        <v>749</v>
      </c>
      <c r="B35" s="25" t="s">
        <v>43</v>
      </c>
      <c r="C35" s="25" t="s">
        <v>23</v>
      </c>
      <c r="D35" s="17" t="s">
        <v>12</v>
      </c>
      <c r="E35" s="31" t="s">
        <v>418</v>
      </c>
      <c r="F35" s="31" t="s">
        <v>419</v>
      </c>
      <c r="G35" s="31" t="s">
        <v>420</v>
      </c>
      <c r="H35" s="31" t="s">
        <v>421</v>
      </c>
      <c r="I35" s="31" t="s">
        <v>422</v>
      </c>
      <c r="J35" s="31" t="s">
        <v>423</v>
      </c>
      <c r="K35" s="36" t="s">
        <v>108</v>
      </c>
      <c r="L35" s="31" t="s">
        <v>424</v>
      </c>
      <c r="M35" s="32" t="s">
        <v>69</v>
      </c>
      <c r="N35" s="25"/>
      <c r="O35" s="25"/>
    </row>
    <row r="36" ht="57.75" customHeight="1">
      <c r="A36" s="23" t="s">
        <v>750</v>
      </c>
      <c r="B36" s="35" t="s">
        <v>43</v>
      </c>
      <c r="C36" s="35" t="s">
        <v>23</v>
      </c>
      <c r="D36" s="17" t="s">
        <v>12</v>
      </c>
      <c r="E36" s="40" t="s">
        <v>426</v>
      </c>
      <c r="F36" s="40" t="s">
        <v>427</v>
      </c>
      <c r="G36" s="40" t="s">
        <v>428</v>
      </c>
      <c r="H36" s="40" t="s">
        <v>429</v>
      </c>
      <c r="I36" s="40" t="s">
        <v>430</v>
      </c>
      <c r="J36" s="40" t="s">
        <v>431</v>
      </c>
      <c r="K36" s="42" t="s">
        <v>66</v>
      </c>
      <c r="L36" s="40" t="s">
        <v>432</v>
      </c>
      <c r="M36" s="32" t="s">
        <v>69</v>
      </c>
      <c r="N36" s="35"/>
      <c r="O36" s="35"/>
    </row>
    <row r="37" ht="19.5" customHeight="1">
      <c r="A37" s="69" t="s">
        <v>435</v>
      </c>
      <c r="B37" s="3"/>
      <c r="C37" s="3"/>
      <c r="D37" s="3"/>
      <c r="E37" s="3"/>
      <c r="F37" s="3"/>
      <c r="G37" s="3"/>
      <c r="H37" s="3"/>
      <c r="I37" s="3"/>
      <c r="J37" s="3"/>
      <c r="K37" s="3"/>
      <c r="L37" s="3"/>
      <c r="M37" s="3"/>
      <c r="N37" s="3"/>
      <c r="O37" s="4"/>
    </row>
    <row r="38" ht="57.75" customHeight="1">
      <c r="A38" s="23" t="s">
        <v>751</v>
      </c>
      <c r="B38" s="25" t="s">
        <v>43</v>
      </c>
      <c r="C38" s="25" t="s">
        <v>23</v>
      </c>
      <c r="D38" s="38" t="s">
        <v>13</v>
      </c>
      <c r="E38" s="31" t="s">
        <v>752</v>
      </c>
      <c r="F38" s="31" t="s">
        <v>753</v>
      </c>
      <c r="G38" s="31" t="s">
        <v>732</v>
      </c>
      <c r="H38" s="31" t="s">
        <v>754</v>
      </c>
      <c r="I38" s="31" t="s">
        <v>363</v>
      </c>
      <c r="J38" s="31" t="s">
        <v>755</v>
      </c>
      <c r="K38" s="36" t="s">
        <v>108</v>
      </c>
      <c r="L38" s="31" t="s">
        <v>756</v>
      </c>
      <c r="M38" s="32" t="s">
        <v>69</v>
      </c>
      <c r="N38" s="25"/>
      <c r="O38" s="25"/>
    </row>
    <row r="39" ht="57.75" customHeight="1">
      <c r="A39" s="23" t="s">
        <v>757</v>
      </c>
      <c r="B39" s="35" t="s">
        <v>43</v>
      </c>
      <c r="C39" s="35" t="s">
        <v>23</v>
      </c>
      <c r="D39" s="38" t="s">
        <v>13</v>
      </c>
      <c r="E39" s="40" t="s">
        <v>758</v>
      </c>
      <c r="F39" s="40" t="s">
        <v>759</v>
      </c>
      <c r="G39" s="40" t="s">
        <v>760</v>
      </c>
      <c r="H39" s="40" t="s">
        <v>761</v>
      </c>
      <c r="I39" s="40" t="s">
        <v>762</v>
      </c>
      <c r="J39" s="40" t="s">
        <v>763</v>
      </c>
      <c r="K39" s="42" t="s">
        <v>66</v>
      </c>
      <c r="L39" s="40" t="s">
        <v>764</v>
      </c>
      <c r="M39" s="32" t="s">
        <v>69</v>
      </c>
      <c r="N39" s="35"/>
      <c r="O39" s="35"/>
    </row>
    <row r="40" ht="57.75" customHeight="1">
      <c r="A40" s="23" t="s">
        <v>765</v>
      </c>
      <c r="B40" s="25" t="s">
        <v>43</v>
      </c>
      <c r="C40" s="25" t="s">
        <v>23</v>
      </c>
      <c r="D40" s="38" t="s">
        <v>13</v>
      </c>
      <c r="E40" s="31" t="s">
        <v>766</v>
      </c>
      <c r="F40" s="31" t="s">
        <v>768</v>
      </c>
      <c r="G40" s="31" t="s">
        <v>769</v>
      </c>
      <c r="H40" s="31" t="s">
        <v>770</v>
      </c>
      <c r="I40" s="31" t="s">
        <v>771</v>
      </c>
      <c r="J40" s="31" t="s">
        <v>772</v>
      </c>
      <c r="K40" s="36" t="s">
        <v>201</v>
      </c>
      <c r="L40" s="31" t="s">
        <v>773</v>
      </c>
      <c r="M40" s="32" t="s">
        <v>69</v>
      </c>
      <c r="N40" s="25"/>
      <c r="O40" s="25"/>
    </row>
    <row r="41" ht="57.75" customHeight="1">
      <c r="A41" s="23" t="s">
        <v>774</v>
      </c>
      <c r="B41" s="35" t="s">
        <v>43</v>
      </c>
      <c r="C41" s="35" t="s">
        <v>23</v>
      </c>
      <c r="D41" s="38" t="s">
        <v>13</v>
      </c>
      <c r="E41" s="40" t="s">
        <v>775</v>
      </c>
      <c r="F41" s="40" t="s">
        <v>776</v>
      </c>
      <c r="G41" s="40" t="s">
        <v>777</v>
      </c>
      <c r="H41" s="40" t="s">
        <v>778</v>
      </c>
      <c r="I41" s="40" t="s">
        <v>779</v>
      </c>
      <c r="J41" s="40" t="s">
        <v>780</v>
      </c>
      <c r="K41" s="42" t="s">
        <v>108</v>
      </c>
      <c r="L41" s="40" t="s">
        <v>781</v>
      </c>
      <c r="M41" s="32" t="s">
        <v>69</v>
      </c>
      <c r="N41" s="35"/>
      <c r="O41" s="35"/>
    </row>
    <row r="42" ht="57.75" customHeight="1">
      <c r="A42" s="23" t="s">
        <v>782</v>
      </c>
      <c r="B42" s="25" t="s">
        <v>43</v>
      </c>
      <c r="C42" s="25" t="s">
        <v>23</v>
      </c>
      <c r="D42" s="38" t="s">
        <v>13</v>
      </c>
      <c r="E42" s="31" t="s">
        <v>783</v>
      </c>
      <c r="F42" s="31" t="s">
        <v>362</v>
      </c>
      <c r="G42" s="31" t="s">
        <v>754</v>
      </c>
      <c r="H42" s="31" t="s">
        <v>733</v>
      </c>
      <c r="I42" s="31" t="s">
        <v>363</v>
      </c>
      <c r="J42" s="31" t="s">
        <v>755</v>
      </c>
      <c r="K42" s="36" t="s">
        <v>136</v>
      </c>
      <c r="L42" s="31" t="s">
        <v>785</v>
      </c>
      <c r="M42" s="32" t="s">
        <v>69</v>
      </c>
      <c r="N42" s="25"/>
      <c r="O42" s="25"/>
    </row>
    <row r="43" ht="57.75" customHeight="1">
      <c r="A43" s="23" t="s">
        <v>786</v>
      </c>
      <c r="B43" s="35" t="s">
        <v>43</v>
      </c>
      <c r="C43" s="35" t="s">
        <v>23</v>
      </c>
      <c r="D43" s="38" t="s">
        <v>13</v>
      </c>
      <c r="E43" s="40" t="s">
        <v>787</v>
      </c>
      <c r="F43" s="40" t="s">
        <v>788</v>
      </c>
      <c r="G43" s="40" t="s">
        <v>789</v>
      </c>
      <c r="H43" s="40" t="s">
        <v>790</v>
      </c>
      <c r="I43" s="40" t="s">
        <v>791</v>
      </c>
      <c r="J43" s="40" t="s">
        <v>792</v>
      </c>
      <c r="K43" s="42" t="s">
        <v>66</v>
      </c>
      <c r="L43" s="40" t="s">
        <v>793</v>
      </c>
      <c r="M43" s="32" t="s">
        <v>69</v>
      </c>
      <c r="N43" s="35"/>
      <c r="O43" s="35"/>
    </row>
    <row r="44" ht="57.75" customHeight="1">
      <c r="A44" s="23" t="s">
        <v>794</v>
      </c>
      <c r="B44" s="25" t="s">
        <v>43</v>
      </c>
      <c r="C44" s="25" t="s">
        <v>23</v>
      </c>
      <c r="D44" s="38" t="s">
        <v>13</v>
      </c>
      <c r="E44" s="31" t="s">
        <v>795</v>
      </c>
      <c r="F44" s="31" t="s">
        <v>796</v>
      </c>
      <c r="G44" s="31" t="s">
        <v>797</v>
      </c>
      <c r="H44" s="31" t="s">
        <v>798</v>
      </c>
      <c r="I44" s="31" t="s">
        <v>799</v>
      </c>
      <c r="J44" s="31" t="s">
        <v>800</v>
      </c>
      <c r="K44" s="36" t="s">
        <v>108</v>
      </c>
      <c r="L44" s="31" t="s">
        <v>801</v>
      </c>
      <c r="M44" s="32" t="s">
        <v>69</v>
      </c>
      <c r="N44" s="25"/>
      <c r="O44" s="25"/>
    </row>
    <row r="45" ht="57.75" customHeight="1">
      <c r="A45" s="23" t="s">
        <v>802</v>
      </c>
      <c r="B45" s="35" t="s">
        <v>43</v>
      </c>
      <c r="C45" s="35" t="s">
        <v>23</v>
      </c>
      <c r="D45" s="38" t="s">
        <v>13</v>
      </c>
      <c r="E45" s="40" t="s">
        <v>803</v>
      </c>
      <c r="F45" s="40" t="s">
        <v>804</v>
      </c>
      <c r="G45" s="40" t="s">
        <v>805</v>
      </c>
      <c r="H45" s="40" t="s">
        <v>806</v>
      </c>
      <c r="I45" s="40" t="s">
        <v>807</v>
      </c>
      <c r="J45" s="40" t="s">
        <v>808</v>
      </c>
      <c r="K45" s="42" t="s">
        <v>136</v>
      </c>
      <c r="L45" s="40" t="s">
        <v>809</v>
      </c>
      <c r="M45" s="32" t="s">
        <v>69</v>
      </c>
      <c r="N45" s="35"/>
      <c r="O45" s="35"/>
    </row>
    <row r="46" ht="57.75" customHeight="1">
      <c r="A46" s="23" t="s">
        <v>810</v>
      </c>
      <c r="B46" s="25" t="s">
        <v>43</v>
      </c>
      <c r="C46" s="25" t="s">
        <v>23</v>
      </c>
      <c r="D46" s="38" t="s">
        <v>13</v>
      </c>
      <c r="E46" s="31" t="s">
        <v>811</v>
      </c>
      <c r="F46" s="31" t="s">
        <v>812</v>
      </c>
      <c r="G46" s="31" t="s">
        <v>813</v>
      </c>
      <c r="H46" s="31" t="s">
        <v>814</v>
      </c>
      <c r="I46" s="31" t="s">
        <v>815</v>
      </c>
      <c r="J46" s="31" t="s">
        <v>816</v>
      </c>
      <c r="K46" s="36" t="s">
        <v>201</v>
      </c>
      <c r="L46" s="31" t="s">
        <v>817</v>
      </c>
      <c r="M46" s="32" t="s">
        <v>69</v>
      </c>
      <c r="N46" s="25"/>
      <c r="O46" s="25"/>
    </row>
    <row r="47" ht="57.75" customHeight="1">
      <c r="A47" s="23" t="s">
        <v>818</v>
      </c>
      <c r="B47" s="35" t="s">
        <v>43</v>
      </c>
      <c r="C47" s="35" t="s">
        <v>23</v>
      </c>
      <c r="D47" s="38" t="s">
        <v>13</v>
      </c>
      <c r="E47" s="40" t="s">
        <v>819</v>
      </c>
      <c r="F47" s="40" t="s">
        <v>820</v>
      </c>
      <c r="G47" s="40" t="s">
        <v>821</v>
      </c>
      <c r="H47" s="40" t="s">
        <v>822</v>
      </c>
      <c r="I47" s="40" t="s">
        <v>823</v>
      </c>
      <c r="J47" s="40" t="s">
        <v>824</v>
      </c>
      <c r="K47" s="42" t="s">
        <v>108</v>
      </c>
      <c r="L47" s="40" t="s">
        <v>826</v>
      </c>
      <c r="M47" s="32" t="s">
        <v>69</v>
      </c>
      <c r="N47" s="35"/>
      <c r="O47" s="35"/>
    </row>
    <row r="48" ht="57.75" customHeight="1">
      <c r="A48" s="23" t="s">
        <v>827</v>
      </c>
      <c r="B48" s="25" t="s">
        <v>43</v>
      </c>
      <c r="C48" s="25" t="s">
        <v>23</v>
      </c>
      <c r="D48" s="38" t="s">
        <v>13</v>
      </c>
      <c r="E48" s="31" t="s">
        <v>828</v>
      </c>
      <c r="F48" s="31" t="s">
        <v>829</v>
      </c>
      <c r="G48" s="31" t="s">
        <v>830</v>
      </c>
      <c r="H48" s="31" t="s">
        <v>831</v>
      </c>
      <c r="I48" s="31" t="s">
        <v>832</v>
      </c>
      <c r="J48" s="31" t="s">
        <v>833</v>
      </c>
      <c r="K48" s="36" t="s">
        <v>108</v>
      </c>
      <c r="L48" s="31" t="s">
        <v>835</v>
      </c>
      <c r="M48" s="32" t="s">
        <v>69</v>
      </c>
      <c r="N48" s="25"/>
      <c r="O48" s="25"/>
    </row>
    <row r="49" ht="57.75" customHeight="1">
      <c r="A49" s="23" t="s">
        <v>839</v>
      </c>
      <c r="B49" s="35" t="s">
        <v>43</v>
      </c>
      <c r="C49" s="35" t="s">
        <v>23</v>
      </c>
      <c r="D49" s="38" t="s">
        <v>13</v>
      </c>
      <c r="E49" s="40" t="s">
        <v>841</v>
      </c>
      <c r="F49" s="40" t="s">
        <v>842</v>
      </c>
      <c r="G49" s="40" t="s">
        <v>844</v>
      </c>
      <c r="H49" s="40" t="s">
        <v>845</v>
      </c>
      <c r="I49" s="40" t="s">
        <v>846</v>
      </c>
      <c r="J49" s="40" t="s">
        <v>847</v>
      </c>
      <c r="K49" s="42" t="s">
        <v>66</v>
      </c>
      <c r="L49" s="40" t="s">
        <v>848</v>
      </c>
      <c r="M49" s="32" t="s">
        <v>69</v>
      </c>
      <c r="N49" s="35"/>
      <c r="O49" s="35"/>
    </row>
    <row r="50" ht="57.75" customHeight="1">
      <c r="A50" s="23" t="s">
        <v>850</v>
      </c>
      <c r="B50" s="25" t="s">
        <v>43</v>
      </c>
      <c r="C50" s="25" t="s">
        <v>23</v>
      </c>
      <c r="D50" s="38" t="s">
        <v>13</v>
      </c>
      <c r="E50" s="31" t="s">
        <v>851</v>
      </c>
      <c r="F50" s="31" t="s">
        <v>852</v>
      </c>
      <c r="G50" s="31" t="s">
        <v>853</v>
      </c>
      <c r="H50" s="31" t="s">
        <v>854</v>
      </c>
      <c r="I50" s="31" t="s">
        <v>855</v>
      </c>
      <c r="J50" s="31" t="s">
        <v>857</v>
      </c>
      <c r="K50" s="36" t="s">
        <v>66</v>
      </c>
      <c r="L50" s="31" t="s">
        <v>858</v>
      </c>
      <c r="M50" s="32" t="s">
        <v>69</v>
      </c>
      <c r="N50" s="25"/>
      <c r="O50" s="25"/>
    </row>
    <row r="51" ht="57.75" customHeight="1">
      <c r="A51" s="23" t="s">
        <v>859</v>
      </c>
      <c r="B51" s="35" t="s">
        <v>43</v>
      </c>
      <c r="C51" s="35" t="s">
        <v>23</v>
      </c>
      <c r="D51" s="38" t="s">
        <v>13</v>
      </c>
      <c r="E51" s="40" t="s">
        <v>861</v>
      </c>
      <c r="F51" s="40" t="s">
        <v>862</v>
      </c>
      <c r="G51" s="40" t="s">
        <v>863</v>
      </c>
      <c r="H51" s="40" t="s">
        <v>864</v>
      </c>
      <c r="I51" s="40" t="s">
        <v>866</v>
      </c>
      <c r="J51" s="40" t="s">
        <v>867</v>
      </c>
      <c r="K51" s="42" t="s">
        <v>201</v>
      </c>
      <c r="L51" s="40" t="s">
        <v>868</v>
      </c>
      <c r="M51" s="32" t="s">
        <v>69</v>
      </c>
      <c r="N51" s="35"/>
      <c r="O51" s="35"/>
    </row>
    <row r="52" ht="57.75" customHeight="1">
      <c r="A52" s="23" t="s">
        <v>871</v>
      </c>
      <c r="B52" s="25" t="s">
        <v>43</v>
      </c>
      <c r="C52" s="25" t="s">
        <v>23</v>
      </c>
      <c r="D52" s="38" t="s">
        <v>13</v>
      </c>
      <c r="E52" s="31" t="s">
        <v>876</v>
      </c>
      <c r="F52" s="31" t="s">
        <v>877</v>
      </c>
      <c r="G52" s="31" t="s">
        <v>879</v>
      </c>
      <c r="H52" s="31" t="s">
        <v>880</v>
      </c>
      <c r="I52" s="31" t="s">
        <v>881</v>
      </c>
      <c r="J52" s="31" t="s">
        <v>882</v>
      </c>
      <c r="K52" s="36" t="s">
        <v>108</v>
      </c>
      <c r="L52" s="31" t="s">
        <v>884</v>
      </c>
      <c r="M52" s="32" t="s">
        <v>69</v>
      </c>
      <c r="N52" s="25"/>
      <c r="O52" s="25"/>
    </row>
    <row r="53" ht="25.5" customHeight="1">
      <c r="A53" s="49" t="s">
        <v>888</v>
      </c>
      <c r="B53" s="50"/>
      <c r="C53" s="50"/>
      <c r="D53" s="50"/>
      <c r="E53" s="50"/>
      <c r="F53" s="50"/>
      <c r="G53" s="50"/>
      <c r="H53" s="50"/>
      <c r="I53" s="50"/>
      <c r="J53" s="52"/>
      <c r="M53" s="71">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2" t="s">
        <v>767</v>
      </c>
      <c r="B1" s="3"/>
      <c r="C1" s="3"/>
      <c r="D1" s="3"/>
      <c r="E1" s="3"/>
      <c r="F1" s="3"/>
      <c r="G1" s="3"/>
      <c r="H1" s="3"/>
      <c r="I1" s="3"/>
      <c r="J1" s="3"/>
      <c r="K1" s="3"/>
      <c r="L1" s="3"/>
      <c r="M1" s="3"/>
      <c r="N1" s="3"/>
      <c r="O1" s="4"/>
    </row>
    <row r="2" ht="30.0" customHeight="1">
      <c r="A2" s="7" t="s">
        <v>784</v>
      </c>
      <c r="B2" s="3"/>
      <c r="C2" s="3"/>
      <c r="D2" s="3"/>
      <c r="E2" s="3"/>
      <c r="F2" s="3"/>
      <c r="G2" s="3"/>
      <c r="H2" s="3"/>
      <c r="I2" s="3"/>
      <c r="J2" s="3"/>
      <c r="K2" s="3"/>
      <c r="L2" s="3"/>
      <c r="M2" s="3"/>
      <c r="N2" s="3"/>
      <c r="O2" s="4"/>
    </row>
    <row r="3" ht="19.5" customHeight="1">
      <c r="A3" s="10" t="s">
        <v>11</v>
      </c>
      <c r="B3" s="3"/>
      <c r="C3" s="3"/>
      <c r="D3" s="3"/>
      <c r="E3" s="3"/>
      <c r="F3" s="3"/>
      <c r="G3" s="3"/>
      <c r="H3" s="3"/>
      <c r="I3" s="3"/>
      <c r="J3" s="3"/>
      <c r="K3" s="3"/>
      <c r="L3" s="3"/>
      <c r="M3" s="3"/>
      <c r="N3" s="3"/>
      <c r="O3" s="4"/>
    </row>
    <row r="4" ht="24.75" customHeight="1">
      <c r="A4" s="9" t="s">
        <v>22</v>
      </c>
      <c r="B4" s="9" t="s">
        <v>8</v>
      </c>
      <c r="C4" s="9" t="s">
        <v>14</v>
      </c>
      <c r="D4" s="9" t="s">
        <v>24</v>
      </c>
      <c r="E4" s="9" t="s">
        <v>25</v>
      </c>
      <c r="F4" s="9" t="s">
        <v>26</v>
      </c>
      <c r="G4" s="9" t="s">
        <v>27</v>
      </c>
      <c r="H4" s="9" t="s">
        <v>28</v>
      </c>
      <c r="I4" s="9" t="s">
        <v>29</v>
      </c>
      <c r="J4" s="9" t="s">
        <v>31</v>
      </c>
      <c r="K4" s="9" t="s">
        <v>32</v>
      </c>
      <c r="L4" s="9" t="s">
        <v>33</v>
      </c>
      <c r="M4" s="9" t="s">
        <v>17</v>
      </c>
      <c r="N4" s="9" t="s">
        <v>35</v>
      </c>
      <c r="O4" s="9" t="s">
        <v>36</v>
      </c>
    </row>
    <row r="5" ht="19.5" customHeight="1">
      <c r="A5" s="18" t="s">
        <v>37</v>
      </c>
      <c r="B5" s="3"/>
      <c r="C5" s="3"/>
      <c r="D5" s="3"/>
      <c r="E5" s="3"/>
      <c r="F5" s="3"/>
      <c r="G5" s="3"/>
      <c r="H5" s="3"/>
      <c r="I5" s="3"/>
      <c r="J5" s="3"/>
      <c r="K5" s="3"/>
      <c r="L5" s="3"/>
      <c r="M5" s="3"/>
      <c r="N5" s="3"/>
      <c r="O5" s="4"/>
    </row>
    <row r="6" ht="57.75" customHeight="1">
      <c r="A6" s="23" t="s">
        <v>825</v>
      </c>
      <c r="B6" s="25" t="s">
        <v>47</v>
      </c>
      <c r="C6" s="25" t="s">
        <v>23</v>
      </c>
      <c r="D6" s="27" t="s">
        <v>10</v>
      </c>
      <c r="E6" s="31" t="s">
        <v>834</v>
      </c>
      <c r="F6" s="31" t="s">
        <v>649</v>
      </c>
      <c r="G6" s="31" t="s">
        <v>836</v>
      </c>
      <c r="H6" s="31" t="s">
        <v>837</v>
      </c>
      <c r="I6" s="31" t="s">
        <v>838</v>
      </c>
      <c r="J6" s="31" t="s">
        <v>840</v>
      </c>
      <c r="K6" s="36" t="s">
        <v>108</v>
      </c>
      <c r="L6" s="31" t="s">
        <v>843</v>
      </c>
      <c r="M6" s="32" t="s">
        <v>69</v>
      </c>
      <c r="N6" s="25"/>
      <c r="O6" s="25"/>
    </row>
    <row r="7" ht="57.75" customHeight="1">
      <c r="A7" s="23" t="s">
        <v>849</v>
      </c>
      <c r="B7" s="35" t="s">
        <v>47</v>
      </c>
      <c r="C7" s="35" t="s">
        <v>23</v>
      </c>
      <c r="D7" s="27" t="s">
        <v>10</v>
      </c>
      <c r="E7" s="40" t="s">
        <v>856</v>
      </c>
      <c r="F7" s="40" t="s">
        <v>644</v>
      </c>
      <c r="G7" s="40" t="s">
        <v>646</v>
      </c>
      <c r="H7" s="40" t="s">
        <v>648</v>
      </c>
      <c r="I7" s="40" t="s">
        <v>649</v>
      </c>
      <c r="J7" s="40" t="s">
        <v>650</v>
      </c>
      <c r="K7" s="42" t="s">
        <v>201</v>
      </c>
      <c r="L7" s="40" t="s">
        <v>860</v>
      </c>
      <c r="M7" s="32" t="s">
        <v>69</v>
      </c>
      <c r="N7" s="35"/>
      <c r="O7" s="35"/>
    </row>
    <row r="8" ht="57.75" customHeight="1">
      <c r="A8" s="23" t="s">
        <v>865</v>
      </c>
      <c r="B8" s="25" t="s">
        <v>47</v>
      </c>
      <c r="C8" s="25" t="s">
        <v>23</v>
      </c>
      <c r="D8" s="27" t="s">
        <v>10</v>
      </c>
      <c r="E8" s="31" t="s">
        <v>869</v>
      </c>
      <c r="F8" s="31" t="s">
        <v>870</v>
      </c>
      <c r="G8" s="31" t="s">
        <v>872</v>
      </c>
      <c r="H8" s="31" t="s">
        <v>873</v>
      </c>
      <c r="I8" s="31" t="s">
        <v>874</v>
      </c>
      <c r="J8" s="31" t="s">
        <v>875</v>
      </c>
      <c r="K8" s="36" t="s">
        <v>66</v>
      </c>
      <c r="L8" s="31" t="s">
        <v>878</v>
      </c>
      <c r="M8" s="32" t="s">
        <v>69</v>
      </c>
      <c r="N8" s="25"/>
      <c r="O8" s="25"/>
    </row>
    <row r="9" ht="57.75" customHeight="1">
      <c r="A9" s="23" t="s">
        <v>883</v>
      </c>
      <c r="B9" s="35" t="s">
        <v>47</v>
      </c>
      <c r="C9" s="35" t="s">
        <v>23</v>
      </c>
      <c r="D9" s="27" t="s">
        <v>10</v>
      </c>
      <c r="E9" s="40" t="s">
        <v>885</v>
      </c>
      <c r="F9" s="40" t="s">
        <v>886</v>
      </c>
      <c r="G9" s="40" t="s">
        <v>311</v>
      </c>
      <c r="H9" s="40" t="s">
        <v>99</v>
      </c>
      <c r="I9" s="40" t="s">
        <v>887</v>
      </c>
      <c r="J9" s="40" t="s">
        <v>315</v>
      </c>
      <c r="K9" s="42" t="s">
        <v>201</v>
      </c>
      <c r="L9" s="40" t="s">
        <v>889</v>
      </c>
      <c r="M9" s="32" t="s">
        <v>69</v>
      </c>
      <c r="N9" s="35"/>
      <c r="O9" s="35"/>
    </row>
    <row r="10" ht="57.75" customHeight="1">
      <c r="A10" s="23" t="s">
        <v>890</v>
      </c>
      <c r="B10" s="25" t="s">
        <v>47</v>
      </c>
      <c r="C10" s="25" t="s">
        <v>23</v>
      </c>
      <c r="D10" s="27" t="s">
        <v>10</v>
      </c>
      <c r="E10" s="31" t="s">
        <v>891</v>
      </c>
      <c r="F10" s="31" t="s">
        <v>99</v>
      </c>
      <c r="G10" s="31" t="s">
        <v>315</v>
      </c>
      <c r="H10" s="31" t="s">
        <v>101</v>
      </c>
      <c r="I10" s="31" t="s">
        <v>892</v>
      </c>
      <c r="J10" s="31" t="s">
        <v>103</v>
      </c>
      <c r="K10" s="36" t="s">
        <v>108</v>
      </c>
      <c r="L10" s="31" t="s">
        <v>893</v>
      </c>
      <c r="M10" s="32" t="s">
        <v>69</v>
      </c>
      <c r="N10" s="25"/>
      <c r="O10" s="25"/>
    </row>
    <row r="11" ht="57.75" customHeight="1">
      <c r="A11" s="23" t="s">
        <v>894</v>
      </c>
      <c r="B11" s="35" t="s">
        <v>47</v>
      </c>
      <c r="C11" s="35" t="s">
        <v>23</v>
      </c>
      <c r="D11" s="27" t="s">
        <v>10</v>
      </c>
      <c r="E11" s="40" t="s">
        <v>895</v>
      </c>
      <c r="F11" s="40" t="s">
        <v>840</v>
      </c>
      <c r="G11" s="40" t="s">
        <v>896</v>
      </c>
      <c r="H11" s="40" t="s">
        <v>897</v>
      </c>
      <c r="I11" s="40" t="s">
        <v>96</v>
      </c>
      <c r="J11" s="40" t="s">
        <v>886</v>
      </c>
      <c r="K11" s="42" t="s">
        <v>201</v>
      </c>
      <c r="L11" s="40" t="s">
        <v>898</v>
      </c>
      <c r="M11" s="32" t="s">
        <v>69</v>
      </c>
      <c r="N11" s="35"/>
      <c r="O11" s="35"/>
    </row>
    <row r="12" ht="57.75" customHeight="1">
      <c r="A12" s="23" t="s">
        <v>899</v>
      </c>
      <c r="B12" s="25" t="s">
        <v>47</v>
      </c>
      <c r="C12" s="25" t="s">
        <v>23</v>
      </c>
      <c r="D12" s="27" t="s">
        <v>10</v>
      </c>
      <c r="E12" s="31" t="s">
        <v>900</v>
      </c>
      <c r="F12" s="31" t="s">
        <v>901</v>
      </c>
      <c r="G12" s="31" t="s">
        <v>902</v>
      </c>
      <c r="H12" s="31" t="s">
        <v>903</v>
      </c>
      <c r="I12" s="31" t="s">
        <v>313</v>
      </c>
      <c r="J12" s="31" t="s">
        <v>904</v>
      </c>
      <c r="K12" s="36" t="s">
        <v>66</v>
      </c>
      <c r="L12" s="31" t="s">
        <v>905</v>
      </c>
      <c r="M12" s="32" t="s">
        <v>69</v>
      </c>
      <c r="N12" s="25"/>
      <c r="O12" s="25"/>
    </row>
    <row r="13" ht="57.75" customHeight="1">
      <c r="A13" s="23" t="s">
        <v>906</v>
      </c>
      <c r="B13" s="35" t="s">
        <v>47</v>
      </c>
      <c r="C13" s="35" t="s">
        <v>23</v>
      </c>
      <c r="D13" s="27" t="s">
        <v>10</v>
      </c>
      <c r="E13" s="40" t="s">
        <v>907</v>
      </c>
      <c r="F13" s="40" t="s">
        <v>908</v>
      </c>
      <c r="G13" s="40" t="s">
        <v>909</v>
      </c>
      <c r="H13" s="40" t="s">
        <v>910</v>
      </c>
      <c r="I13" s="40" t="s">
        <v>911</v>
      </c>
      <c r="J13" s="40" t="s">
        <v>912</v>
      </c>
      <c r="K13" s="42" t="s">
        <v>108</v>
      </c>
      <c r="L13" s="40" t="s">
        <v>913</v>
      </c>
      <c r="M13" s="32" t="s">
        <v>69</v>
      </c>
      <c r="N13" s="35"/>
      <c r="O13" s="35"/>
    </row>
    <row r="14" ht="57.75" customHeight="1">
      <c r="A14" s="23" t="s">
        <v>914</v>
      </c>
      <c r="B14" s="25" t="s">
        <v>47</v>
      </c>
      <c r="C14" s="25" t="s">
        <v>23</v>
      </c>
      <c r="D14" s="27" t="s">
        <v>10</v>
      </c>
      <c r="E14" s="31" t="s">
        <v>915</v>
      </c>
      <c r="F14" s="31" t="s">
        <v>644</v>
      </c>
      <c r="G14" s="31" t="s">
        <v>646</v>
      </c>
      <c r="H14" s="31" t="s">
        <v>648</v>
      </c>
      <c r="I14" s="31" t="s">
        <v>649</v>
      </c>
      <c r="J14" s="31" t="s">
        <v>650</v>
      </c>
      <c r="K14" s="36" t="s">
        <v>66</v>
      </c>
      <c r="L14" s="31" t="s">
        <v>916</v>
      </c>
      <c r="M14" s="32" t="s">
        <v>69</v>
      </c>
      <c r="N14" s="25"/>
      <c r="O14" s="25"/>
    </row>
    <row r="15" ht="57.75" customHeight="1">
      <c r="A15" s="23" t="s">
        <v>917</v>
      </c>
      <c r="B15" s="35" t="s">
        <v>47</v>
      </c>
      <c r="C15" s="35" t="s">
        <v>23</v>
      </c>
      <c r="D15" s="27" t="s">
        <v>10</v>
      </c>
      <c r="E15" s="40" t="s">
        <v>918</v>
      </c>
      <c r="F15" s="72">
        <v>0.15</v>
      </c>
      <c r="G15" s="72">
        <v>0.2</v>
      </c>
      <c r="H15" s="72">
        <v>0.25</v>
      </c>
      <c r="I15" s="72">
        <v>0.3</v>
      </c>
      <c r="J15" s="72">
        <v>0.35</v>
      </c>
      <c r="K15" s="42" t="s">
        <v>108</v>
      </c>
      <c r="L15" s="40" t="s">
        <v>919</v>
      </c>
      <c r="M15" s="32" t="s">
        <v>69</v>
      </c>
      <c r="N15" s="35"/>
      <c r="O15" s="35"/>
    </row>
    <row r="16" ht="57.75" customHeight="1">
      <c r="A16" s="23" t="s">
        <v>920</v>
      </c>
      <c r="B16" s="25" t="s">
        <v>47</v>
      </c>
      <c r="C16" s="25" t="s">
        <v>23</v>
      </c>
      <c r="D16" s="27" t="s">
        <v>10</v>
      </c>
      <c r="E16" s="31" t="s">
        <v>921</v>
      </c>
      <c r="F16" s="31" t="s">
        <v>842</v>
      </c>
      <c r="G16" s="31" t="s">
        <v>873</v>
      </c>
      <c r="H16" s="31" t="s">
        <v>922</v>
      </c>
      <c r="I16" s="31" t="s">
        <v>923</v>
      </c>
      <c r="J16" s="31" t="s">
        <v>924</v>
      </c>
      <c r="K16" s="36" t="s">
        <v>108</v>
      </c>
      <c r="L16" s="31" t="s">
        <v>925</v>
      </c>
      <c r="M16" s="32" t="s">
        <v>69</v>
      </c>
      <c r="N16" s="25"/>
      <c r="O16" s="25"/>
    </row>
    <row r="17" ht="57.75" customHeight="1">
      <c r="A17" s="23" t="s">
        <v>926</v>
      </c>
      <c r="B17" s="35" t="s">
        <v>47</v>
      </c>
      <c r="C17" s="35" t="s">
        <v>23</v>
      </c>
      <c r="D17" s="27" t="s">
        <v>10</v>
      </c>
      <c r="E17" s="40" t="s">
        <v>927</v>
      </c>
      <c r="F17" s="40" t="s">
        <v>847</v>
      </c>
      <c r="G17" s="40" t="s">
        <v>798</v>
      </c>
      <c r="H17" s="40" t="s">
        <v>923</v>
      </c>
      <c r="I17" s="40" t="s">
        <v>928</v>
      </c>
      <c r="J17" s="40" t="s">
        <v>929</v>
      </c>
      <c r="K17" s="42" t="s">
        <v>66</v>
      </c>
      <c r="L17" s="40" t="s">
        <v>930</v>
      </c>
      <c r="M17" s="32" t="s">
        <v>69</v>
      </c>
      <c r="N17" s="35"/>
      <c r="O17" s="35"/>
    </row>
    <row r="18" ht="57.75" customHeight="1">
      <c r="A18" s="23" t="s">
        <v>931</v>
      </c>
      <c r="B18" s="25" t="s">
        <v>47</v>
      </c>
      <c r="C18" s="25" t="s">
        <v>23</v>
      </c>
      <c r="D18" s="27" t="s">
        <v>10</v>
      </c>
      <c r="E18" s="31" t="s">
        <v>932</v>
      </c>
      <c r="F18" s="31" t="s">
        <v>933</v>
      </c>
      <c r="G18" s="31" t="s">
        <v>830</v>
      </c>
      <c r="H18" s="31" t="s">
        <v>934</v>
      </c>
      <c r="I18" s="31" t="s">
        <v>935</v>
      </c>
      <c r="J18" s="31" t="s">
        <v>936</v>
      </c>
      <c r="K18" s="36" t="s">
        <v>108</v>
      </c>
      <c r="L18" s="31" t="s">
        <v>937</v>
      </c>
      <c r="M18" s="32" t="s">
        <v>69</v>
      </c>
      <c r="N18" s="25"/>
      <c r="O18" s="25"/>
    </row>
    <row r="19" ht="57.75" customHeight="1">
      <c r="A19" s="23" t="s">
        <v>938</v>
      </c>
      <c r="B19" s="35" t="s">
        <v>47</v>
      </c>
      <c r="C19" s="35" t="s">
        <v>23</v>
      </c>
      <c r="D19" s="27" t="s">
        <v>10</v>
      </c>
      <c r="E19" s="40" t="s">
        <v>939</v>
      </c>
      <c r="F19" s="40" t="s">
        <v>940</v>
      </c>
      <c r="G19" s="40" t="s">
        <v>941</v>
      </c>
      <c r="H19" s="40" t="s">
        <v>942</v>
      </c>
      <c r="I19" s="40" t="s">
        <v>943</v>
      </c>
      <c r="J19" s="40" t="s">
        <v>944</v>
      </c>
      <c r="K19" s="42" t="s">
        <v>66</v>
      </c>
      <c r="L19" s="40" t="s">
        <v>945</v>
      </c>
      <c r="M19" s="32" t="s">
        <v>69</v>
      </c>
      <c r="N19" s="35"/>
      <c r="O19" s="35"/>
    </row>
    <row r="20" ht="57.75" customHeight="1">
      <c r="A20" s="23" t="s">
        <v>946</v>
      </c>
      <c r="B20" s="25" t="s">
        <v>47</v>
      </c>
      <c r="C20" s="25" t="s">
        <v>23</v>
      </c>
      <c r="D20" s="27" t="s">
        <v>10</v>
      </c>
      <c r="E20" s="31" t="s">
        <v>947</v>
      </c>
      <c r="F20" s="31" t="s">
        <v>948</v>
      </c>
      <c r="G20" s="31" t="s">
        <v>949</v>
      </c>
      <c r="H20" s="31" t="s">
        <v>896</v>
      </c>
      <c r="I20" s="31" t="s">
        <v>950</v>
      </c>
      <c r="J20" s="31" t="s">
        <v>313</v>
      </c>
      <c r="K20" s="36" t="s">
        <v>108</v>
      </c>
      <c r="L20" s="31" t="s">
        <v>951</v>
      </c>
      <c r="M20" s="32" t="s">
        <v>69</v>
      </c>
      <c r="N20" s="25"/>
      <c r="O20" s="25"/>
    </row>
    <row r="21" ht="19.5" customHeight="1">
      <c r="A21" s="61" t="s">
        <v>255</v>
      </c>
      <c r="B21" s="3"/>
      <c r="C21" s="3"/>
      <c r="D21" s="3"/>
      <c r="E21" s="3"/>
      <c r="F21" s="3"/>
      <c r="G21" s="3"/>
      <c r="H21" s="3"/>
      <c r="I21" s="3"/>
      <c r="J21" s="3"/>
      <c r="K21" s="3"/>
      <c r="L21" s="3"/>
      <c r="M21" s="3"/>
      <c r="N21" s="3"/>
      <c r="O21" s="4"/>
    </row>
    <row r="22" ht="57.75" customHeight="1">
      <c r="A22" s="23" t="s">
        <v>952</v>
      </c>
      <c r="B22" s="35" t="s">
        <v>47</v>
      </c>
      <c r="C22" s="35" t="s">
        <v>23</v>
      </c>
      <c r="D22" s="17" t="s">
        <v>12</v>
      </c>
      <c r="E22" s="40" t="s">
        <v>953</v>
      </c>
      <c r="F22" s="40" t="s">
        <v>96</v>
      </c>
      <c r="G22" s="40" t="s">
        <v>311</v>
      </c>
      <c r="H22" s="40" t="s">
        <v>99</v>
      </c>
      <c r="I22" s="40" t="s">
        <v>315</v>
      </c>
      <c r="J22" s="40" t="s">
        <v>101</v>
      </c>
      <c r="K22" s="42" t="s">
        <v>108</v>
      </c>
      <c r="L22" s="40" t="s">
        <v>954</v>
      </c>
      <c r="M22" s="32" t="s">
        <v>69</v>
      </c>
      <c r="N22" s="35"/>
      <c r="O22" s="35"/>
    </row>
    <row r="23" ht="57.75" customHeight="1">
      <c r="A23" s="23" t="s">
        <v>955</v>
      </c>
      <c r="B23" s="25" t="s">
        <v>47</v>
      </c>
      <c r="C23" s="25" t="s">
        <v>23</v>
      </c>
      <c r="D23" s="17" t="s">
        <v>12</v>
      </c>
      <c r="E23" s="31" t="s">
        <v>957</v>
      </c>
      <c r="F23" s="31" t="s">
        <v>902</v>
      </c>
      <c r="G23" s="31" t="s">
        <v>903</v>
      </c>
      <c r="H23" s="31" t="s">
        <v>313</v>
      </c>
      <c r="I23" s="31" t="s">
        <v>904</v>
      </c>
      <c r="J23" s="31" t="s">
        <v>958</v>
      </c>
      <c r="K23" s="36" t="s">
        <v>108</v>
      </c>
      <c r="L23" s="31" t="s">
        <v>959</v>
      </c>
      <c r="M23" s="32" t="s">
        <v>69</v>
      </c>
      <c r="N23" s="25"/>
      <c r="O23" s="25"/>
    </row>
    <row r="24" ht="57.75" customHeight="1">
      <c r="A24" s="23" t="s">
        <v>960</v>
      </c>
      <c r="B24" s="35" t="s">
        <v>47</v>
      </c>
      <c r="C24" s="35" t="s">
        <v>23</v>
      </c>
      <c r="D24" s="17" t="s">
        <v>12</v>
      </c>
      <c r="E24" s="40" t="s">
        <v>961</v>
      </c>
      <c r="F24" s="40" t="s">
        <v>962</v>
      </c>
      <c r="G24" s="40" t="s">
        <v>963</v>
      </c>
      <c r="H24" s="40" t="s">
        <v>175</v>
      </c>
      <c r="I24" s="40" t="s">
        <v>964</v>
      </c>
      <c r="J24" s="40" t="s">
        <v>965</v>
      </c>
      <c r="K24" s="42" t="s">
        <v>66</v>
      </c>
      <c r="L24" s="40" t="s">
        <v>966</v>
      </c>
      <c r="M24" s="32" t="s">
        <v>69</v>
      </c>
      <c r="N24" s="35"/>
      <c r="O24" s="35"/>
    </row>
    <row r="25" ht="57.75" customHeight="1">
      <c r="A25" s="23" t="s">
        <v>968</v>
      </c>
      <c r="B25" s="25" t="s">
        <v>47</v>
      </c>
      <c r="C25" s="25" t="s">
        <v>23</v>
      </c>
      <c r="D25" s="17" t="s">
        <v>12</v>
      </c>
      <c r="E25" s="31" t="s">
        <v>969</v>
      </c>
      <c r="F25" s="31" t="s">
        <v>332</v>
      </c>
      <c r="G25" s="31" t="s">
        <v>970</v>
      </c>
      <c r="H25" s="31" t="s">
        <v>971</v>
      </c>
      <c r="I25" s="31" t="s">
        <v>972</v>
      </c>
      <c r="J25" s="31" t="s">
        <v>800</v>
      </c>
      <c r="K25" s="36" t="s">
        <v>108</v>
      </c>
      <c r="L25" s="31" t="s">
        <v>973</v>
      </c>
      <c r="M25" s="32" t="s">
        <v>69</v>
      </c>
      <c r="N25" s="25"/>
      <c r="O25" s="25"/>
    </row>
    <row r="26" ht="57.75" customHeight="1">
      <c r="A26" s="23" t="s">
        <v>974</v>
      </c>
      <c r="B26" s="35" t="s">
        <v>47</v>
      </c>
      <c r="C26" s="35" t="s">
        <v>23</v>
      </c>
      <c r="D26" s="17" t="s">
        <v>12</v>
      </c>
      <c r="E26" s="40" t="s">
        <v>975</v>
      </c>
      <c r="F26" s="40" t="s">
        <v>976</v>
      </c>
      <c r="G26" s="40" t="s">
        <v>977</v>
      </c>
      <c r="H26" s="40" t="s">
        <v>978</v>
      </c>
      <c r="I26" s="40" t="s">
        <v>979</v>
      </c>
      <c r="J26" s="40" t="s">
        <v>980</v>
      </c>
      <c r="K26" s="42" t="s">
        <v>108</v>
      </c>
      <c r="L26" s="40" t="s">
        <v>981</v>
      </c>
      <c r="M26" s="32" t="s">
        <v>69</v>
      </c>
      <c r="N26" s="35"/>
      <c r="O26" s="35"/>
    </row>
    <row r="27" ht="57.75" customHeight="1">
      <c r="A27" s="23" t="s">
        <v>982</v>
      </c>
      <c r="B27" s="25" t="s">
        <v>47</v>
      </c>
      <c r="C27" s="25" t="s">
        <v>23</v>
      </c>
      <c r="D27" s="17" t="s">
        <v>12</v>
      </c>
      <c r="E27" s="31" t="s">
        <v>983</v>
      </c>
      <c r="F27" s="31" t="s">
        <v>468</v>
      </c>
      <c r="G27" s="31" t="s">
        <v>984</v>
      </c>
      <c r="H27" s="31" t="s">
        <v>985</v>
      </c>
      <c r="I27" s="31" t="s">
        <v>453</v>
      </c>
      <c r="J27" s="31" t="s">
        <v>986</v>
      </c>
      <c r="K27" s="36" t="s">
        <v>66</v>
      </c>
      <c r="L27" s="31" t="s">
        <v>987</v>
      </c>
      <c r="M27" s="32" t="s">
        <v>69</v>
      </c>
      <c r="N27" s="25"/>
      <c r="O27" s="25"/>
    </row>
    <row r="28" ht="57.75" customHeight="1">
      <c r="A28" s="23" t="s">
        <v>988</v>
      </c>
      <c r="B28" s="35" t="s">
        <v>47</v>
      </c>
      <c r="C28" s="35" t="s">
        <v>23</v>
      </c>
      <c r="D28" s="17" t="s">
        <v>12</v>
      </c>
      <c r="E28" s="40" t="s">
        <v>989</v>
      </c>
      <c r="F28" s="40" t="s">
        <v>990</v>
      </c>
      <c r="G28" s="40" t="s">
        <v>991</v>
      </c>
      <c r="H28" s="40" t="s">
        <v>181</v>
      </c>
      <c r="I28" s="40" t="s">
        <v>992</v>
      </c>
      <c r="J28" s="40" t="s">
        <v>993</v>
      </c>
      <c r="K28" s="42" t="s">
        <v>136</v>
      </c>
      <c r="L28" s="40" t="s">
        <v>994</v>
      </c>
      <c r="M28" s="32" t="s">
        <v>69</v>
      </c>
      <c r="N28" s="35"/>
      <c r="O28" s="35"/>
    </row>
    <row r="29" ht="57.75" customHeight="1">
      <c r="A29" s="23" t="s">
        <v>995</v>
      </c>
      <c r="B29" s="25" t="s">
        <v>47</v>
      </c>
      <c r="C29" s="25" t="s">
        <v>23</v>
      </c>
      <c r="D29" s="17" t="s">
        <v>12</v>
      </c>
      <c r="E29" s="31" t="s">
        <v>996</v>
      </c>
      <c r="F29" s="31" t="s">
        <v>650</v>
      </c>
      <c r="G29" s="31" t="s">
        <v>836</v>
      </c>
      <c r="H29" s="31" t="s">
        <v>997</v>
      </c>
      <c r="I29" s="31" t="s">
        <v>837</v>
      </c>
      <c r="J29" s="31" t="s">
        <v>998</v>
      </c>
      <c r="K29" s="36" t="s">
        <v>66</v>
      </c>
      <c r="L29" s="31" t="s">
        <v>999</v>
      </c>
      <c r="M29" s="32" t="s">
        <v>69</v>
      </c>
      <c r="N29" s="25"/>
      <c r="O29" s="25"/>
    </row>
    <row r="30" ht="57.75" customHeight="1">
      <c r="A30" s="23" t="s">
        <v>1000</v>
      </c>
      <c r="B30" s="35" t="s">
        <v>47</v>
      </c>
      <c r="C30" s="35" t="s">
        <v>23</v>
      </c>
      <c r="D30" s="17" t="s">
        <v>12</v>
      </c>
      <c r="E30" s="40" t="s">
        <v>1001</v>
      </c>
      <c r="F30" s="72">
        <v>0.08</v>
      </c>
      <c r="G30" s="72">
        <v>0.1</v>
      </c>
      <c r="H30" s="72">
        <v>0.12</v>
      </c>
      <c r="I30" s="72">
        <v>0.15</v>
      </c>
      <c r="J30" s="72">
        <v>0.2</v>
      </c>
      <c r="K30" s="42" t="s">
        <v>66</v>
      </c>
      <c r="L30" s="40" t="s">
        <v>1003</v>
      </c>
      <c r="M30" s="32" t="s">
        <v>69</v>
      </c>
      <c r="N30" s="35"/>
      <c r="O30" s="35"/>
    </row>
    <row r="31" ht="57.75" customHeight="1">
      <c r="A31" s="23" t="s">
        <v>1004</v>
      </c>
      <c r="B31" s="25" t="s">
        <v>47</v>
      </c>
      <c r="C31" s="25" t="s">
        <v>23</v>
      </c>
      <c r="D31" s="17" t="s">
        <v>12</v>
      </c>
      <c r="E31" s="31" t="s">
        <v>1005</v>
      </c>
      <c r="F31" s="31" t="s">
        <v>1006</v>
      </c>
      <c r="G31" s="31" t="s">
        <v>950</v>
      </c>
      <c r="H31" s="31" t="s">
        <v>310</v>
      </c>
      <c r="I31" s="31" t="s">
        <v>1007</v>
      </c>
      <c r="J31" s="31" t="s">
        <v>1008</v>
      </c>
      <c r="K31" s="36" t="s">
        <v>66</v>
      </c>
      <c r="L31" s="31" t="s">
        <v>1010</v>
      </c>
      <c r="M31" s="32" t="s">
        <v>69</v>
      </c>
      <c r="N31" s="25"/>
      <c r="O31" s="25"/>
    </row>
    <row r="32" ht="57.75" customHeight="1">
      <c r="A32" s="23" t="s">
        <v>1011</v>
      </c>
      <c r="B32" s="35" t="s">
        <v>47</v>
      </c>
      <c r="C32" s="35" t="s">
        <v>23</v>
      </c>
      <c r="D32" s="17" t="s">
        <v>12</v>
      </c>
      <c r="E32" s="40" t="s">
        <v>1012</v>
      </c>
      <c r="F32" s="72">
        <v>0.2</v>
      </c>
      <c r="G32" s="72">
        <v>0.25</v>
      </c>
      <c r="H32" s="72">
        <v>0.3</v>
      </c>
      <c r="I32" s="40" t="s">
        <v>1014</v>
      </c>
      <c r="J32" s="72">
        <v>0.5</v>
      </c>
      <c r="K32" s="42" t="s">
        <v>201</v>
      </c>
      <c r="L32" s="40" t="s">
        <v>1015</v>
      </c>
      <c r="M32" s="32" t="s">
        <v>69</v>
      </c>
      <c r="N32" s="35"/>
      <c r="O32" s="35"/>
    </row>
    <row r="33" ht="57.75" customHeight="1">
      <c r="A33" s="23" t="s">
        <v>1016</v>
      </c>
      <c r="B33" s="25" t="s">
        <v>47</v>
      </c>
      <c r="C33" s="25" t="s">
        <v>23</v>
      </c>
      <c r="D33" s="17" t="s">
        <v>12</v>
      </c>
      <c r="E33" s="31" t="s">
        <v>1018</v>
      </c>
      <c r="F33" s="59">
        <v>0.02</v>
      </c>
      <c r="G33" s="59">
        <v>0.03</v>
      </c>
      <c r="H33" s="59">
        <v>0.04</v>
      </c>
      <c r="I33" s="59">
        <v>0.05</v>
      </c>
      <c r="J33" s="59">
        <v>0.06</v>
      </c>
      <c r="K33" s="36" t="s">
        <v>201</v>
      </c>
      <c r="L33" s="31" t="s">
        <v>1020</v>
      </c>
      <c r="M33" s="32" t="s">
        <v>69</v>
      </c>
      <c r="N33" s="25"/>
      <c r="O33" s="25"/>
    </row>
    <row r="34" ht="57.75" customHeight="1">
      <c r="A34" s="23" t="s">
        <v>1021</v>
      </c>
      <c r="B34" s="35" t="s">
        <v>47</v>
      </c>
      <c r="C34" s="35" t="s">
        <v>23</v>
      </c>
      <c r="D34" s="17" t="s">
        <v>12</v>
      </c>
      <c r="E34" s="40" t="s">
        <v>1023</v>
      </c>
      <c r="F34" s="40" t="s">
        <v>1025</v>
      </c>
      <c r="G34" s="40" t="s">
        <v>1026</v>
      </c>
      <c r="H34" s="40" t="s">
        <v>1027</v>
      </c>
      <c r="I34" s="40" t="s">
        <v>1028</v>
      </c>
      <c r="J34" s="40" t="s">
        <v>1030</v>
      </c>
      <c r="K34" s="42" t="s">
        <v>66</v>
      </c>
      <c r="L34" s="40" t="s">
        <v>1034</v>
      </c>
      <c r="M34" s="32" t="s">
        <v>69</v>
      </c>
      <c r="N34" s="35"/>
      <c r="O34" s="35"/>
    </row>
    <row r="35" ht="57.75" customHeight="1">
      <c r="A35" s="23" t="s">
        <v>1037</v>
      </c>
      <c r="B35" s="25" t="s">
        <v>47</v>
      </c>
      <c r="C35" s="25" t="s">
        <v>23</v>
      </c>
      <c r="D35" s="17" t="s">
        <v>12</v>
      </c>
      <c r="E35" s="31" t="s">
        <v>1040</v>
      </c>
      <c r="F35" s="31" t="s">
        <v>177</v>
      </c>
      <c r="G35" s="31" t="s">
        <v>1041</v>
      </c>
      <c r="H35" s="31" t="s">
        <v>1042</v>
      </c>
      <c r="I35" s="31" t="s">
        <v>1044</v>
      </c>
      <c r="J35" s="31" t="s">
        <v>1046</v>
      </c>
      <c r="K35" s="36" t="s">
        <v>201</v>
      </c>
      <c r="L35" s="31" t="s">
        <v>1050</v>
      </c>
      <c r="M35" s="32" t="s">
        <v>69</v>
      </c>
      <c r="N35" s="25"/>
      <c r="O35" s="25"/>
    </row>
    <row r="36" ht="57.75" customHeight="1">
      <c r="A36" s="23" t="s">
        <v>1053</v>
      </c>
      <c r="B36" s="35" t="s">
        <v>47</v>
      </c>
      <c r="C36" s="35" t="s">
        <v>23</v>
      </c>
      <c r="D36" s="17" t="s">
        <v>12</v>
      </c>
      <c r="E36" s="40" t="s">
        <v>1055</v>
      </c>
      <c r="F36" s="40" t="s">
        <v>1056</v>
      </c>
      <c r="G36" s="40" t="s">
        <v>311</v>
      </c>
      <c r="H36" s="40" t="s">
        <v>901</v>
      </c>
      <c r="I36" s="40" t="s">
        <v>902</v>
      </c>
      <c r="J36" s="40" t="s">
        <v>313</v>
      </c>
      <c r="K36" s="42" t="s">
        <v>136</v>
      </c>
      <c r="L36" s="40" t="s">
        <v>1059</v>
      </c>
      <c r="M36" s="32" t="s">
        <v>69</v>
      </c>
      <c r="N36" s="35"/>
      <c r="O36" s="35"/>
    </row>
    <row r="37" ht="19.5" customHeight="1">
      <c r="A37" s="69" t="s">
        <v>435</v>
      </c>
      <c r="B37" s="3"/>
      <c r="C37" s="3"/>
      <c r="D37" s="3"/>
      <c r="E37" s="3"/>
      <c r="F37" s="3"/>
      <c r="G37" s="3"/>
      <c r="H37" s="3"/>
      <c r="I37" s="3"/>
      <c r="J37" s="3"/>
      <c r="K37" s="3"/>
      <c r="L37" s="3"/>
      <c r="M37" s="3"/>
      <c r="N37" s="3"/>
      <c r="O37" s="4"/>
    </row>
    <row r="38" ht="57.75" customHeight="1">
      <c r="A38" s="23" t="s">
        <v>1071</v>
      </c>
      <c r="B38" s="25" t="s">
        <v>47</v>
      </c>
      <c r="C38" s="25" t="s">
        <v>23</v>
      </c>
      <c r="D38" s="38" t="s">
        <v>13</v>
      </c>
      <c r="E38" s="31" t="s">
        <v>1077</v>
      </c>
      <c r="F38" s="31" t="s">
        <v>1078</v>
      </c>
      <c r="G38" s="31" t="s">
        <v>1080</v>
      </c>
      <c r="H38" s="31" t="s">
        <v>1081</v>
      </c>
      <c r="I38" s="31" t="s">
        <v>1083</v>
      </c>
      <c r="J38" s="31" t="s">
        <v>218</v>
      </c>
      <c r="K38" s="36" t="s">
        <v>108</v>
      </c>
      <c r="L38" s="31" t="s">
        <v>1084</v>
      </c>
      <c r="M38" s="32" t="s">
        <v>69</v>
      </c>
      <c r="N38" s="25"/>
      <c r="O38" s="25"/>
    </row>
    <row r="39" ht="57.75" customHeight="1">
      <c r="A39" s="23" t="s">
        <v>1087</v>
      </c>
      <c r="B39" s="35" t="s">
        <v>47</v>
      </c>
      <c r="C39" s="35" t="s">
        <v>23</v>
      </c>
      <c r="D39" s="38" t="s">
        <v>13</v>
      </c>
      <c r="E39" s="40" t="s">
        <v>1089</v>
      </c>
      <c r="F39" s="40" t="s">
        <v>1090</v>
      </c>
      <c r="G39" s="40" t="s">
        <v>1091</v>
      </c>
      <c r="H39" s="40" t="s">
        <v>1093</v>
      </c>
      <c r="I39" s="40" t="s">
        <v>1094</v>
      </c>
      <c r="J39" s="40" t="s">
        <v>1095</v>
      </c>
      <c r="K39" s="42" t="s">
        <v>66</v>
      </c>
      <c r="L39" s="40" t="s">
        <v>1097</v>
      </c>
      <c r="M39" s="32" t="s">
        <v>69</v>
      </c>
      <c r="N39" s="35"/>
      <c r="O39" s="35"/>
    </row>
    <row r="40" ht="57.75" customHeight="1">
      <c r="A40" s="23" t="s">
        <v>1101</v>
      </c>
      <c r="B40" s="25" t="s">
        <v>47</v>
      </c>
      <c r="C40" s="25" t="s">
        <v>23</v>
      </c>
      <c r="D40" s="38" t="s">
        <v>13</v>
      </c>
      <c r="E40" s="31" t="s">
        <v>1105</v>
      </c>
      <c r="F40" s="31" t="s">
        <v>948</v>
      </c>
      <c r="G40" s="31" t="s">
        <v>1106</v>
      </c>
      <c r="H40" s="31" t="s">
        <v>1108</v>
      </c>
      <c r="I40" s="31" t="s">
        <v>1110</v>
      </c>
      <c r="J40" s="31" t="s">
        <v>1112</v>
      </c>
      <c r="K40" s="36" t="s">
        <v>136</v>
      </c>
      <c r="L40" s="31" t="s">
        <v>1116</v>
      </c>
      <c r="M40" s="32" t="s">
        <v>69</v>
      </c>
      <c r="N40" s="25"/>
      <c r="O40" s="25"/>
    </row>
    <row r="41" ht="57.75" customHeight="1">
      <c r="A41" s="23" t="s">
        <v>1118</v>
      </c>
      <c r="B41" s="35" t="s">
        <v>47</v>
      </c>
      <c r="C41" s="35" t="s">
        <v>23</v>
      </c>
      <c r="D41" s="38" t="s">
        <v>13</v>
      </c>
      <c r="E41" s="40" t="s">
        <v>1121</v>
      </c>
      <c r="F41" s="40" t="s">
        <v>980</v>
      </c>
      <c r="G41" s="40" t="s">
        <v>1122</v>
      </c>
      <c r="H41" s="40" t="s">
        <v>1123</v>
      </c>
      <c r="I41" s="40" t="s">
        <v>1124</v>
      </c>
      <c r="J41" s="40" t="s">
        <v>1126</v>
      </c>
      <c r="K41" s="42" t="s">
        <v>201</v>
      </c>
      <c r="L41" s="40" t="s">
        <v>1128</v>
      </c>
      <c r="M41" s="32" t="s">
        <v>69</v>
      </c>
      <c r="N41" s="35"/>
      <c r="O41" s="35"/>
    </row>
    <row r="42" ht="57.75" customHeight="1">
      <c r="A42" s="23" t="s">
        <v>1130</v>
      </c>
      <c r="B42" s="25" t="s">
        <v>47</v>
      </c>
      <c r="C42" s="25" t="s">
        <v>23</v>
      </c>
      <c r="D42" s="38" t="s">
        <v>13</v>
      </c>
      <c r="E42" s="31" t="s">
        <v>1132</v>
      </c>
      <c r="F42" s="31" t="s">
        <v>1133</v>
      </c>
      <c r="G42" s="31" t="s">
        <v>455</v>
      </c>
      <c r="H42" s="31" t="s">
        <v>1135</v>
      </c>
      <c r="I42" s="31" t="s">
        <v>1136</v>
      </c>
      <c r="J42" s="31" t="s">
        <v>1137</v>
      </c>
      <c r="K42" s="36" t="s">
        <v>108</v>
      </c>
      <c r="L42" s="31" t="s">
        <v>1141</v>
      </c>
      <c r="M42" s="32" t="s">
        <v>69</v>
      </c>
      <c r="N42" s="25"/>
      <c r="O42" s="25"/>
    </row>
    <row r="43" ht="57.75" customHeight="1">
      <c r="A43" s="23" t="s">
        <v>1145</v>
      </c>
      <c r="B43" s="35" t="s">
        <v>47</v>
      </c>
      <c r="C43" s="35" t="s">
        <v>23</v>
      </c>
      <c r="D43" s="38" t="s">
        <v>13</v>
      </c>
      <c r="E43" s="40" t="s">
        <v>1148</v>
      </c>
      <c r="F43" s="40" t="s">
        <v>1149</v>
      </c>
      <c r="G43" s="40" t="s">
        <v>1150</v>
      </c>
      <c r="H43" s="40" t="s">
        <v>1152</v>
      </c>
      <c r="I43" s="40" t="s">
        <v>1154</v>
      </c>
      <c r="J43" s="40" t="s">
        <v>1156</v>
      </c>
      <c r="K43" s="42" t="s">
        <v>66</v>
      </c>
      <c r="L43" s="40" t="s">
        <v>1160</v>
      </c>
      <c r="M43" s="32" t="s">
        <v>69</v>
      </c>
      <c r="N43" s="35"/>
      <c r="O43" s="35"/>
    </row>
    <row r="44" ht="57.75" customHeight="1">
      <c r="A44" s="23" t="s">
        <v>1162</v>
      </c>
      <c r="B44" s="25" t="s">
        <v>47</v>
      </c>
      <c r="C44" s="25" t="s">
        <v>23</v>
      </c>
      <c r="D44" s="38" t="s">
        <v>13</v>
      </c>
      <c r="E44" s="31" t="s">
        <v>1163</v>
      </c>
      <c r="F44" s="31" t="s">
        <v>965</v>
      </c>
      <c r="G44" s="31" t="s">
        <v>1164</v>
      </c>
      <c r="H44" s="31" t="s">
        <v>177</v>
      </c>
      <c r="I44" s="31" t="s">
        <v>1042</v>
      </c>
      <c r="J44" s="31" t="s">
        <v>1046</v>
      </c>
      <c r="K44" s="36" t="s">
        <v>108</v>
      </c>
      <c r="L44" s="31" t="s">
        <v>1165</v>
      </c>
      <c r="M44" s="32" t="s">
        <v>69</v>
      </c>
      <c r="N44" s="25"/>
      <c r="O44" s="25"/>
    </row>
    <row r="45" ht="57.75" customHeight="1">
      <c r="A45" s="23" t="s">
        <v>1166</v>
      </c>
      <c r="B45" s="35" t="s">
        <v>47</v>
      </c>
      <c r="C45" s="35" t="s">
        <v>23</v>
      </c>
      <c r="D45" s="38" t="s">
        <v>13</v>
      </c>
      <c r="E45" s="40" t="s">
        <v>1168</v>
      </c>
      <c r="F45" s="40" t="s">
        <v>976</v>
      </c>
      <c r="G45" s="40" t="s">
        <v>978</v>
      </c>
      <c r="H45" s="40" t="s">
        <v>979</v>
      </c>
      <c r="I45" s="40" t="s">
        <v>980</v>
      </c>
      <c r="J45" s="40" t="s">
        <v>1123</v>
      </c>
      <c r="K45" s="42" t="s">
        <v>66</v>
      </c>
      <c r="L45" s="40" t="s">
        <v>1173</v>
      </c>
      <c r="M45" s="32" t="s">
        <v>69</v>
      </c>
      <c r="N45" s="35"/>
      <c r="O45" s="35"/>
    </row>
    <row r="46" ht="57.75" customHeight="1">
      <c r="A46" s="23" t="s">
        <v>1175</v>
      </c>
      <c r="B46" s="25" t="s">
        <v>47</v>
      </c>
      <c r="C46" s="25" t="s">
        <v>23</v>
      </c>
      <c r="D46" s="38" t="s">
        <v>13</v>
      </c>
      <c r="E46" s="31" t="s">
        <v>1177</v>
      </c>
      <c r="F46" s="31" t="s">
        <v>1179</v>
      </c>
      <c r="G46" s="31" t="s">
        <v>175</v>
      </c>
      <c r="H46" s="31" t="s">
        <v>1181</v>
      </c>
      <c r="I46" s="31" t="s">
        <v>1156</v>
      </c>
      <c r="J46" s="31" t="s">
        <v>965</v>
      </c>
      <c r="K46" s="36" t="s">
        <v>136</v>
      </c>
      <c r="L46" s="31" t="s">
        <v>1184</v>
      </c>
      <c r="M46" s="32" t="s">
        <v>69</v>
      </c>
      <c r="N46" s="25"/>
      <c r="O46" s="25"/>
    </row>
    <row r="47" ht="57.75" customHeight="1">
      <c r="A47" s="23" t="s">
        <v>1186</v>
      </c>
      <c r="B47" s="35" t="s">
        <v>47</v>
      </c>
      <c r="C47" s="35" t="s">
        <v>23</v>
      </c>
      <c r="D47" s="38" t="s">
        <v>13</v>
      </c>
      <c r="E47" s="40" t="s">
        <v>1190</v>
      </c>
      <c r="F47" s="40" t="s">
        <v>310</v>
      </c>
      <c r="G47" s="40" t="s">
        <v>311</v>
      </c>
      <c r="H47" s="40" t="s">
        <v>313</v>
      </c>
      <c r="I47" s="40" t="s">
        <v>99</v>
      </c>
      <c r="J47" s="40" t="s">
        <v>1193</v>
      </c>
      <c r="K47" s="42" t="s">
        <v>201</v>
      </c>
      <c r="L47" s="40" t="s">
        <v>1195</v>
      </c>
      <c r="M47" s="32" t="s">
        <v>69</v>
      </c>
      <c r="N47" s="35"/>
      <c r="O47" s="35"/>
    </row>
    <row r="48" ht="57.75" customHeight="1">
      <c r="A48" s="23" t="s">
        <v>1198</v>
      </c>
      <c r="B48" s="25" t="s">
        <v>47</v>
      </c>
      <c r="C48" s="25" t="s">
        <v>23</v>
      </c>
      <c r="D48" s="38" t="s">
        <v>13</v>
      </c>
      <c r="E48" s="31" t="s">
        <v>1199</v>
      </c>
      <c r="F48" s="31" t="s">
        <v>175</v>
      </c>
      <c r="G48" s="31" t="s">
        <v>1093</v>
      </c>
      <c r="H48" s="31" t="s">
        <v>1094</v>
      </c>
      <c r="I48" s="31" t="s">
        <v>1202</v>
      </c>
      <c r="J48" s="31" t="s">
        <v>1203</v>
      </c>
      <c r="K48" s="36" t="s">
        <v>108</v>
      </c>
      <c r="L48" s="31" t="s">
        <v>1206</v>
      </c>
      <c r="M48" s="32" t="s">
        <v>69</v>
      </c>
      <c r="N48" s="25"/>
      <c r="O48" s="25"/>
    </row>
    <row r="49" ht="57.75" customHeight="1">
      <c r="A49" s="23" t="s">
        <v>1211</v>
      </c>
      <c r="B49" s="35" t="s">
        <v>47</v>
      </c>
      <c r="C49" s="35" t="s">
        <v>23</v>
      </c>
      <c r="D49" s="38" t="s">
        <v>13</v>
      </c>
      <c r="E49" s="40" t="s">
        <v>1213</v>
      </c>
      <c r="F49" s="40" t="s">
        <v>646</v>
      </c>
      <c r="G49" s="40" t="s">
        <v>649</v>
      </c>
      <c r="H49" s="40" t="s">
        <v>836</v>
      </c>
      <c r="I49" s="40" t="s">
        <v>837</v>
      </c>
      <c r="J49" s="40" t="s">
        <v>838</v>
      </c>
      <c r="K49" s="42" t="s">
        <v>136</v>
      </c>
      <c r="L49" s="40" t="s">
        <v>1217</v>
      </c>
      <c r="M49" s="32" t="s">
        <v>69</v>
      </c>
      <c r="N49" s="35"/>
      <c r="O49" s="35"/>
    </row>
    <row r="50" ht="57.75" customHeight="1">
      <c r="A50" s="23" t="s">
        <v>1220</v>
      </c>
      <c r="B50" s="25" t="s">
        <v>47</v>
      </c>
      <c r="C50" s="25" t="s">
        <v>23</v>
      </c>
      <c r="D50" s="38" t="s">
        <v>13</v>
      </c>
      <c r="E50" s="31" t="s">
        <v>1222</v>
      </c>
      <c r="F50" s="31" t="s">
        <v>1224</v>
      </c>
      <c r="G50" s="31" t="s">
        <v>1225</v>
      </c>
      <c r="H50" s="31" t="s">
        <v>1226</v>
      </c>
      <c r="I50" s="31" t="s">
        <v>1228</v>
      </c>
      <c r="J50" s="31" t="s">
        <v>1230</v>
      </c>
      <c r="K50" s="36" t="s">
        <v>66</v>
      </c>
      <c r="L50" s="31" t="s">
        <v>1234</v>
      </c>
      <c r="M50" s="32" t="s">
        <v>69</v>
      </c>
      <c r="N50" s="25"/>
      <c r="O50" s="25"/>
    </row>
    <row r="51" ht="57.75" customHeight="1">
      <c r="A51" s="23" t="s">
        <v>1237</v>
      </c>
      <c r="B51" s="35" t="s">
        <v>47</v>
      </c>
      <c r="C51" s="35" t="s">
        <v>23</v>
      </c>
      <c r="D51" s="38" t="s">
        <v>13</v>
      </c>
      <c r="E51" s="40" t="s">
        <v>1239</v>
      </c>
      <c r="F51" s="40" t="s">
        <v>1241</v>
      </c>
      <c r="G51" s="40" t="s">
        <v>1242</v>
      </c>
      <c r="H51" s="40" t="s">
        <v>1243</v>
      </c>
      <c r="I51" s="40" t="s">
        <v>1244</v>
      </c>
      <c r="J51" s="40" t="s">
        <v>1046</v>
      </c>
      <c r="K51" s="42" t="s">
        <v>201</v>
      </c>
      <c r="L51" s="40" t="s">
        <v>1246</v>
      </c>
      <c r="M51" s="32" t="s">
        <v>69</v>
      </c>
      <c r="N51" s="35"/>
      <c r="O51" s="35"/>
    </row>
    <row r="52" ht="57.75" customHeight="1">
      <c r="A52" s="23" t="s">
        <v>1248</v>
      </c>
      <c r="B52" s="25" t="s">
        <v>47</v>
      </c>
      <c r="C52" s="25" t="s">
        <v>23</v>
      </c>
      <c r="D52" s="38" t="s">
        <v>13</v>
      </c>
      <c r="E52" s="31" t="s">
        <v>1250</v>
      </c>
      <c r="F52" s="59">
        <v>0.02</v>
      </c>
      <c r="G52" s="31" t="s">
        <v>1251</v>
      </c>
      <c r="H52" s="59">
        <v>0.03</v>
      </c>
      <c r="I52" s="31" t="s">
        <v>1252</v>
      </c>
      <c r="J52" s="59">
        <v>0.04</v>
      </c>
      <c r="K52" s="36" t="s">
        <v>108</v>
      </c>
      <c r="L52" s="31" t="s">
        <v>1255</v>
      </c>
      <c r="M52" s="32" t="s">
        <v>69</v>
      </c>
      <c r="N52" s="25"/>
      <c r="O52" s="25"/>
    </row>
    <row r="53" ht="25.5" customHeight="1">
      <c r="A53" s="49" t="s">
        <v>1261</v>
      </c>
      <c r="B53" s="50"/>
      <c r="C53" s="50"/>
      <c r="D53" s="50"/>
      <c r="E53" s="50"/>
      <c r="F53" s="50"/>
      <c r="G53" s="50"/>
      <c r="H53" s="50"/>
      <c r="I53" s="50"/>
      <c r="J53" s="52"/>
      <c r="M53" s="71">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73" t="s">
        <v>956</v>
      </c>
      <c r="B1" s="3"/>
      <c r="C1" s="3"/>
      <c r="D1" s="3"/>
      <c r="E1" s="3"/>
      <c r="F1" s="3"/>
      <c r="G1" s="3"/>
      <c r="H1" s="3"/>
      <c r="I1" s="3"/>
      <c r="J1" s="3"/>
      <c r="K1" s="3"/>
      <c r="L1" s="3"/>
      <c r="M1" s="3"/>
      <c r="N1" s="3"/>
      <c r="O1" s="4"/>
    </row>
    <row r="2" ht="30.0" customHeight="1">
      <c r="A2" s="74" t="s">
        <v>967</v>
      </c>
      <c r="B2" s="3"/>
      <c r="C2" s="3"/>
      <c r="D2" s="3"/>
      <c r="E2" s="3"/>
      <c r="F2" s="3"/>
      <c r="G2" s="3"/>
      <c r="H2" s="3"/>
      <c r="I2" s="3"/>
      <c r="J2" s="3"/>
      <c r="K2" s="3"/>
      <c r="L2" s="3"/>
      <c r="M2" s="3"/>
      <c r="N2" s="3"/>
      <c r="O2" s="4"/>
    </row>
    <row r="3" ht="19.5" customHeight="1">
      <c r="A3" s="10" t="s">
        <v>11</v>
      </c>
      <c r="B3" s="3"/>
      <c r="C3" s="3"/>
      <c r="D3" s="3"/>
      <c r="E3" s="3"/>
      <c r="F3" s="3"/>
      <c r="G3" s="3"/>
      <c r="H3" s="3"/>
      <c r="I3" s="3"/>
      <c r="J3" s="3"/>
      <c r="K3" s="3"/>
      <c r="L3" s="3"/>
      <c r="M3" s="3"/>
      <c r="N3" s="3"/>
      <c r="O3" s="4"/>
    </row>
    <row r="4" ht="24.75" customHeight="1">
      <c r="A4" s="9" t="s">
        <v>22</v>
      </c>
      <c r="B4" s="9" t="s">
        <v>8</v>
      </c>
      <c r="C4" s="9" t="s">
        <v>14</v>
      </c>
      <c r="D4" s="9" t="s">
        <v>24</v>
      </c>
      <c r="E4" s="9" t="s">
        <v>25</v>
      </c>
      <c r="F4" s="9" t="s">
        <v>26</v>
      </c>
      <c r="G4" s="9" t="s">
        <v>27</v>
      </c>
      <c r="H4" s="9" t="s">
        <v>28</v>
      </c>
      <c r="I4" s="9" t="s">
        <v>29</v>
      </c>
      <c r="J4" s="9" t="s">
        <v>31</v>
      </c>
      <c r="K4" s="9" t="s">
        <v>32</v>
      </c>
      <c r="L4" s="9" t="s">
        <v>33</v>
      </c>
      <c r="M4" s="9" t="s">
        <v>17</v>
      </c>
      <c r="N4" s="9" t="s">
        <v>35</v>
      </c>
      <c r="O4" s="9" t="s">
        <v>36</v>
      </c>
    </row>
    <row r="5" ht="19.5" customHeight="1">
      <c r="A5" s="18" t="s">
        <v>37</v>
      </c>
      <c r="B5" s="3"/>
      <c r="C5" s="3"/>
      <c r="D5" s="3"/>
      <c r="E5" s="3"/>
      <c r="F5" s="3"/>
      <c r="G5" s="3"/>
      <c r="H5" s="3"/>
      <c r="I5" s="3"/>
      <c r="J5" s="3"/>
      <c r="K5" s="3"/>
      <c r="L5" s="3"/>
      <c r="M5" s="3"/>
      <c r="N5" s="3"/>
      <c r="O5" s="4"/>
    </row>
    <row r="6" ht="57.75" customHeight="1">
      <c r="A6" s="75" t="s">
        <v>1002</v>
      </c>
      <c r="B6" s="25" t="s">
        <v>55</v>
      </c>
      <c r="C6" s="25" t="s">
        <v>53</v>
      </c>
      <c r="D6" s="27" t="s">
        <v>10</v>
      </c>
      <c r="E6" s="31" t="s">
        <v>1009</v>
      </c>
      <c r="F6" s="31">
        <v>3.0</v>
      </c>
      <c r="G6" s="31">
        <v>4.0</v>
      </c>
      <c r="H6" s="31">
        <v>5.0</v>
      </c>
      <c r="I6" s="31">
        <v>6.0</v>
      </c>
      <c r="J6" s="31">
        <v>7.0</v>
      </c>
      <c r="K6" s="36" t="s">
        <v>66</v>
      </c>
      <c r="L6" s="31" t="s">
        <v>1013</v>
      </c>
      <c r="M6" s="76" t="s">
        <v>69</v>
      </c>
      <c r="N6" s="25"/>
      <c r="O6" s="25"/>
    </row>
    <row r="7" ht="57.75" customHeight="1">
      <c r="A7" s="75" t="s">
        <v>1017</v>
      </c>
      <c r="B7" s="35" t="s">
        <v>55</v>
      </c>
      <c r="C7" s="35" t="s">
        <v>53</v>
      </c>
      <c r="D7" s="27" t="s">
        <v>10</v>
      </c>
      <c r="E7" s="40" t="s">
        <v>1019</v>
      </c>
      <c r="F7" s="40">
        <v>5.0</v>
      </c>
      <c r="G7" s="40">
        <v>6.0</v>
      </c>
      <c r="H7" s="40">
        <v>7.0</v>
      </c>
      <c r="I7" s="40">
        <v>8.0</v>
      </c>
      <c r="J7" s="40">
        <v>9.0</v>
      </c>
      <c r="K7" s="42" t="s">
        <v>108</v>
      </c>
      <c r="L7" s="40" t="s">
        <v>1022</v>
      </c>
      <c r="M7" s="76" t="s">
        <v>69</v>
      </c>
      <c r="N7" s="35"/>
      <c r="O7" s="35"/>
    </row>
    <row r="8" ht="57.75" customHeight="1">
      <c r="A8" s="75" t="s">
        <v>1024</v>
      </c>
      <c r="B8" s="25" t="s">
        <v>55</v>
      </c>
      <c r="C8" s="25" t="s">
        <v>53</v>
      </c>
      <c r="D8" s="27" t="s">
        <v>10</v>
      </c>
      <c r="E8" s="31" t="s">
        <v>1029</v>
      </c>
      <c r="F8" s="31" t="s">
        <v>1031</v>
      </c>
      <c r="G8" s="31" t="s">
        <v>1032</v>
      </c>
      <c r="H8" s="31" t="s">
        <v>1033</v>
      </c>
      <c r="I8" s="31" t="s">
        <v>1035</v>
      </c>
      <c r="J8" s="31" t="s">
        <v>1036</v>
      </c>
      <c r="K8" s="36" t="s">
        <v>66</v>
      </c>
      <c r="L8" s="31" t="s">
        <v>1038</v>
      </c>
      <c r="M8" s="76" t="s">
        <v>69</v>
      </c>
      <c r="N8" s="25"/>
      <c r="O8" s="25"/>
    </row>
    <row r="9" ht="57.75" customHeight="1">
      <c r="A9" s="75" t="s">
        <v>1039</v>
      </c>
      <c r="B9" s="35" t="s">
        <v>55</v>
      </c>
      <c r="C9" s="35" t="s">
        <v>53</v>
      </c>
      <c r="D9" s="27" t="s">
        <v>10</v>
      </c>
      <c r="E9" s="40" t="s">
        <v>1043</v>
      </c>
      <c r="F9" s="40" t="s">
        <v>1045</v>
      </c>
      <c r="G9" s="40" t="s">
        <v>1047</v>
      </c>
      <c r="H9" s="40" t="s">
        <v>1048</v>
      </c>
      <c r="I9" s="40" t="s">
        <v>1049</v>
      </c>
      <c r="J9" s="40" t="s">
        <v>1051</v>
      </c>
      <c r="K9" s="42" t="s">
        <v>66</v>
      </c>
      <c r="L9" s="40" t="s">
        <v>1052</v>
      </c>
      <c r="M9" s="76" t="s">
        <v>69</v>
      </c>
      <c r="N9" s="35"/>
      <c r="O9" s="35"/>
    </row>
    <row r="10" ht="57.75" customHeight="1">
      <c r="A10" s="75" t="s">
        <v>1054</v>
      </c>
      <c r="B10" s="25" t="s">
        <v>55</v>
      </c>
      <c r="C10" s="25" t="s">
        <v>53</v>
      </c>
      <c r="D10" s="27" t="s">
        <v>10</v>
      </c>
      <c r="E10" s="31" t="s">
        <v>1057</v>
      </c>
      <c r="F10" s="31">
        <v>4.0</v>
      </c>
      <c r="G10" s="31">
        <v>5.0</v>
      </c>
      <c r="H10" s="31">
        <v>6.0</v>
      </c>
      <c r="I10" s="31">
        <v>7.0</v>
      </c>
      <c r="J10" s="31">
        <v>8.0</v>
      </c>
      <c r="K10" s="36" t="s">
        <v>108</v>
      </c>
      <c r="L10" s="31" t="s">
        <v>1058</v>
      </c>
      <c r="M10" s="76" t="s">
        <v>69</v>
      </c>
      <c r="N10" s="25"/>
      <c r="O10" s="25"/>
    </row>
    <row r="11" ht="57.75" customHeight="1">
      <c r="A11" s="75" t="s">
        <v>1060</v>
      </c>
      <c r="B11" s="35" t="s">
        <v>55</v>
      </c>
      <c r="C11" s="35" t="s">
        <v>53</v>
      </c>
      <c r="D11" s="27" t="s">
        <v>10</v>
      </c>
      <c r="E11" s="40" t="s">
        <v>1061</v>
      </c>
      <c r="F11" s="40" t="s">
        <v>1062</v>
      </c>
      <c r="G11" s="40" t="s">
        <v>1063</v>
      </c>
      <c r="H11" s="40" t="s">
        <v>1064</v>
      </c>
      <c r="I11" s="40" t="s">
        <v>1065</v>
      </c>
      <c r="J11" s="40" t="s">
        <v>1066</v>
      </c>
      <c r="K11" s="42" t="s">
        <v>136</v>
      </c>
      <c r="L11" s="40" t="s">
        <v>1067</v>
      </c>
      <c r="M11" s="76" t="s">
        <v>69</v>
      </c>
      <c r="N11" s="35"/>
      <c r="O11" s="35"/>
    </row>
    <row r="12" ht="57.75" customHeight="1">
      <c r="A12" s="75" t="s">
        <v>1068</v>
      </c>
      <c r="B12" s="25" t="s">
        <v>55</v>
      </c>
      <c r="C12" s="25" t="s">
        <v>53</v>
      </c>
      <c r="D12" s="27" t="s">
        <v>10</v>
      </c>
      <c r="E12" s="31" t="s">
        <v>1069</v>
      </c>
      <c r="F12" s="31" t="s">
        <v>1070</v>
      </c>
      <c r="G12" s="31" t="s">
        <v>1072</v>
      </c>
      <c r="H12" s="31" t="s">
        <v>1073</v>
      </c>
      <c r="I12" s="31" t="s">
        <v>1074</v>
      </c>
      <c r="J12" s="31" t="s">
        <v>1075</v>
      </c>
      <c r="K12" s="36" t="s">
        <v>108</v>
      </c>
      <c r="L12" s="31" t="s">
        <v>1076</v>
      </c>
      <c r="M12" s="76" t="s">
        <v>69</v>
      </c>
      <c r="N12" s="25"/>
      <c r="O12" s="25"/>
    </row>
    <row r="13" ht="57.75" customHeight="1">
      <c r="A13" s="75" t="s">
        <v>1079</v>
      </c>
      <c r="B13" s="35" t="s">
        <v>55</v>
      </c>
      <c r="C13" s="35" t="s">
        <v>53</v>
      </c>
      <c r="D13" s="27" t="s">
        <v>10</v>
      </c>
      <c r="E13" s="40" t="s">
        <v>1082</v>
      </c>
      <c r="F13" s="40">
        <v>3.0</v>
      </c>
      <c r="G13" s="40">
        <v>4.0</v>
      </c>
      <c r="H13" s="40">
        <v>5.0</v>
      </c>
      <c r="I13" s="40">
        <v>6.0</v>
      </c>
      <c r="J13" s="40">
        <v>7.0</v>
      </c>
      <c r="K13" s="42" t="s">
        <v>108</v>
      </c>
      <c r="L13" s="40" t="s">
        <v>1085</v>
      </c>
      <c r="M13" s="76" t="s">
        <v>69</v>
      </c>
      <c r="N13" s="35"/>
      <c r="O13" s="35"/>
    </row>
    <row r="14" ht="57.75" customHeight="1">
      <c r="A14" s="75" t="s">
        <v>1086</v>
      </c>
      <c r="B14" s="25" t="s">
        <v>55</v>
      </c>
      <c r="C14" s="25" t="s">
        <v>53</v>
      </c>
      <c r="D14" s="27" t="s">
        <v>10</v>
      </c>
      <c r="E14" s="31" t="s">
        <v>1088</v>
      </c>
      <c r="F14" s="31">
        <v>4.0</v>
      </c>
      <c r="G14" s="31">
        <v>6.0</v>
      </c>
      <c r="H14" s="31">
        <v>8.0</v>
      </c>
      <c r="I14" s="31">
        <v>10.0</v>
      </c>
      <c r="J14" s="31">
        <v>12.0</v>
      </c>
      <c r="K14" s="36" t="s">
        <v>108</v>
      </c>
      <c r="L14" s="31" t="s">
        <v>1092</v>
      </c>
      <c r="M14" s="76" t="s">
        <v>69</v>
      </c>
      <c r="N14" s="25"/>
      <c r="O14" s="25"/>
    </row>
    <row r="15" ht="57.75" customHeight="1">
      <c r="A15" s="75" t="s">
        <v>1096</v>
      </c>
      <c r="B15" s="35" t="s">
        <v>55</v>
      </c>
      <c r="C15" s="35" t="s">
        <v>53</v>
      </c>
      <c r="D15" s="27" t="s">
        <v>10</v>
      </c>
      <c r="E15" s="40" t="s">
        <v>1098</v>
      </c>
      <c r="F15" s="40" t="s">
        <v>1099</v>
      </c>
      <c r="G15" s="40" t="s">
        <v>1100</v>
      </c>
      <c r="H15" s="40" t="s">
        <v>1035</v>
      </c>
      <c r="I15" s="40" t="s">
        <v>1032</v>
      </c>
      <c r="J15" s="40" t="s">
        <v>1102</v>
      </c>
      <c r="K15" s="42" t="s">
        <v>66</v>
      </c>
      <c r="L15" s="40" t="s">
        <v>1103</v>
      </c>
      <c r="M15" s="76" t="s">
        <v>69</v>
      </c>
      <c r="N15" s="35"/>
      <c r="O15" s="35"/>
    </row>
    <row r="16" ht="57.75" customHeight="1">
      <c r="A16" s="75" t="s">
        <v>1104</v>
      </c>
      <c r="B16" s="25" t="s">
        <v>55</v>
      </c>
      <c r="C16" s="25" t="s">
        <v>53</v>
      </c>
      <c r="D16" s="27" t="s">
        <v>10</v>
      </c>
      <c r="E16" s="31" t="s">
        <v>1107</v>
      </c>
      <c r="F16" s="31" t="s">
        <v>1109</v>
      </c>
      <c r="G16" s="31" t="s">
        <v>1111</v>
      </c>
      <c r="H16" s="31" t="s">
        <v>1113</v>
      </c>
      <c r="I16" s="31" t="s">
        <v>1114</v>
      </c>
      <c r="J16" s="31" t="s">
        <v>1115</v>
      </c>
      <c r="K16" s="36" t="s">
        <v>201</v>
      </c>
      <c r="L16" s="31" t="s">
        <v>1117</v>
      </c>
      <c r="M16" s="76" t="s">
        <v>69</v>
      </c>
      <c r="N16" s="25"/>
      <c r="O16" s="25"/>
    </row>
    <row r="17" ht="57.75" customHeight="1">
      <c r="A17" s="75" t="s">
        <v>1119</v>
      </c>
      <c r="B17" s="35" t="s">
        <v>55</v>
      </c>
      <c r="C17" s="35" t="s">
        <v>53</v>
      </c>
      <c r="D17" s="27" t="s">
        <v>10</v>
      </c>
      <c r="E17" s="40" t="s">
        <v>1120</v>
      </c>
      <c r="F17" s="40">
        <v>5.0</v>
      </c>
      <c r="G17" s="40">
        <v>6.0</v>
      </c>
      <c r="H17" s="40">
        <v>7.0</v>
      </c>
      <c r="I17" s="40">
        <v>8.0</v>
      </c>
      <c r="J17" s="40">
        <v>9.0</v>
      </c>
      <c r="K17" s="42" t="s">
        <v>201</v>
      </c>
      <c r="L17" s="40" t="s">
        <v>1125</v>
      </c>
      <c r="M17" s="76" t="s">
        <v>69</v>
      </c>
      <c r="N17" s="35"/>
      <c r="O17" s="35"/>
    </row>
    <row r="18" ht="57.75" customHeight="1">
      <c r="A18" s="75" t="s">
        <v>1127</v>
      </c>
      <c r="B18" s="25" t="s">
        <v>55</v>
      </c>
      <c r="C18" s="25" t="s">
        <v>53</v>
      </c>
      <c r="D18" s="27" t="s">
        <v>10</v>
      </c>
      <c r="E18" s="31" t="s">
        <v>1129</v>
      </c>
      <c r="F18" s="31">
        <v>7.0</v>
      </c>
      <c r="G18" s="31">
        <v>8.0</v>
      </c>
      <c r="H18" s="31">
        <v>9.0</v>
      </c>
      <c r="I18" s="31">
        <v>10.0</v>
      </c>
      <c r="J18" s="31">
        <v>11.0</v>
      </c>
      <c r="K18" s="36" t="s">
        <v>201</v>
      </c>
      <c r="L18" s="31" t="s">
        <v>1131</v>
      </c>
      <c r="M18" s="76" t="s">
        <v>69</v>
      </c>
      <c r="N18" s="25"/>
      <c r="O18" s="25"/>
    </row>
    <row r="19" ht="57.75" customHeight="1">
      <c r="A19" s="75" t="s">
        <v>1134</v>
      </c>
      <c r="B19" s="35" t="s">
        <v>55</v>
      </c>
      <c r="C19" s="35" t="s">
        <v>53</v>
      </c>
      <c r="D19" s="27" t="s">
        <v>10</v>
      </c>
      <c r="E19" s="40" t="s">
        <v>1138</v>
      </c>
      <c r="F19" s="40" t="s">
        <v>1139</v>
      </c>
      <c r="G19" s="40" t="s">
        <v>1140</v>
      </c>
      <c r="H19" s="40" t="s">
        <v>1142</v>
      </c>
      <c r="I19" s="40" t="s">
        <v>1143</v>
      </c>
      <c r="J19" s="40" t="s">
        <v>1144</v>
      </c>
      <c r="K19" s="42" t="s">
        <v>136</v>
      </c>
      <c r="L19" s="40" t="s">
        <v>1146</v>
      </c>
      <c r="M19" s="76" t="s">
        <v>69</v>
      </c>
      <c r="N19" s="35"/>
      <c r="O19" s="35"/>
    </row>
    <row r="20" ht="57.75" customHeight="1">
      <c r="A20" s="75" t="s">
        <v>1147</v>
      </c>
      <c r="B20" s="25" t="s">
        <v>55</v>
      </c>
      <c r="C20" s="25" t="s">
        <v>53</v>
      </c>
      <c r="D20" s="27" t="s">
        <v>10</v>
      </c>
      <c r="E20" s="31" t="s">
        <v>1151</v>
      </c>
      <c r="F20" s="31" t="s">
        <v>1153</v>
      </c>
      <c r="G20" s="31" t="s">
        <v>1155</v>
      </c>
      <c r="H20" s="31" t="s">
        <v>1157</v>
      </c>
      <c r="I20" s="31" t="s">
        <v>1158</v>
      </c>
      <c r="J20" s="31" t="s">
        <v>1159</v>
      </c>
      <c r="K20" s="36" t="s">
        <v>201</v>
      </c>
      <c r="L20" s="31" t="s">
        <v>1161</v>
      </c>
      <c r="M20" s="76" t="s">
        <v>69</v>
      </c>
      <c r="N20" s="25"/>
      <c r="O20" s="25"/>
    </row>
    <row r="21" ht="19.5" customHeight="1">
      <c r="A21" s="61" t="s">
        <v>255</v>
      </c>
      <c r="B21" s="3"/>
      <c r="C21" s="3"/>
      <c r="D21" s="3"/>
      <c r="E21" s="3"/>
      <c r="F21" s="3"/>
      <c r="G21" s="3"/>
      <c r="H21" s="3"/>
      <c r="I21" s="3"/>
      <c r="J21" s="3"/>
      <c r="K21" s="3"/>
      <c r="L21" s="3"/>
      <c r="M21" s="3"/>
      <c r="N21" s="3"/>
      <c r="O21" s="4"/>
    </row>
    <row r="22" ht="57.75" customHeight="1">
      <c r="A22" s="75" t="s">
        <v>1167</v>
      </c>
      <c r="B22" s="35" t="s">
        <v>55</v>
      </c>
      <c r="C22" s="35" t="s">
        <v>53</v>
      </c>
      <c r="D22" s="17" t="s">
        <v>12</v>
      </c>
      <c r="E22" s="31" t="s">
        <v>1169</v>
      </c>
      <c r="F22" s="31" t="s">
        <v>1170</v>
      </c>
      <c r="G22" s="31" t="s">
        <v>728</v>
      </c>
      <c r="H22" s="31" t="s">
        <v>1171</v>
      </c>
      <c r="I22" s="31" t="s">
        <v>1172</v>
      </c>
      <c r="J22" s="31" t="s">
        <v>630</v>
      </c>
      <c r="K22" s="36" t="s">
        <v>66</v>
      </c>
      <c r="L22" s="31" t="s">
        <v>1174</v>
      </c>
      <c r="M22" s="76" t="s">
        <v>69</v>
      </c>
      <c r="N22" s="35"/>
      <c r="O22" s="35"/>
    </row>
    <row r="23" ht="57.75" customHeight="1">
      <c r="A23" s="75" t="s">
        <v>1176</v>
      </c>
      <c r="B23" s="25" t="s">
        <v>55</v>
      </c>
      <c r="C23" s="25" t="s">
        <v>53</v>
      </c>
      <c r="D23" s="17" t="s">
        <v>12</v>
      </c>
      <c r="E23" s="40" t="s">
        <v>1178</v>
      </c>
      <c r="F23" s="40" t="s">
        <v>1180</v>
      </c>
      <c r="G23" s="40" t="s">
        <v>840</v>
      </c>
      <c r="H23" s="40" t="s">
        <v>1182</v>
      </c>
      <c r="I23" s="40" t="s">
        <v>896</v>
      </c>
      <c r="J23" s="40" t="s">
        <v>1183</v>
      </c>
      <c r="K23" s="42" t="s">
        <v>136</v>
      </c>
      <c r="L23" s="40" t="s">
        <v>1185</v>
      </c>
      <c r="M23" s="76" t="s">
        <v>69</v>
      </c>
      <c r="N23" s="25"/>
      <c r="O23" s="25"/>
    </row>
    <row r="24" ht="57.75" customHeight="1">
      <c r="A24" s="75" t="s">
        <v>1187</v>
      </c>
      <c r="B24" s="35" t="s">
        <v>55</v>
      </c>
      <c r="C24" s="35" t="s">
        <v>53</v>
      </c>
      <c r="D24" s="17" t="s">
        <v>12</v>
      </c>
      <c r="E24" s="31" t="s">
        <v>1188</v>
      </c>
      <c r="F24" s="31" t="s">
        <v>1189</v>
      </c>
      <c r="G24" s="31" t="s">
        <v>1048</v>
      </c>
      <c r="H24" s="31" t="s">
        <v>1191</v>
      </c>
      <c r="I24" s="31" t="s">
        <v>1051</v>
      </c>
      <c r="J24" s="31" t="s">
        <v>1192</v>
      </c>
      <c r="K24" s="36" t="s">
        <v>66</v>
      </c>
      <c r="L24" s="31" t="s">
        <v>1194</v>
      </c>
      <c r="M24" s="76" t="s">
        <v>69</v>
      </c>
      <c r="N24" s="35"/>
      <c r="O24" s="35"/>
    </row>
    <row r="25" ht="57.75" customHeight="1">
      <c r="A25" s="75" t="s">
        <v>1196</v>
      </c>
      <c r="B25" s="25" t="s">
        <v>55</v>
      </c>
      <c r="C25" s="25" t="s">
        <v>53</v>
      </c>
      <c r="D25" s="17" t="s">
        <v>12</v>
      </c>
      <c r="E25" s="40" t="s">
        <v>1197</v>
      </c>
      <c r="F25" s="40">
        <v>160.0</v>
      </c>
      <c r="G25" s="40">
        <v>176.0</v>
      </c>
      <c r="H25" s="40">
        <v>187.0</v>
      </c>
      <c r="I25" s="40">
        <v>192.0</v>
      </c>
      <c r="J25" s="40">
        <v>204.0</v>
      </c>
      <c r="K25" s="42" t="s">
        <v>108</v>
      </c>
      <c r="L25" s="40" t="s">
        <v>1200</v>
      </c>
      <c r="M25" s="76" t="s">
        <v>69</v>
      </c>
      <c r="N25" s="25"/>
      <c r="O25" s="25"/>
    </row>
    <row r="26" ht="57.75" customHeight="1">
      <c r="A26" s="75" t="s">
        <v>1201</v>
      </c>
      <c r="B26" s="35" t="s">
        <v>55</v>
      </c>
      <c r="C26" s="35" t="s">
        <v>53</v>
      </c>
      <c r="D26" s="17" t="s">
        <v>12</v>
      </c>
      <c r="E26" s="31" t="s">
        <v>1204</v>
      </c>
      <c r="F26" s="31" t="s">
        <v>1205</v>
      </c>
      <c r="G26" s="31" t="s">
        <v>1207</v>
      </c>
      <c r="H26" s="31" t="s">
        <v>1208</v>
      </c>
      <c r="I26" s="31" t="s">
        <v>1209</v>
      </c>
      <c r="J26" s="31" t="s">
        <v>1210</v>
      </c>
      <c r="K26" s="36" t="s">
        <v>136</v>
      </c>
      <c r="L26" s="31" t="s">
        <v>1212</v>
      </c>
      <c r="M26" s="76" t="s">
        <v>69</v>
      </c>
      <c r="N26" s="35"/>
      <c r="O26" s="35"/>
    </row>
    <row r="27" ht="57.75" customHeight="1">
      <c r="A27" s="75" t="s">
        <v>1214</v>
      </c>
      <c r="B27" s="25" t="s">
        <v>55</v>
      </c>
      <c r="C27" s="25" t="s">
        <v>53</v>
      </c>
      <c r="D27" s="17" t="s">
        <v>12</v>
      </c>
      <c r="E27" s="40" t="s">
        <v>1215</v>
      </c>
      <c r="F27" s="40" t="s">
        <v>1216</v>
      </c>
      <c r="G27" s="40" t="s">
        <v>886</v>
      </c>
      <c r="H27" s="40" t="s">
        <v>1218</v>
      </c>
      <c r="I27" s="40" t="s">
        <v>310</v>
      </c>
      <c r="J27" s="40" t="s">
        <v>1219</v>
      </c>
      <c r="K27" s="42" t="s">
        <v>108</v>
      </c>
      <c r="L27" s="40" t="s">
        <v>1221</v>
      </c>
      <c r="M27" s="76" t="s">
        <v>69</v>
      </c>
      <c r="N27" s="25"/>
      <c r="O27" s="25"/>
    </row>
    <row r="28" ht="57.75" customHeight="1">
      <c r="A28" s="75" t="s">
        <v>1223</v>
      </c>
      <c r="B28" s="35" t="s">
        <v>55</v>
      </c>
      <c r="C28" s="35" t="s">
        <v>53</v>
      </c>
      <c r="D28" s="17" t="s">
        <v>12</v>
      </c>
      <c r="E28" s="31" t="s">
        <v>1227</v>
      </c>
      <c r="F28" s="31" t="s">
        <v>1229</v>
      </c>
      <c r="G28" s="31" t="s">
        <v>1231</v>
      </c>
      <c r="H28" s="31" t="s">
        <v>1232</v>
      </c>
      <c r="I28" s="31" t="s">
        <v>1233</v>
      </c>
      <c r="J28" s="31" t="s">
        <v>1235</v>
      </c>
      <c r="K28" s="36" t="s">
        <v>136</v>
      </c>
      <c r="L28" s="31" t="s">
        <v>1236</v>
      </c>
      <c r="M28" s="76" t="s">
        <v>69</v>
      </c>
      <c r="N28" s="35"/>
      <c r="O28" s="35"/>
    </row>
    <row r="29" ht="57.75" customHeight="1">
      <c r="A29" s="75" t="s">
        <v>1238</v>
      </c>
      <c r="B29" s="25" t="s">
        <v>55</v>
      </c>
      <c r="C29" s="25" t="s">
        <v>53</v>
      </c>
      <c r="D29" s="17" t="s">
        <v>12</v>
      </c>
      <c r="E29" s="40" t="s">
        <v>1240</v>
      </c>
      <c r="F29" s="40">
        <v>13.0</v>
      </c>
      <c r="G29" s="40">
        <v>14.0</v>
      </c>
      <c r="H29" s="40">
        <v>15.0</v>
      </c>
      <c r="I29" s="40">
        <v>16.0</v>
      </c>
      <c r="J29" s="40">
        <v>17.0</v>
      </c>
      <c r="K29" s="42" t="s">
        <v>66</v>
      </c>
      <c r="L29" s="40" t="s">
        <v>1245</v>
      </c>
      <c r="M29" s="76" t="s">
        <v>69</v>
      </c>
      <c r="N29" s="25"/>
      <c r="O29" s="25"/>
    </row>
    <row r="30" ht="57.75" customHeight="1">
      <c r="A30" s="75" t="s">
        <v>1247</v>
      </c>
      <c r="B30" s="35" t="s">
        <v>55</v>
      </c>
      <c r="C30" s="35" t="s">
        <v>53</v>
      </c>
      <c r="D30" s="17" t="s">
        <v>12</v>
      </c>
      <c r="E30" s="31" t="s">
        <v>1249</v>
      </c>
      <c r="F30" s="31">
        <v>3.0</v>
      </c>
      <c r="G30" s="31">
        <v>4.0</v>
      </c>
      <c r="H30" s="31">
        <v>5.0</v>
      </c>
      <c r="I30" s="31">
        <v>6.0</v>
      </c>
      <c r="J30" s="31">
        <v>7.0</v>
      </c>
      <c r="K30" s="36" t="s">
        <v>108</v>
      </c>
      <c r="L30" s="31" t="s">
        <v>1253</v>
      </c>
      <c r="M30" s="76" t="s">
        <v>69</v>
      </c>
      <c r="N30" s="35"/>
      <c r="O30" s="35"/>
    </row>
    <row r="31" ht="57.75" customHeight="1">
      <c r="A31" s="75" t="s">
        <v>1254</v>
      </c>
      <c r="B31" s="25" t="s">
        <v>55</v>
      </c>
      <c r="C31" s="25" t="s">
        <v>53</v>
      </c>
      <c r="D31" s="17" t="s">
        <v>12</v>
      </c>
      <c r="E31" s="40" t="s">
        <v>1256</v>
      </c>
      <c r="F31" s="40" t="s">
        <v>1257</v>
      </c>
      <c r="G31" s="40" t="s">
        <v>1258</v>
      </c>
      <c r="H31" s="40" t="s">
        <v>1259</v>
      </c>
      <c r="I31" s="40" t="s">
        <v>1260</v>
      </c>
      <c r="J31" s="40" t="s">
        <v>1262</v>
      </c>
      <c r="K31" s="42" t="s">
        <v>136</v>
      </c>
      <c r="L31" s="40" t="s">
        <v>1263</v>
      </c>
      <c r="M31" s="76" t="s">
        <v>69</v>
      </c>
      <c r="N31" s="25"/>
      <c r="O31" s="25"/>
    </row>
    <row r="32" ht="57.75" customHeight="1">
      <c r="A32" s="75" t="s">
        <v>1264</v>
      </c>
      <c r="B32" s="35" t="s">
        <v>55</v>
      </c>
      <c r="C32" s="35" t="s">
        <v>53</v>
      </c>
      <c r="D32" s="17" t="s">
        <v>12</v>
      </c>
      <c r="E32" s="31" t="s">
        <v>1265</v>
      </c>
      <c r="F32" s="31" t="s">
        <v>1266</v>
      </c>
      <c r="G32" s="31" t="s">
        <v>1267</v>
      </c>
      <c r="H32" s="31" t="s">
        <v>1268</v>
      </c>
      <c r="I32" s="31" t="s">
        <v>1269</v>
      </c>
      <c r="J32" s="31" t="s">
        <v>1270</v>
      </c>
      <c r="K32" s="36" t="s">
        <v>66</v>
      </c>
      <c r="L32" s="31" t="s">
        <v>1271</v>
      </c>
      <c r="M32" s="76" t="s">
        <v>69</v>
      </c>
      <c r="N32" s="35"/>
      <c r="O32" s="35"/>
    </row>
    <row r="33" ht="57.75" customHeight="1">
      <c r="A33" s="75" t="s">
        <v>1272</v>
      </c>
      <c r="B33" s="25" t="s">
        <v>55</v>
      </c>
      <c r="C33" s="25" t="s">
        <v>53</v>
      </c>
      <c r="D33" s="17" t="s">
        <v>12</v>
      </c>
      <c r="E33" s="40" t="s">
        <v>1273</v>
      </c>
      <c r="F33" s="40">
        <v>2.0</v>
      </c>
      <c r="G33" s="40">
        <v>3.0</v>
      </c>
      <c r="H33" s="40">
        <v>4.0</v>
      </c>
      <c r="I33" s="40">
        <v>5.0</v>
      </c>
      <c r="J33" s="40">
        <v>6.0</v>
      </c>
      <c r="K33" s="42" t="s">
        <v>108</v>
      </c>
      <c r="L33" s="40" t="s">
        <v>1274</v>
      </c>
      <c r="M33" s="76" t="s">
        <v>69</v>
      </c>
      <c r="N33" s="25"/>
      <c r="O33" s="25"/>
    </row>
    <row r="34" ht="57.75" customHeight="1">
      <c r="A34" s="75" t="s">
        <v>1275</v>
      </c>
      <c r="B34" s="35" t="s">
        <v>55</v>
      </c>
      <c r="C34" s="35" t="s">
        <v>53</v>
      </c>
      <c r="D34" s="17" t="s">
        <v>12</v>
      </c>
      <c r="E34" s="31" t="s">
        <v>1276</v>
      </c>
      <c r="F34" s="31" t="s">
        <v>1277</v>
      </c>
      <c r="G34" s="31" t="s">
        <v>1278</v>
      </c>
      <c r="H34" s="31" t="s">
        <v>1279</v>
      </c>
      <c r="I34" s="31" t="s">
        <v>624</v>
      </c>
      <c r="J34" s="31" t="s">
        <v>1280</v>
      </c>
      <c r="K34" s="36" t="s">
        <v>108</v>
      </c>
      <c r="L34" s="31" t="s">
        <v>1281</v>
      </c>
      <c r="M34" s="76" t="s">
        <v>69</v>
      </c>
      <c r="N34" s="35"/>
      <c r="O34" s="35"/>
    </row>
    <row r="35" ht="57.75" customHeight="1">
      <c r="A35" s="75" t="s">
        <v>1282</v>
      </c>
      <c r="B35" s="25" t="s">
        <v>55</v>
      </c>
      <c r="C35" s="25" t="s">
        <v>53</v>
      </c>
      <c r="D35" s="17" t="s">
        <v>12</v>
      </c>
      <c r="E35" s="40" t="s">
        <v>1283</v>
      </c>
      <c r="F35" s="40">
        <v>1.0</v>
      </c>
      <c r="G35" s="40">
        <v>2.0</v>
      </c>
      <c r="H35" s="40">
        <v>3.0</v>
      </c>
      <c r="I35" s="40">
        <v>4.0</v>
      </c>
      <c r="J35" s="40">
        <v>5.0</v>
      </c>
      <c r="K35" s="42" t="s">
        <v>136</v>
      </c>
      <c r="L35" s="40" t="s">
        <v>1284</v>
      </c>
      <c r="M35" s="76" t="s">
        <v>69</v>
      </c>
      <c r="N35" s="25"/>
      <c r="O35" s="25"/>
    </row>
    <row r="36" ht="57.75" customHeight="1">
      <c r="A36" s="75" t="s">
        <v>1285</v>
      </c>
      <c r="B36" s="35" t="s">
        <v>55</v>
      </c>
      <c r="C36" s="35" t="s">
        <v>53</v>
      </c>
      <c r="D36" s="17" t="s">
        <v>12</v>
      </c>
      <c r="E36" s="31" t="s">
        <v>1286</v>
      </c>
      <c r="F36" s="31" t="s">
        <v>1287</v>
      </c>
      <c r="G36" s="31" t="s">
        <v>1288</v>
      </c>
      <c r="H36" s="31" t="s">
        <v>1289</v>
      </c>
      <c r="I36" s="31" t="s">
        <v>1290</v>
      </c>
      <c r="J36" s="31" t="s">
        <v>1291</v>
      </c>
      <c r="K36" s="36" t="s">
        <v>66</v>
      </c>
      <c r="L36" s="31" t="s">
        <v>1292</v>
      </c>
      <c r="M36" s="76" t="s">
        <v>69</v>
      </c>
      <c r="N36" s="35"/>
      <c r="O36" s="35"/>
    </row>
    <row r="37" ht="19.5" customHeight="1">
      <c r="A37" s="69" t="s">
        <v>435</v>
      </c>
      <c r="B37" s="3"/>
      <c r="C37" s="3"/>
      <c r="D37" s="3"/>
      <c r="E37" s="3"/>
      <c r="F37" s="3"/>
      <c r="G37" s="3"/>
      <c r="H37" s="3"/>
      <c r="I37" s="3"/>
      <c r="J37" s="3"/>
      <c r="K37" s="3"/>
      <c r="L37" s="3"/>
      <c r="M37" s="3"/>
      <c r="N37" s="3"/>
      <c r="O37" s="4"/>
    </row>
    <row r="38" ht="57.75" customHeight="1">
      <c r="A38" s="75" t="s">
        <v>1293</v>
      </c>
      <c r="B38" s="25" t="s">
        <v>55</v>
      </c>
      <c r="C38" s="25" t="s">
        <v>53</v>
      </c>
      <c r="D38" s="38" t="s">
        <v>13</v>
      </c>
      <c r="E38" s="31" t="s">
        <v>1294</v>
      </c>
      <c r="F38" s="31" t="s">
        <v>1295</v>
      </c>
      <c r="G38" s="31" t="s">
        <v>984</v>
      </c>
      <c r="H38" s="31" t="s">
        <v>1296</v>
      </c>
      <c r="I38" s="31" t="s">
        <v>986</v>
      </c>
      <c r="J38" s="31" t="s">
        <v>1297</v>
      </c>
      <c r="K38" s="36" t="s">
        <v>108</v>
      </c>
      <c r="L38" s="31" t="s">
        <v>1298</v>
      </c>
      <c r="M38" s="76" t="s">
        <v>69</v>
      </c>
      <c r="N38" s="25"/>
      <c r="O38" s="25"/>
    </row>
    <row r="39" ht="57.75" customHeight="1">
      <c r="A39" s="75" t="s">
        <v>1299</v>
      </c>
      <c r="B39" s="35" t="s">
        <v>55</v>
      </c>
      <c r="C39" s="35" t="s">
        <v>53</v>
      </c>
      <c r="D39" s="38" t="s">
        <v>13</v>
      </c>
      <c r="E39" s="40" t="s">
        <v>1300</v>
      </c>
      <c r="F39" s="40" t="s">
        <v>949</v>
      </c>
      <c r="G39" s="40" t="s">
        <v>1301</v>
      </c>
      <c r="H39" s="40" t="s">
        <v>646</v>
      </c>
      <c r="I39" s="40" t="s">
        <v>1302</v>
      </c>
      <c r="J39" s="40" t="s">
        <v>1304</v>
      </c>
      <c r="K39" s="42" t="s">
        <v>108</v>
      </c>
      <c r="L39" s="40" t="s">
        <v>1305</v>
      </c>
      <c r="M39" s="76" t="s">
        <v>69</v>
      </c>
      <c r="N39" s="35"/>
      <c r="O39" s="35"/>
    </row>
    <row r="40" ht="57.75" customHeight="1">
      <c r="A40" s="75" t="s">
        <v>1306</v>
      </c>
      <c r="B40" s="25" t="s">
        <v>55</v>
      </c>
      <c r="C40" s="25" t="s">
        <v>53</v>
      </c>
      <c r="D40" s="38" t="s">
        <v>13</v>
      </c>
      <c r="E40" s="31" t="s">
        <v>1307</v>
      </c>
      <c r="F40" s="31" t="s">
        <v>175</v>
      </c>
      <c r="G40" s="31" t="s">
        <v>1156</v>
      </c>
      <c r="H40" s="31" t="s">
        <v>965</v>
      </c>
      <c r="I40" s="31" t="s">
        <v>1308</v>
      </c>
      <c r="J40" s="31" t="s">
        <v>1164</v>
      </c>
      <c r="K40" s="36" t="s">
        <v>201</v>
      </c>
      <c r="L40" s="31" t="s">
        <v>1309</v>
      </c>
      <c r="M40" s="76" t="s">
        <v>69</v>
      </c>
      <c r="N40" s="25"/>
      <c r="O40" s="25"/>
    </row>
    <row r="41" ht="57.75" customHeight="1">
      <c r="A41" s="75" t="s">
        <v>1310</v>
      </c>
      <c r="B41" s="35" t="s">
        <v>55</v>
      </c>
      <c r="C41" s="35" t="s">
        <v>53</v>
      </c>
      <c r="D41" s="38" t="s">
        <v>13</v>
      </c>
      <c r="E41" s="40" t="s">
        <v>1311</v>
      </c>
      <c r="F41" s="40">
        <v>15.0</v>
      </c>
      <c r="G41" s="40">
        <v>20.0</v>
      </c>
      <c r="H41" s="40">
        <v>25.0</v>
      </c>
      <c r="I41" s="40">
        <v>30.0</v>
      </c>
      <c r="J41" s="40">
        <v>35.0</v>
      </c>
      <c r="K41" s="42" t="s">
        <v>108</v>
      </c>
      <c r="L41" s="40" t="s">
        <v>1312</v>
      </c>
      <c r="M41" s="76" t="s">
        <v>69</v>
      </c>
      <c r="N41" s="35"/>
      <c r="O41" s="35"/>
    </row>
    <row r="42" ht="97.5" customHeight="1">
      <c r="A42" s="75" t="s">
        <v>1314</v>
      </c>
      <c r="B42" s="25" t="s">
        <v>55</v>
      </c>
      <c r="C42" s="25" t="s">
        <v>53</v>
      </c>
      <c r="D42" s="38" t="s">
        <v>13</v>
      </c>
      <c r="E42" s="31" t="inlineStr">
        <is>
          <t xml:space="preserve">Pengendalian kualitas di pabrik menetapkan bahwa berat ideal kemasan adalah 500 gram dengan toleransi kesalahan tidak lebih dari 15 gram (memenuhi pertidaksamaan nilai mutlak |x - 500| ≤ 15). Jika berat suatu sampel kemasan dinyatakan dengan (2k + 15) gram, selisih antara nilai k maksimum dan k minimum yang memenuhi kriteria layak adalah ...</t>
        </is>
      </c>
      <c r="F42" s="31" t="n">
        <v>10</v>
      </c>
      <c r="G42" s="31" t="n">
        <v>12</v>
      </c>
      <c r="H42" s="31" t="n">
        <v>15</v>
      </c>
      <c r="I42" s="31" t="n">
        <v>18</v>
      </c>
      <c r="J42" s="31" t="n">
        <v>20</v>
      </c>
      <c r="K42" s="36" t="inlineStr">
        <is>
          <t xml:space="preserve">C</t>
        </is>
      </c>
      <c r="L42" s="31" t="inlineStr">
        <is>
          <t xml:space="preserve">Batas berat yang memenuhi toleransi adalah 485 ≤ 2k + 15 ≤ 515. Kurangi setiap ruas dengan 15, lalu bagi dengan 2: 235 ≤ k ≤ 250. Selisih nilai k maksimum dan minimum adalah 250 - 235 = 15, sehingga jawabannya C.</t>
        </is>
      </c>
      <c r="M42" s="76" t="s">
        <v>69</v>
      </c>
      <c r="N42" s="25"/>
      <c r="O42" s="25"/>
    </row>
    <row r="43" ht="57.75" customHeight="1">
      <c r="A43" s="75" t="s">
        <v>1318</v>
      </c>
      <c r="B43" s="35" t="s">
        <v>55</v>
      </c>
      <c r="C43" s="35" t="s">
        <v>53</v>
      </c>
      <c r="D43" s="38" t="s">
        <v>13</v>
      </c>
      <c r="E43" s="40" t="s">
        <v>1319</v>
      </c>
      <c r="F43" s="40">
        <v>580.0</v>
      </c>
      <c r="G43" s="40">
        <v>600.0</v>
      </c>
      <c r="H43" s="40">
        <v>620.0</v>
      </c>
      <c r="I43" s="40">
        <v>640.0</v>
      </c>
      <c r="J43" s="40">
        <v>660.0</v>
      </c>
      <c r="K43" s="42" t="s">
        <v>108</v>
      </c>
      <c r="L43" s="40" t="s">
        <v>1320</v>
      </c>
      <c r="M43" s="76" t="s">
        <v>69</v>
      </c>
      <c r="N43" s="35"/>
      <c r="O43" s="35"/>
    </row>
    <row r="44" ht="57.75" customHeight="1">
      <c r="A44" s="75" t="s">
        <v>1321</v>
      </c>
      <c r="B44" s="25" t="s">
        <v>55</v>
      </c>
      <c r="C44" s="25" t="s">
        <v>53</v>
      </c>
      <c r="D44" s="38" t="s">
        <v>13</v>
      </c>
      <c r="E44" s="31" t="s">
        <v>1322</v>
      </c>
      <c r="F44" s="31" t="s">
        <v>1323</v>
      </c>
      <c r="G44" s="31" t="s">
        <v>1324</v>
      </c>
      <c r="H44" s="31" t="s">
        <v>1325</v>
      </c>
      <c r="I44" s="31" t="s">
        <v>1326</v>
      </c>
      <c r="J44" s="31" t="s">
        <v>1327</v>
      </c>
      <c r="K44" s="36" t="s">
        <v>108</v>
      </c>
      <c r="L44" s="31" t="s">
        <v>1328</v>
      </c>
      <c r="M44" s="76" t="s">
        <v>69</v>
      </c>
      <c r="N44" s="25"/>
      <c r="O44" s="25"/>
    </row>
    <row r="45" ht="57.75" customHeight="1">
      <c r="A45" s="75" t="s">
        <v>1329</v>
      </c>
      <c r="B45" s="35" t="s">
        <v>55</v>
      </c>
      <c r="C45" s="35" t="s">
        <v>53</v>
      </c>
      <c r="D45" s="38" t="s">
        <v>13</v>
      </c>
      <c r="E45" s="40" t="s">
        <v>1330</v>
      </c>
      <c r="F45" s="40" t="s">
        <v>1331</v>
      </c>
      <c r="G45" s="40" t="s">
        <v>1332</v>
      </c>
      <c r="H45" s="40" t="s">
        <v>1333</v>
      </c>
      <c r="I45" s="40" t="s">
        <v>1334</v>
      </c>
      <c r="J45" s="40" t="s">
        <v>1335</v>
      </c>
      <c r="K45" s="42" t="s">
        <v>108</v>
      </c>
      <c r="L45" s="40" t="s">
        <v>1336</v>
      </c>
      <c r="M45" s="76" t="s">
        <v>69</v>
      </c>
      <c r="N45" s="35"/>
      <c r="O45" s="35"/>
    </row>
    <row r="46" ht="57.75" customHeight="1">
      <c r="A46" s="75" t="s">
        <v>1337</v>
      </c>
      <c r="B46" s="25" t="s">
        <v>55</v>
      </c>
      <c r="C46" s="25" t="s">
        <v>53</v>
      </c>
      <c r="D46" s="38" t="s">
        <v>13</v>
      </c>
      <c r="E46" s="31" t="s">
        <v>1338</v>
      </c>
      <c r="F46" s="31">
        <v>55.0</v>
      </c>
      <c r="G46" s="31">
        <v>60.0</v>
      </c>
      <c r="H46" s="31">
        <v>65.0</v>
      </c>
      <c r="I46" s="31">
        <v>70.0</v>
      </c>
      <c r="J46" s="31">
        <v>75.0</v>
      </c>
      <c r="K46" s="36" t="s">
        <v>108</v>
      </c>
      <c r="L46" s="31" t="s">
        <v>1339</v>
      </c>
      <c r="M46" s="76" t="s">
        <v>69</v>
      </c>
      <c r="N46" s="25"/>
      <c r="O46" s="25"/>
    </row>
    <row r="47" ht="57.75" customHeight="1">
      <c r="A47" s="75" t="s">
        <v>1340</v>
      </c>
      <c r="B47" s="35" t="s">
        <v>55</v>
      </c>
      <c r="C47" s="35" t="s">
        <v>53</v>
      </c>
      <c r="D47" s="38" t="s">
        <v>13</v>
      </c>
      <c r="E47" s="40" t="s">
        <v>1341</v>
      </c>
      <c r="F47" s="40" t="s">
        <v>1342</v>
      </c>
      <c r="G47" s="40" t="s">
        <v>1343</v>
      </c>
      <c r="H47" s="40" t="s">
        <v>1344</v>
      </c>
      <c r="I47" s="40" t="s">
        <v>1345</v>
      </c>
      <c r="J47" s="40" t="s">
        <v>1346</v>
      </c>
      <c r="K47" s="42" t="s">
        <v>201</v>
      </c>
      <c r="L47" s="40" t="s">
        <v>1347</v>
      </c>
      <c r="M47" s="76" t="s">
        <v>69</v>
      </c>
      <c r="N47" s="35"/>
      <c r="O47" s="35"/>
    </row>
    <row r="48" ht="57.75" customHeight="1">
      <c r="A48" s="75" t="s">
        <v>1348</v>
      </c>
      <c r="B48" s="25" t="s">
        <v>55</v>
      </c>
      <c r="C48" s="25" t="s">
        <v>53</v>
      </c>
      <c r="D48" s="38" t="s">
        <v>13</v>
      </c>
      <c r="E48" s="31" t="s">
        <v>1349</v>
      </c>
      <c r="F48" s="31">
        <v>250.0</v>
      </c>
      <c r="G48" s="31">
        <v>275.0</v>
      </c>
      <c r="H48" s="31">
        <v>300.0</v>
      </c>
      <c r="I48" s="31">
        <v>325.0</v>
      </c>
      <c r="J48" s="31">
        <v>350.0</v>
      </c>
      <c r="K48" s="36" t="s">
        <v>108</v>
      </c>
      <c r="L48" s="31" t="s">
        <v>1350</v>
      </c>
      <c r="M48" s="76" t="s">
        <v>69</v>
      </c>
      <c r="N48" s="25"/>
      <c r="O48" s="25"/>
    </row>
    <row r="49" ht="57.75" customHeight="1">
      <c r="A49" s="75" t="s">
        <v>1351</v>
      </c>
      <c r="B49" s="35" t="s">
        <v>55</v>
      </c>
      <c r="C49" s="35" t="s">
        <v>53</v>
      </c>
      <c r="D49" s="38" t="s">
        <v>13</v>
      </c>
      <c r="E49" s="40" t="s">
        <v>1352</v>
      </c>
      <c r="F49" s="40" t="s">
        <v>1353</v>
      </c>
      <c r="G49" s="40" t="s">
        <v>1354</v>
      </c>
      <c r="H49" s="40" t="s">
        <v>1355</v>
      </c>
      <c r="I49" s="40" t="s">
        <v>1356</v>
      </c>
      <c r="J49" s="40" t="s">
        <v>1357</v>
      </c>
      <c r="K49" s="42" t="s">
        <v>108</v>
      </c>
      <c r="L49" s="40" t="s">
        <v>1359</v>
      </c>
      <c r="M49" s="76" t="s">
        <v>69</v>
      </c>
      <c r="N49" s="35"/>
      <c r="O49" s="35"/>
    </row>
    <row r="50" ht="57.75" customHeight="1">
      <c r="A50" s="75" t="s">
        <v>1360</v>
      </c>
      <c r="B50" s="25" t="s">
        <v>55</v>
      </c>
      <c r="C50" s="25" t="s">
        <v>53</v>
      </c>
      <c r="D50" s="38" t="s">
        <v>13</v>
      </c>
      <c r="E50" s="31" t="s">
        <v>1361</v>
      </c>
      <c r="F50" s="31" t="s">
        <v>1362</v>
      </c>
      <c r="G50" s="31" t="s">
        <v>1363</v>
      </c>
      <c r="H50" s="31" t="s">
        <v>1364</v>
      </c>
      <c r="I50" s="31" t="s">
        <v>1331</v>
      </c>
      <c r="J50" s="31" t="s">
        <v>1332</v>
      </c>
      <c r="K50" s="36" t="s">
        <v>108</v>
      </c>
      <c r="L50" s="31" t="s">
        <v>1365</v>
      </c>
      <c r="M50" s="76" t="s">
        <v>69</v>
      </c>
      <c r="N50" s="25"/>
      <c r="O50" s="25"/>
    </row>
    <row r="51" ht="57.75" customHeight="1">
      <c r="A51" s="75" t="s">
        <v>1367</v>
      </c>
      <c r="B51" s="35" t="s">
        <v>55</v>
      </c>
      <c r="C51" s="35" t="s">
        <v>53</v>
      </c>
      <c r="D51" s="38" t="s">
        <v>13</v>
      </c>
      <c r="E51" s="40" t="s">
        <v>1369</v>
      </c>
      <c r="F51" s="40" t="s">
        <v>1370</v>
      </c>
      <c r="G51" s="40" t="s">
        <v>1371</v>
      </c>
      <c r="H51" s="40" t="s">
        <v>1268</v>
      </c>
      <c r="I51" s="40" t="s">
        <v>1373</v>
      </c>
      <c r="J51" s="40" t="s">
        <v>1269</v>
      </c>
      <c r="K51" s="42" t="s">
        <v>108</v>
      </c>
      <c r="L51" s="40" t="s">
        <v>1376</v>
      </c>
      <c r="M51" s="76" t="s">
        <v>69</v>
      </c>
      <c r="N51" s="35"/>
      <c r="O51" s="35"/>
    </row>
    <row r="52" ht="57.75" customHeight="1">
      <c r="A52" s="75" t="s">
        <v>1378</v>
      </c>
      <c r="B52" s="25" t="s">
        <v>55</v>
      </c>
      <c r="C52" s="25" t="s">
        <v>53</v>
      </c>
      <c r="D52" s="38" t="s">
        <v>13</v>
      </c>
      <c r="E52" s="31" t="s">
        <v>1379</v>
      </c>
      <c r="F52" s="31" t="s">
        <v>808</v>
      </c>
      <c r="G52" s="31" t="s">
        <v>1380</v>
      </c>
      <c r="H52" s="31" t="s">
        <v>1381</v>
      </c>
      <c r="I52" s="31" t="s">
        <v>1383</v>
      </c>
      <c r="J52" s="31" t="s">
        <v>1384</v>
      </c>
      <c r="K52" s="36" t="s">
        <v>108</v>
      </c>
      <c r="L52" s="31" t="s">
        <v>1386</v>
      </c>
      <c r="M52" s="76" t="s">
        <v>69</v>
      </c>
      <c r="N52" s="25"/>
      <c r="O52" s="25"/>
    </row>
    <row r="53" ht="25.5" customHeight="1">
      <c r="A53" s="49" t="s">
        <v>1387</v>
      </c>
      <c r="B53" s="50"/>
      <c r="C53" s="50"/>
      <c r="D53" s="50"/>
      <c r="E53" s="50"/>
      <c r="F53" s="50"/>
      <c r="G53" s="50"/>
      <c r="H53" s="50"/>
      <c r="I53" s="50"/>
      <c r="J53" s="52"/>
      <c r="M53" s="77">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73" t="s">
        <v>1303</v>
      </c>
      <c r="B1" s="3"/>
      <c r="C1" s="3"/>
      <c r="D1" s="3"/>
      <c r="E1" s="3"/>
      <c r="F1" s="3"/>
      <c r="G1" s="3"/>
      <c r="H1" s="3"/>
      <c r="I1" s="3"/>
      <c r="J1" s="3"/>
      <c r="K1" s="3"/>
      <c r="L1" s="3"/>
      <c r="M1" s="3"/>
      <c r="N1" s="3"/>
      <c r="O1" s="4"/>
    </row>
    <row r="2" ht="30.0" customHeight="1">
      <c r="A2" s="74" t="s">
        <v>1313</v>
      </c>
      <c r="B2" s="3"/>
      <c r="C2" s="3"/>
      <c r="D2" s="3"/>
      <c r="E2" s="3"/>
      <c r="F2" s="3"/>
      <c r="G2" s="3"/>
      <c r="H2" s="3"/>
      <c r="I2" s="3"/>
      <c r="J2" s="3"/>
      <c r="K2" s="3"/>
      <c r="L2" s="3"/>
      <c r="M2" s="3"/>
      <c r="N2" s="3"/>
      <c r="O2" s="4"/>
    </row>
    <row r="3" ht="19.5" customHeight="1">
      <c r="A3" s="10" t="s">
        <v>11</v>
      </c>
      <c r="B3" s="3"/>
      <c r="C3" s="3"/>
      <c r="D3" s="3"/>
      <c r="E3" s="3"/>
      <c r="F3" s="3"/>
      <c r="G3" s="3"/>
      <c r="H3" s="3"/>
      <c r="I3" s="3"/>
      <c r="J3" s="3"/>
      <c r="K3" s="3"/>
      <c r="L3" s="3"/>
      <c r="M3" s="3"/>
      <c r="N3" s="3"/>
      <c r="O3" s="4"/>
    </row>
    <row r="4" ht="24.75" customHeight="1">
      <c r="A4" s="9" t="s">
        <v>22</v>
      </c>
      <c r="B4" s="9" t="s">
        <v>8</v>
      </c>
      <c r="C4" s="9" t="s">
        <v>14</v>
      </c>
      <c r="D4" s="9" t="s">
        <v>24</v>
      </c>
      <c r="E4" s="9" t="s">
        <v>25</v>
      </c>
      <c r="F4" s="9" t="s">
        <v>26</v>
      </c>
      <c r="G4" s="9" t="s">
        <v>27</v>
      </c>
      <c r="H4" s="9" t="s">
        <v>28</v>
      </c>
      <c r="I4" s="9" t="s">
        <v>29</v>
      </c>
      <c r="J4" s="9" t="s">
        <v>31</v>
      </c>
      <c r="K4" s="9" t="s">
        <v>32</v>
      </c>
      <c r="L4" s="9" t="s">
        <v>33</v>
      </c>
      <c r="M4" s="9" t="s">
        <v>17</v>
      </c>
      <c r="N4" s="9" t="s">
        <v>35</v>
      </c>
      <c r="O4" s="9" t="s">
        <v>36</v>
      </c>
    </row>
    <row r="5" ht="19.5" customHeight="1">
      <c r="A5" s="18" t="s">
        <v>37</v>
      </c>
      <c r="B5" s="3"/>
      <c r="C5" s="3"/>
      <c r="D5" s="3"/>
      <c r="E5" s="3"/>
      <c r="F5" s="3"/>
      <c r="G5" s="3"/>
      <c r="H5" s="3"/>
      <c r="I5" s="3"/>
      <c r="J5" s="3"/>
      <c r="K5" s="3"/>
      <c r="L5" s="3"/>
      <c r="M5" s="3"/>
      <c r="N5" s="3"/>
      <c r="O5" s="4"/>
    </row>
    <row r="6" ht="57.75" customHeight="1">
      <c r="A6" s="75" t="s">
        <v>1358</v>
      </c>
      <c r="B6" s="25" t="s">
        <v>72</v>
      </c>
      <c r="C6" s="25" t="s">
        <v>53</v>
      </c>
      <c r="D6" s="27" t="s">
        <v>10</v>
      </c>
      <c r="E6" s="31" t="s">
        <v>1366</v>
      </c>
      <c r="F6" s="33" t="s">
        <v>1368</v>
      </c>
      <c r="G6" s="31" t="s">
        <v>1372</v>
      </c>
      <c r="H6" s="33" t="s">
        <v>1374</v>
      </c>
      <c r="I6" s="33" t="s">
        <v>1375</v>
      </c>
      <c r="J6" s="33" t="s">
        <v>1377</v>
      </c>
      <c r="K6" s="36" t="s">
        <v>66</v>
      </c>
      <c r="L6" s="31" t="s">
        <v>1382</v>
      </c>
      <c r="M6" s="76" t="s">
        <v>69</v>
      </c>
      <c r="N6" s="25"/>
      <c r="O6" s="25"/>
    </row>
    <row r="7" ht="57.75" customHeight="1">
      <c r="A7" s="75" t="s">
        <v>1388</v>
      </c>
      <c r="B7" s="35" t="s">
        <v>72</v>
      </c>
      <c r="C7" s="35" t="s">
        <v>53</v>
      </c>
      <c r="D7" s="27" t="s">
        <v>10</v>
      </c>
      <c r="E7" s="40" t="s">
        <v>1390</v>
      </c>
      <c r="F7" s="40" t="s">
        <v>103</v>
      </c>
      <c r="G7" s="40" t="s">
        <v>1391</v>
      </c>
      <c r="H7" s="40" t="s">
        <v>1392</v>
      </c>
      <c r="I7" s="40" t="s">
        <v>175</v>
      </c>
      <c r="J7" s="40" t="s">
        <v>964</v>
      </c>
      <c r="K7" s="42" t="s">
        <v>66</v>
      </c>
      <c r="L7" s="40" t="s">
        <v>1393</v>
      </c>
      <c r="M7" s="76" t="s">
        <v>69</v>
      </c>
      <c r="N7" s="35"/>
      <c r="O7" s="35"/>
    </row>
    <row r="8" ht="57.75" customHeight="1">
      <c r="A8" s="75" t="s">
        <v>1394</v>
      </c>
      <c r="B8" s="25" t="s">
        <v>72</v>
      </c>
      <c r="C8" s="25" t="s">
        <v>53</v>
      </c>
      <c r="D8" s="27" t="s">
        <v>10</v>
      </c>
      <c r="E8" s="31" t="s">
        <v>1395</v>
      </c>
      <c r="F8" s="31" t="s">
        <v>1396</v>
      </c>
      <c r="G8" s="31" t="s">
        <v>1397</v>
      </c>
      <c r="H8" s="31" t="s">
        <v>1398</v>
      </c>
      <c r="I8" s="31" t="s">
        <v>1399</v>
      </c>
      <c r="J8" s="31" t="s">
        <v>1400</v>
      </c>
      <c r="K8" s="36" t="s">
        <v>136</v>
      </c>
      <c r="L8" s="31" t="s">
        <v>1401</v>
      </c>
      <c r="M8" s="76" t="s">
        <v>69</v>
      </c>
      <c r="N8" s="25"/>
      <c r="O8" s="25"/>
    </row>
    <row r="9" ht="57.75" customHeight="1">
      <c r="A9" s="75" t="s">
        <v>1402</v>
      </c>
      <c r="B9" s="35" t="s">
        <v>72</v>
      </c>
      <c r="C9" s="35" t="s">
        <v>53</v>
      </c>
      <c r="D9" s="27" t="s">
        <v>10</v>
      </c>
      <c r="E9" s="40" t="s">
        <v>1403</v>
      </c>
      <c r="F9" s="40" t="s">
        <v>315</v>
      </c>
      <c r="G9" s="40" t="s">
        <v>1404</v>
      </c>
      <c r="H9" s="40" t="s">
        <v>101</v>
      </c>
      <c r="I9" s="40" t="s">
        <v>1405</v>
      </c>
      <c r="J9" s="40" t="s">
        <v>892</v>
      </c>
      <c r="K9" s="42" t="s">
        <v>108</v>
      </c>
      <c r="L9" s="40" t="s">
        <v>1406</v>
      </c>
      <c r="M9" s="76" t="s">
        <v>69</v>
      </c>
      <c r="N9" s="35"/>
      <c r="O9" s="35"/>
    </row>
    <row r="10" ht="57.75" customHeight="1">
      <c r="A10" s="75" t="s">
        <v>1407</v>
      </c>
      <c r="B10" s="25" t="s">
        <v>72</v>
      </c>
      <c r="C10" s="25" t="s">
        <v>53</v>
      </c>
      <c r="D10" s="27" t="s">
        <v>10</v>
      </c>
      <c r="E10" s="31" t="s">
        <v>1408</v>
      </c>
      <c r="F10" s="31" t="s">
        <v>1410</v>
      </c>
      <c r="G10" s="31" t="s">
        <v>1411</v>
      </c>
      <c r="H10" s="31" t="s">
        <v>1412</v>
      </c>
      <c r="I10" s="31" t="s">
        <v>1413</v>
      </c>
      <c r="J10" s="31" t="s">
        <v>1414</v>
      </c>
      <c r="K10" s="36" t="s">
        <v>136</v>
      </c>
      <c r="L10" s="31" t="s">
        <v>1415</v>
      </c>
      <c r="M10" s="76" t="s">
        <v>69</v>
      </c>
      <c r="N10" s="25"/>
      <c r="O10" s="25"/>
    </row>
    <row r="11" ht="57.75" customHeight="1">
      <c r="A11" s="75" t="s">
        <v>1417</v>
      </c>
      <c r="B11" s="35" t="s">
        <v>72</v>
      </c>
      <c r="C11" s="35" t="s">
        <v>53</v>
      </c>
      <c r="D11" s="27" t="s">
        <v>10</v>
      </c>
      <c r="E11" s="40" t="s">
        <v>1419</v>
      </c>
      <c r="F11" s="40" t="s">
        <v>1421</v>
      </c>
      <c r="G11" s="40" t="s">
        <v>1422</v>
      </c>
      <c r="H11" s="40" t="s">
        <v>1423</v>
      </c>
      <c r="I11" s="40" t="s">
        <v>1425</v>
      </c>
      <c r="J11" s="40" t="s">
        <v>1426</v>
      </c>
      <c r="K11" s="42" t="s">
        <v>66</v>
      </c>
      <c r="L11" s="40" t="s">
        <v>1427</v>
      </c>
      <c r="M11" s="76" t="s">
        <v>69</v>
      </c>
      <c r="N11" s="35"/>
      <c r="O11" s="35"/>
    </row>
    <row r="12" ht="57.75" customHeight="1">
      <c r="A12" s="75" t="s">
        <v>1429</v>
      </c>
      <c r="B12" s="25" t="s">
        <v>72</v>
      </c>
      <c r="C12" s="25" t="s">
        <v>53</v>
      </c>
      <c r="D12" s="27" t="s">
        <v>10</v>
      </c>
      <c r="E12" s="31" t="s">
        <v>1430</v>
      </c>
      <c r="F12" s="31" t="s">
        <v>1431</v>
      </c>
      <c r="G12" s="31" t="s">
        <v>1432</v>
      </c>
      <c r="H12" s="31" t="s">
        <v>1434</v>
      </c>
      <c r="I12" s="31" t="s">
        <v>1435</v>
      </c>
      <c r="J12" s="31" t="s">
        <v>1436</v>
      </c>
      <c r="K12" s="36" t="s">
        <v>108</v>
      </c>
      <c r="L12" s="31" t="s">
        <v>1438</v>
      </c>
      <c r="M12" s="76" t="s">
        <v>69</v>
      </c>
      <c r="N12" s="25"/>
      <c r="O12" s="25"/>
    </row>
    <row r="13" ht="57.75" customHeight="1">
      <c r="A13" s="75" t="s">
        <v>1440</v>
      </c>
      <c r="B13" s="35" t="s">
        <v>72</v>
      </c>
      <c r="C13" s="35" t="s">
        <v>53</v>
      </c>
      <c r="D13" s="27" t="s">
        <v>10</v>
      </c>
      <c r="E13" s="40" t="s">
        <v>1443</v>
      </c>
      <c r="F13" s="40" t="s">
        <v>96</v>
      </c>
      <c r="G13" s="40" t="s">
        <v>886</v>
      </c>
      <c r="H13" s="40" t="s">
        <v>310</v>
      </c>
      <c r="I13" s="40" t="s">
        <v>1445</v>
      </c>
      <c r="J13" s="40" t="s">
        <v>311</v>
      </c>
      <c r="K13" s="42" t="s">
        <v>136</v>
      </c>
      <c r="L13" s="40" t="s">
        <v>1446</v>
      </c>
      <c r="M13" s="76" t="s">
        <v>69</v>
      </c>
      <c r="N13" s="35"/>
      <c r="O13" s="35"/>
    </row>
    <row r="14" ht="57.75" customHeight="1">
      <c r="A14" s="75" t="s">
        <v>1449</v>
      </c>
      <c r="B14" s="25" t="s">
        <v>72</v>
      </c>
      <c r="C14" s="25" t="s">
        <v>53</v>
      </c>
      <c r="D14" s="27" t="s">
        <v>10</v>
      </c>
      <c r="E14" s="31" t="s">
        <v>1451</v>
      </c>
      <c r="F14" s="31">
        <v>-6.0</v>
      </c>
      <c r="G14" s="31">
        <v>-3.0</v>
      </c>
      <c r="H14" s="31">
        <v>2.0</v>
      </c>
      <c r="I14" s="31">
        <v>3.0</v>
      </c>
      <c r="J14" s="31">
        <v>6.0</v>
      </c>
      <c r="K14" s="36" t="s">
        <v>201</v>
      </c>
      <c r="L14" s="31" t="s">
        <v>1453</v>
      </c>
      <c r="M14" s="76" t="s">
        <v>69</v>
      </c>
      <c r="N14" s="25"/>
      <c r="O14" s="25"/>
    </row>
    <row r="15" ht="57.75" customHeight="1">
      <c r="A15" s="75" t="s">
        <v>1456</v>
      </c>
      <c r="B15" s="35" t="s">
        <v>72</v>
      </c>
      <c r="C15" s="35" t="s">
        <v>53</v>
      </c>
      <c r="D15" s="27" t="s">
        <v>10</v>
      </c>
      <c r="E15" s="40" t="s">
        <v>1458</v>
      </c>
      <c r="F15" s="40" t="s">
        <v>837</v>
      </c>
      <c r="G15" s="40" t="s">
        <v>998</v>
      </c>
      <c r="H15" s="40" t="s">
        <v>838</v>
      </c>
      <c r="I15" s="40" t="s">
        <v>1180</v>
      </c>
      <c r="J15" s="40" t="s">
        <v>840</v>
      </c>
      <c r="K15" s="42" t="s">
        <v>66</v>
      </c>
      <c r="L15" s="40" t="s">
        <v>1467</v>
      </c>
      <c r="M15" s="76" t="s">
        <v>69</v>
      </c>
      <c r="N15" s="35"/>
      <c r="O15" s="35"/>
    </row>
    <row r="16" ht="57.75" customHeight="1">
      <c r="A16" s="75" t="s">
        <v>1471</v>
      </c>
      <c r="B16" s="25" t="s">
        <v>72</v>
      </c>
      <c r="C16" s="25" t="s">
        <v>53</v>
      </c>
      <c r="D16" s="27" t="s">
        <v>10</v>
      </c>
      <c r="E16" s="31" t="s">
        <v>1474</v>
      </c>
      <c r="F16" s="31" t="s">
        <v>1475</v>
      </c>
      <c r="G16" s="31" t="s">
        <v>1476</v>
      </c>
      <c r="H16" s="31" t="s">
        <v>1477</v>
      </c>
      <c r="I16" s="31" t="s">
        <v>1479</v>
      </c>
      <c r="J16" s="31" t="s">
        <v>1480</v>
      </c>
      <c r="K16" s="36" t="s">
        <v>108</v>
      </c>
      <c r="L16" s="31" t="s">
        <v>1482</v>
      </c>
      <c r="M16" s="76" t="s">
        <v>69</v>
      </c>
      <c r="N16" s="25"/>
      <c r="O16" s="25"/>
    </row>
    <row r="17" ht="57.75" customHeight="1">
      <c r="A17" s="75" t="s">
        <v>1488</v>
      </c>
      <c r="B17" s="35" t="s">
        <v>72</v>
      </c>
      <c r="C17" s="35" t="s">
        <v>53</v>
      </c>
      <c r="D17" s="27" t="s">
        <v>10</v>
      </c>
      <c r="E17" s="40" t="s">
        <v>1492</v>
      </c>
      <c r="F17" s="40" t="s">
        <v>1041</v>
      </c>
      <c r="G17" s="40" t="s">
        <v>1044</v>
      </c>
      <c r="H17" s="40" t="s">
        <v>1046</v>
      </c>
      <c r="I17" s="40" t="s">
        <v>1494</v>
      </c>
      <c r="J17" s="40" t="s">
        <v>181</v>
      </c>
      <c r="K17" s="42" t="s">
        <v>108</v>
      </c>
      <c r="L17" s="40" t="s">
        <v>1496</v>
      </c>
      <c r="M17" s="76" t="s">
        <v>69</v>
      </c>
      <c r="N17" s="35"/>
      <c r="O17" s="35"/>
    </row>
    <row r="18" ht="57.75" customHeight="1">
      <c r="A18" s="75" t="s">
        <v>1499</v>
      </c>
      <c r="B18" s="25" t="s">
        <v>72</v>
      </c>
      <c r="C18" s="25" t="s">
        <v>53</v>
      </c>
      <c r="D18" s="27" t="s">
        <v>10</v>
      </c>
      <c r="E18" s="31" t="s">
        <v>1501</v>
      </c>
      <c r="F18" s="31" t="s">
        <v>1502</v>
      </c>
      <c r="G18" s="31" t="s">
        <v>1503</v>
      </c>
      <c r="H18" s="31" t="s">
        <v>1505</v>
      </c>
      <c r="I18" s="31" t="s">
        <v>1506</v>
      </c>
      <c r="J18" s="31" t="s">
        <v>1507</v>
      </c>
      <c r="K18" s="36" t="s">
        <v>108</v>
      </c>
      <c r="L18" s="31" t="s">
        <v>1509</v>
      </c>
      <c r="M18" s="76" t="s">
        <v>69</v>
      </c>
      <c r="N18" s="25"/>
      <c r="O18" s="25"/>
    </row>
    <row r="19" ht="57.75" customHeight="1">
      <c r="A19" s="75" t="s">
        <v>1510</v>
      </c>
      <c r="B19" s="35" t="s">
        <v>72</v>
      </c>
      <c r="C19" s="35" t="s">
        <v>53</v>
      </c>
      <c r="D19" s="27" t="s">
        <v>10</v>
      </c>
      <c r="E19" s="40" t="s">
        <v>1511</v>
      </c>
      <c r="F19" s="40" t="s">
        <v>1512</v>
      </c>
      <c r="G19" s="40" t="s">
        <v>1514</v>
      </c>
      <c r="H19" s="40" t="s">
        <v>1515</v>
      </c>
      <c r="I19" s="40" t="s">
        <v>1517</v>
      </c>
      <c r="J19" s="40" t="s">
        <v>1518</v>
      </c>
      <c r="K19" s="42" t="s">
        <v>66</v>
      </c>
      <c r="L19" s="40" t="s">
        <v>1520</v>
      </c>
      <c r="M19" s="76" t="s">
        <v>69</v>
      </c>
      <c r="N19" s="35"/>
      <c r="O19" s="35"/>
    </row>
    <row r="20" ht="57.75" customHeight="1">
      <c r="A20" s="75" t="s">
        <v>1522</v>
      </c>
      <c r="B20" s="25" t="s">
        <v>72</v>
      </c>
      <c r="C20" s="25" t="s">
        <v>53</v>
      </c>
      <c r="D20" s="27" t="s">
        <v>10</v>
      </c>
      <c r="E20" s="31" t="s">
        <v>1525</v>
      </c>
      <c r="F20" s="31" t="s">
        <v>1526</v>
      </c>
      <c r="G20" s="31" t="s">
        <v>1528</v>
      </c>
      <c r="H20" s="31" t="s">
        <v>1530</v>
      </c>
      <c r="I20" s="31" t="s">
        <v>1535</v>
      </c>
      <c r="J20" s="31" t="s">
        <v>1536</v>
      </c>
      <c r="K20" s="36" t="s">
        <v>66</v>
      </c>
      <c r="L20" s="31" t="s">
        <v>1537</v>
      </c>
      <c r="M20" s="76" t="s">
        <v>69</v>
      </c>
      <c r="N20" s="25"/>
      <c r="O20" s="25"/>
    </row>
    <row r="21" ht="19.5" customHeight="1">
      <c r="A21" s="61" t="s">
        <v>255</v>
      </c>
      <c r="B21" s="3"/>
      <c r="C21" s="3"/>
      <c r="D21" s="3"/>
      <c r="E21" s="3"/>
      <c r="F21" s="3"/>
      <c r="G21" s="3"/>
      <c r="H21" s="3"/>
      <c r="I21" s="3"/>
      <c r="J21" s="3"/>
      <c r="K21" s="3"/>
      <c r="L21" s="3"/>
      <c r="M21" s="3"/>
      <c r="N21" s="3"/>
      <c r="O21" s="4"/>
    </row>
    <row r="22" ht="57.75" customHeight="1">
      <c r="A22" s="75" t="s">
        <v>1539</v>
      </c>
      <c r="B22" s="35" t="s">
        <v>72</v>
      </c>
      <c r="C22" s="35" t="s">
        <v>53</v>
      </c>
      <c r="D22" s="17" t="s">
        <v>12</v>
      </c>
      <c r="E22" s="40" t="s">
        <v>1540</v>
      </c>
      <c r="F22" s="40" t="s">
        <v>1541</v>
      </c>
      <c r="G22" s="40" t="s">
        <v>1542</v>
      </c>
      <c r="H22" s="40" t="s">
        <v>1543</v>
      </c>
      <c r="I22" s="40" t="s">
        <v>1544</v>
      </c>
      <c r="J22" s="40" t="s">
        <v>1545</v>
      </c>
      <c r="K22" s="42" t="s">
        <v>108</v>
      </c>
      <c r="L22" s="40" t="s">
        <v>1546</v>
      </c>
      <c r="M22" s="76" t="s">
        <v>69</v>
      </c>
      <c r="N22" s="35"/>
      <c r="O22" s="35"/>
    </row>
    <row r="23" ht="57.75" customHeight="1">
      <c r="A23" s="75" t="s">
        <v>1547</v>
      </c>
      <c r="B23" s="25" t="s">
        <v>72</v>
      </c>
      <c r="C23" s="25" t="s">
        <v>53</v>
      </c>
      <c r="D23" s="17" t="s">
        <v>12</v>
      </c>
      <c r="E23" s="31" t="s">
        <v>1548</v>
      </c>
      <c r="F23" s="31" t="s">
        <v>1342</v>
      </c>
      <c r="G23" s="31" t="s">
        <v>1549</v>
      </c>
      <c r="H23" s="31" t="s">
        <v>1541</v>
      </c>
      <c r="I23" s="31" t="s">
        <v>1542</v>
      </c>
      <c r="J23" s="31" t="s">
        <v>1543</v>
      </c>
      <c r="K23" s="36" t="s">
        <v>108</v>
      </c>
      <c r="L23" s="31" t="s">
        <v>1550</v>
      </c>
      <c r="M23" s="76" t="s">
        <v>69</v>
      </c>
      <c r="N23" s="25"/>
      <c r="O23" s="25"/>
    </row>
    <row r="24" ht="57.75" customHeight="1">
      <c r="A24" s="75" t="s">
        <v>1551</v>
      </c>
      <c r="B24" s="35" t="s">
        <v>72</v>
      </c>
      <c r="C24" s="35" t="s">
        <v>53</v>
      </c>
      <c r="D24" s="17" t="s">
        <v>12</v>
      </c>
      <c r="E24" s="40" t="s">
        <v>1552</v>
      </c>
      <c r="F24" s="40" t="s">
        <v>1553</v>
      </c>
      <c r="G24" s="40" t="s">
        <v>1554</v>
      </c>
      <c r="H24" s="40" t="s">
        <v>1555</v>
      </c>
      <c r="I24" s="40" t="s">
        <v>1556</v>
      </c>
      <c r="J24" s="40" t="s">
        <v>1557</v>
      </c>
      <c r="K24" s="42" t="s">
        <v>108</v>
      </c>
      <c r="L24" s="40" t="s">
        <v>1558</v>
      </c>
      <c r="M24" s="76" t="s">
        <v>69</v>
      </c>
      <c r="N24" s="35"/>
      <c r="O24" s="35"/>
    </row>
    <row r="25" ht="57.75" customHeight="1">
      <c r="A25" s="75" t="s">
        <v>1559</v>
      </c>
      <c r="B25" s="25" t="s">
        <v>72</v>
      </c>
      <c r="C25" s="25" t="s">
        <v>53</v>
      </c>
      <c r="D25" s="17" t="s">
        <v>12</v>
      </c>
      <c r="E25" s="31" t="s">
        <v>1561</v>
      </c>
      <c r="F25" s="31" t="s">
        <v>1041</v>
      </c>
      <c r="G25" s="31" t="s">
        <v>1044</v>
      </c>
      <c r="H25" s="31" t="s">
        <v>1046</v>
      </c>
      <c r="I25" s="31" t="s">
        <v>1494</v>
      </c>
      <c r="J25" s="31" t="s">
        <v>181</v>
      </c>
      <c r="K25" s="36" t="s">
        <v>108</v>
      </c>
      <c r="L25" s="31" t="s">
        <v>1562</v>
      </c>
      <c r="M25" s="76" t="s">
        <v>69</v>
      </c>
      <c r="N25" s="25"/>
      <c r="O25" s="25"/>
    </row>
    <row r="26" ht="57.75" customHeight="1">
      <c r="A26" s="75" t="s">
        <v>1563</v>
      </c>
      <c r="B26" s="35" t="s">
        <v>72</v>
      </c>
      <c r="C26" s="35" t="s">
        <v>53</v>
      </c>
      <c r="D26" s="17" t="s">
        <v>12</v>
      </c>
      <c r="E26" s="40" t="s">
        <v>1564</v>
      </c>
      <c r="F26" s="40">
        <v>8.0</v>
      </c>
      <c r="G26" s="40">
        <v>10.0</v>
      </c>
      <c r="H26" s="40">
        <v>12.0</v>
      </c>
      <c r="I26" s="40">
        <v>16.0</v>
      </c>
      <c r="J26" s="40">
        <v>20.0</v>
      </c>
      <c r="K26" s="42" t="s">
        <v>108</v>
      </c>
      <c r="L26" s="40" t="s">
        <v>1566</v>
      </c>
      <c r="M26" s="76" t="s">
        <v>69</v>
      </c>
      <c r="N26" s="35"/>
      <c r="O26" s="35"/>
    </row>
    <row r="27" ht="57.75" customHeight="1">
      <c r="A27" s="75" t="s">
        <v>1567</v>
      </c>
      <c r="B27" s="25" t="s">
        <v>72</v>
      </c>
      <c r="C27" s="25" t="s">
        <v>53</v>
      </c>
      <c r="D27" s="17" t="s">
        <v>12</v>
      </c>
      <c r="E27" s="31" t="s">
        <v>1569</v>
      </c>
      <c r="F27" s="31" t="s">
        <v>1570</v>
      </c>
      <c r="G27" s="31" t="s">
        <v>1571</v>
      </c>
      <c r="H27" s="31" t="s">
        <v>1572</v>
      </c>
      <c r="I27" s="31" t="s">
        <v>1573</v>
      </c>
      <c r="J27" s="31" t="s">
        <v>1575</v>
      </c>
      <c r="K27" s="36" t="s">
        <v>66</v>
      </c>
      <c r="L27" s="31" t="s">
        <v>1576</v>
      </c>
      <c r="M27" s="76" t="s">
        <v>69</v>
      </c>
      <c r="N27" s="25"/>
      <c r="O27" s="25"/>
    </row>
    <row r="28" ht="57.75" customHeight="1">
      <c r="A28" s="75" t="s">
        <v>1578</v>
      </c>
      <c r="B28" s="35" t="s">
        <v>72</v>
      </c>
      <c r="C28" s="35" t="s">
        <v>53</v>
      </c>
      <c r="D28" s="17" t="s">
        <v>12</v>
      </c>
      <c r="E28" s="40" t="s">
        <v>1579</v>
      </c>
      <c r="F28" s="40" t="s">
        <v>1580</v>
      </c>
      <c r="G28" s="40" t="s">
        <v>1581</v>
      </c>
      <c r="H28" s="40" t="s">
        <v>1582</v>
      </c>
      <c r="I28" s="40" t="s">
        <v>1584</v>
      </c>
      <c r="J28" s="40" t="s">
        <v>1585</v>
      </c>
      <c r="K28" s="42" t="s">
        <v>66</v>
      </c>
      <c r="L28" s="40" t="s">
        <v>1586</v>
      </c>
      <c r="M28" s="76" t="s">
        <v>69</v>
      </c>
      <c r="N28" s="35"/>
      <c r="O28" s="35"/>
    </row>
    <row r="29" ht="57.75" customHeight="1">
      <c r="A29" s="75" t="s">
        <v>1588</v>
      </c>
      <c r="B29" s="25" t="s">
        <v>72</v>
      </c>
      <c r="C29" s="25" t="s">
        <v>53</v>
      </c>
      <c r="D29" s="17" t="s">
        <v>12</v>
      </c>
      <c r="E29" s="31" t="s">
        <v>1590</v>
      </c>
      <c r="F29" s="31" t="s">
        <v>1591</v>
      </c>
      <c r="G29" s="31" t="s">
        <v>1592</v>
      </c>
      <c r="H29" s="31" t="s">
        <v>1593</v>
      </c>
      <c r="I29" s="31" t="s">
        <v>1594</v>
      </c>
      <c r="J29" s="31" t="s">
        <v>1595</v>
      </c>
      <c r="K29" s="36" t="s">
        <v>108</v>
      </c>
      <c r="L29" s="31" t="s">
        <v>1597</v>
      </c>
      <c r="M29" s="76" t="s">
        <v>69</v>
      </c>
      <c r="N29" s="25"/>
      <c r="O29" s="25"/>
    </row>
    <row r="30" ht="57.75" customHeight="1">
      <c r="A30" s="75" t="s">
        <v>1598</v>
      </c>
      <c r="B30" s="35" t="s">
        <v>72</v>
      </c>
      <c r="C30" s="35" t="s">
        <v>53</v>
      </c>
      <c r="D30" s="17" t="s">
        <v>12</v>
      </c>
      <c r="E30" s="40" t="s">
        <v>1600</v>
      </c>
      <c r="F30" s="40">
        <v>7.0</v>
      </c>
      <c r="G30" s="40">
        <v>8.0</v>
      </c>
      <c r="H30" s="40">
        <v>9.0</v>
      </c>
      <c r="I30" s="40">
        <v>10.0</v>
      </c>
      <c r="J30" s="40">
        <v>11.0</v>
      </c>
      <c r="K30" s="42" t="s">
        <v>108</v>
      </c>
      <c r="L30" s="40" t="s">
        <v>1602</v>
      </c>
      <c r="M30" s="76" t="s">
        <v>69</v>
      </c>
      <c r="N30" s="35"/>
      <c r="O30" s="35"/>
    </row>
    <row r="31" ht="57.75" customHeight="1">
      <c r="A31" s="75" t="s">
        <v>1603</v>
      </c>
      <c r="B31" s="25" t="s">
        <v>72</v>
      </c>
      <c r="C31" s="25" t="s">
        <v>53</v>
      </c>
      <c r="D31" s="17" t="s">
        <v>12</v>
      </c>
      <c r="E31" s="31" t="s">
        <v>1605</v>
      </c>
      <c r="F31" s="31" t="s">
        <v>1606</v>
      </c>
      <c r="G31" s="31" t="s">
        <v>1607</v>
      </c>
      <c r="H31" s="31" t="s">
        <v>1609</v>
      </c>
      <c r="I31" s="31" t="s">
        <v>1610</v>
      </c>
      <c r="J31" s="31" t="s">
        <v>1611</v>
      </c>
      <c r="K31" s="36" t="s">
        <v>108</v>
      </c>
      <c r="L31" s="31" t="s">
        <v>1612</v>
      </c>
      <c r="M31" s="76" t="s">
        <v>69</v>
      </c>
      <c r="N31" s="25"/>
      <c r="O31" s="25"/>
    </row>
    <row r="32" ht="57.75" customHeight="1">
      <c r="A32" s="75" t="s">
        <v>1614</v>
      </c>
      <c r="B32" s="35" t="s">
        <v>72</v>
      </c>
      <c r="C32" s="35" t="s">
        <v>53</v>
      </c>
      <c r="D32" s="17" t="s">
        <v>12</v>
      </c>
      <c r="E32" s="40" t="s">
        <v>1615</v>
      </c>
      <c r="F32" s="40">
        <v>2.0</v>
      </c>
      <c r="G32" s="40">
        <v>3.0</v>
      </c>
      <c r="H32" s="40">
        <v>4.0</v>
      </c>
      <c r="I32" s="40">
        <v>5.0</v>
      </c>
      <c r="J32" s="40">
        <v>6.0</v>
      </c>
      <c r="K32" s="42" t="s">
        <v>108</v>
      </c>
      <c r="L32" s="40" t="s">
        <v>1617</v>
      </c>
      <c r="M32" s="76" t="s">
        <v>69</v>
      </c>
      <c r="N32" s="35"/>
      <c r="O32" s="35"/>
    </row>
    <row r="33" ht="57.75" customHeight="1">
      <c r="A33" s="75" t="s">
        <v>1619</v>
      </c>
      <c r="B33" s="25" t="s">
        <v>72</v>
      </c>
      <c r="C33" s="25" t="s">
        <v>53</v>
      </c>
      <c r="D33" s="17" t="s">
        <v>12</v>
      </c>
      <c r="E33" s="31" t="s">
        <v>1622</v>
      </c>
      <c r="F33" s="31" t="s">
        <v>181</v>
      </c>
      <c r="G33" s="31" t="s">
        <v>466</v>
      </c>
      <c r="H33" s="31" t="s">
        <v>984</v>
      </c>
      <c r="I33" s="31" t="s">
        <v>1297</v>
      </c>
      <c r="J33" s="31" t="s">
        <v>1627</v>
      </c>
      <c r="K33" s="36" t="s">
        <v>108</v>
      </c>
      <c r="L33" s="31" t="s">
        <v>1629</v>
      </c>
      <c r="M33" s="76" t="s">
        <v>69</v>
      </c>
      <c r="N33" s="25"/>
      <c r="O33" s="25"/>
    </row>
    <row r="34" ht="57.75" customHeight="1">
      <c r="A34" s="75" t="s">
        <v>1631</v>
      </c>
      <c r="B34" s="35" t="s">
        <v>72</v>
      </c>
      <c r="C34" s="35" t="s">
        <v>53</v>
      </c>
      <c r="D34" s="17" t="s">
        <v>12</v>
      </c>
      <c r="E34" s="40" t="s">
        <v>1633</v>
      </c>
      <c r="F34" s="40" t="s">
        <v>1634</v>
      </c>
      <c r="G34" s="40" t="s">
        <v>1636</v>
      </c>
      <c r="H34" s="40" t="s">
        <v>1638</v>
      </c>
      <c r="I34" s="40" t="s">
        <v>1640</v>
      </c>
      <c r="J34" s="40" t="s">
        <v>1642</v>
      </c>
      <c r="K34" s="42" t="s">
        <v>136</v>
      </c>
      <c r="L34" s="40" t="s">
        <v>1644</v>
      </c>
      <c r="M34" s="76" t="s">
        <v>69</v>
      </c>
      <c r="N34" s="35"/>
      <c r="O34" s="35"/>
    </row>
    <row r="35" ht="57.75" customHeight="1">
      <c r="A35" s="75" t="s">
        <v>1647</v>
      </c>
      <c r="B35" s="25" t="s">
        <v>72</v>
      </c>
      <c r="C35" s="25" t="s">
        <v>53</v>
      </c>
      <c r="D35" s="17" t="s">
        <v>12</v>
      </c>
      <c r="E35" s="31" t="s">
        <v>1649</v>
      </c>
      <c r="F35" s="31">
        <v>7.0</v>
      </c>
      <c r="G35" s="31">
        <v>9.0</v>
      </c>
      <c r="H35" s="31">
        <v>11.0</v>
      </c>
      <c r="I35" s="31">
        <v>13.0</v>
      </c>
      <c r="J35" s="31">
        <v>15.0</v>
      </c>
      <c r="K35" s="36" t="s">
        <v>108</v>
      </c>
      <c r="L35" s="31" t="s">
        <v>1651</v>
      </c>
      <c r="M35" s="76" t="s">
        <v>69</v>
      </c>
      <c r="N35" s="25"/>
      <c r="O35" s="25"/>
    </row>
    <row r="36" ht="57.75" customHeight="1">
      <c r="A36" s="75" t="s">
        <v>1652</v>
      </c>
      <c r="B36" s="35" t="s">
        <v>72</v>
      </c>
      <c r="C36" s="35" t="s">
        <v>53</v>
      </c>
      <c r="D36" s="17" t="s">
        <v>12</v>
      </c>
      <c r="E36" s="40" t="s">
        <v>1654</v>
      </c>
      <c r="F36" s="40" t="s">
        <v>1655</v>
      </c>
      <c r="G36" s="40" t="s">
        <v>1656</v>
      </c>
      <c r="H36" s="40" t="s">
        <v>1657</v>
      </c>
      <c r="I36" s="40" t="s">
        <v>1659</v>
      </c>
      <c r="J36" s="40" t="s">
        <v>1660</v>
      </c>
      <c r="K36" s="42" t="s">
        <v>108</v>
      </c>
      <c r="L36" s="40" t="s">
        <v>1662</v>
      </c>
      <c r="M36" s="76" t="s">
        <v>69</v>
      </c>
      <c r="N36" s="35"/>
      <c r="O36" s="35"/>
    </row>
    <row r="37" ht="19.5" customHeight="1">
      <c r="A37" s="69" t="s">
        <v>435</v>
      </c>
      <c r="B37" s="3"/>
      <c r="C37" s="3"/>
      <c r="D37" s="3"/>
      <c r="E37" s="3"/>
      <c r="F37" s="3"/>
      <c r="G37" s="3"/>
      <c r="H37" s="3"/>
      <c r="I37" s="3"/>
      <c r="J37" s="3"/>
      <c r="K37" s="3"/>
      <c r="L37" s="3"/>
      <c r="M37" s="3"/>
      <c r="N37" s="3"/>
      <c r="O37" s="4"/>
    </row>
    <row r="38" ht="57.75" customHeight="1">
      <c r="A38" s="75" t="s">
        <v>1666</v>
      </c>
      <c r="B38" s="25" t="s">
        <v>72</v>
      </c>
      <c r="C38" s="25" t="s">
        <v>53</v>
      </c>
      <c r="D38" s="38" t="s">
        <v>13</v>
      </c>
      <c r="E38" s="31" t="s">
        <v>1668</v>
      </c>
      <c r="F38" s="31" t="s">
        <v>808</v>
      </c>
      <c r="G38" s="31" t="s">
        <v>1670</v>
      </c>
      <c r="H38" s="31" t="s">
        <v>1342</v>
      </c>
      <c r="I38" s="31" t="s">
        <v>1549</v>
      </c>
      <c r="J38" s="31" t="s">
        <v>1541</v>
      </c>
      <c r="K38" s="36" t="s">
        <v>108</v>
      </c>
      <c r="L38" s="31" t="s">
        <v>1672</v>
      </c>
      <c r="M38" s="76" t="s">
        <v>69</v>
      </c>
      <c r="N38" s="25"/>
      <c r="O38" s="25"/>
    </row>
    <row r="39" ht="57.75" customHeight="1">
      <c r="A39" s="75" t="s">
        <v>1674</v>
      </c>
      <c r="B39" s="35" t="s">
        <v>72</v>
      </c>
      <c r="C39" s="35" t="s">
        <v>53</v>
      </c>
      <c r="D39" s="38" t="s">
        <v>13</v>
      </c>
      <c r="E39" s="40" t="s">
        <v>1676</v>
      </c>
      <c r="F39" s="40">
        <v>4.0</v>
      </c>
      <c r="G39" s="40">
        <v>5.0</v>
      </c>
      <c r="H39" s="40">
        <v>6.0</v>
      </c>
      <c r="I39" s="40">
        <v>8.0</v>
      </c>
      <c r="J39" s="40">
        <v>10.0</v>
      </c>
      <c r="K39" s="42" t="s">
        <v>108</v>
      </c>
      <c r="L39" s="40" t="s">
        <v>1681</v>
      </c>
      <c r="M39" s="76" t="s">
        <v>69</v>
      </c>
      <c r="N39" s="35"/>
      <c r="O39" s="35"/>
    </row>
    <row r="40" ht="57.75" customHeight="1">
      <c r="A40" s="75" t="s">
        <v>1685</v>
      </c>
      <c r="B40" s="25" t="s">
        <v>72</v>
      </c>
      <c r="C40" s="25" t="s">
        <v>53</v>
      </c>
      <c r="D40" s="38" t="s">
        <v>13</v>
      </c>
      <c r="E40" s="31" t="s">
        <v>1688</v>
      </c>
      <c r="F40" s="31" t="s">
        <v>1689</v>
      </c>
      <c r="G40" s="31" t="s">
        <v>1690</v>
      </c>
      <c r="H40" s="31" t="s">
        <v>1692</v>
      </c>
      <c r="I40" s="31" t="s">
        <v>1693</v>
      </c>
      <c r="J40" s="31" t="s">
        <v>1694</v>
      </c>
      <c r="K40" s="36" t="s">
        <v>108</v>
      </c>
      <c r="L40" s="31" t="s">
        <v>1696</v>
      </c>
      <c r="M40" s="76" t="s">
        <v>69</v>
      </c>
      <c r="N40" s="25"/>
      <c r="O40" s="25"/>
    </row>
    <row r="41" ht="57.75" customHeight="1">
      <c r="A41" s="75" t="s">
        <v>1698</v>
      </c>
      <c r="B41" s="35" t="s">
        <v>72</v>
      </c>
      <c r="C41" s="35" t="s">
        <v>53</v>
      </c>
      <c r="D41" s="38" t="s">
        <v>13</v>
      </c>
      <c r="E41" s="40" t="s">
        <v>1700</v>
      </c>
      <c r="F41" s="40">
        <v>3.0</v>
      </c>
      <c r="G41" s="40">
        <v>4.0</v>
      </c>
      <c r="H41" s="40">
        <v>5.0</v>
      </c>
      <c r="I41" s="40">
        <v>6.0</v>
      </c>
      <c r="J41" s="40">
        <v>7.0</v>
      </c>
      <c r="K41" s="42" t="s">
        <v>108</v>
      </c>
      <c r="L41" s="40" t="s">
        <v>1707</v>
      </c>
      <c r="M41" s="76" t="s">
        <v>69</v>
      </c>
      <c r="N41" s="35"/>
      <c r="O41" s="35"/>
    </row>
    <row r="42" ht="57.75" customHeight="1">
      <c r="A42" s="75" t="s">
        <v>1710</v>
      </c>
      <c r="B42" s="25" t="s">
        <v>72</v>
      </c>
      <c r="C42" s="25" t="s">
        <v>53</v>
      </c>
      <c r="D42" s="38" t="s">
        <v>13</v>
      </c>
      <c r="E42" s="31" t="s">
        <v>1713</v>
      </c>
      <c r="F42" s="31">
        <v>15.0</v>
      </c>
      <c r="G42" s="31">
        <v>20.0</v>
      </c>
      <c r="H42" s="31">
        <v>25.0</v>
      </c>
      <c r="I42" s="31">
        <v>30.0</v>
      </c>
      <c r="J42" s="31">
        <v>35.0</v>
      </c>
      <c r="K42" s="36" t="s">
        <v>108</v>
      </c>
      <c r="L42" s="31" t="s">
        <v>1718</v>
      </c>
      <c r="M42" s="76" t="s">
        <v>69</v>
      </c>
      <c r="N42" s="25"/>
      <c r="O42" s="25"/>
    </row>
    <row r="43" ht="57.75" customHeight="1">
      <c r="A43" s="75" t="s">
        <v>1723</v>
      </c>
      <c r="B43" s="35" t="s">
        <v>72</v>
      </c>
      <c r="C43" s="35" t="s">
        <v>53</v>
      </c>
      <c r="D43" s="38" t="s">
        <v>13</v>
      </c>
      <c r="E43" s="40" t="s">
        <v>1728</v>
      </c>
      <c r="F43" s="40">
        <v>2.0</v>
      </c>
      <c r="G43" s="40">
        <v>3.0</v>
      </c>
      <c r="H43" s="40">
        <v>5.0</v>
      </c>
      <c r="I43" s="40">
        <v>8.0</v>
      </c>
      <c r="J43" s="40">
        <v>10.0</v>
      </c>
      <c r="K43" s="42" t="s">
        <v>108</v>
      </c>
      <c r="L43" s="40" t="s">
        <v>1734</v>
      </c>
      <c r="M43" s="76" t="s">
        <v>69</v>
      </c>
      <c r="N43" s="35"/>
      <c r="O43" s="35"/>
    </row>
    <row r="44" ht="57.75" customHeight="1">
      <c r="A44" s="75" t="s">
        <v>1739</v>
      </c>
      <c r="B44" s="25" t="s">
        <v>72</v>
      </c>
      <c r="C44" s="25" t="s">
        <v>53</v>
      </c>
      <c r="D44" s="38" t="s">
        <v>13</v>
      </c>
      <c r="E44" s="31" t="s">
        <v>1743</v>
      </c>
      <c r="F44" s="31">
        <v>6.0</v>
      </c>
      <c r="G44" s="31">
        <v>7.0</v>
      </c>
      <c r="H44" s="31">
        <v>8.0</v>
      </c>
      <c r="I44" s="31">
        <v>9.0</v>
      </c>
      <c r="J44" s="31">
        <v>10.0</v>
      </c>
      <c r="K44" s="36" t="s">
        <v>201</v>
      </c>
      <c r="L44" s="31" t="s">
        <v>1745</v>
      </c>
      <c r="M44" s="76" t="s">
        <v>69</v>
      </c>
      <c r="N44" s="25"/>
      <c r="O44" s="25"/>
    </row>
    <row r="45" ht="57.75" customHeight="1">
      <c r="A45" s="75" t="s">
        <v>1746</v>
      </c>
      <c r="B45" s="35" t="s">
        <v>72</v>
      </c>
      <c r="C45" s="35" t="s">
        <v>53</v>
      </c>
      <c r="D45" s="38" t="s">
        <v>13</v>
      </c>
      <c r="E45" s="40" t="s">
        <v>1749</v>
      </c>
      <c r="F45" s="40" t="s">
        <v>1750</v>
      </c>
      <c r="G45" s="40" t="s">
        <v>1751</v>
      </c>
      <c r="H45" s="40" t="s">
        <v>1753</v>
      </c>
      <c r="I45" s="40" t="s">
        <v>1755</v>
      </c>
      <c r="J45" s="40" t="s">
        <v>1757</v>
      </c>
      <c r="K45" s="42" t="s">
        <v>108</v>
      </c>
      <c r="L45" s="40" t="s">
        <v>1761</v>
      </c>
      <c r="M45" s="76" t="s">
        <v>69</v>
      </c>
      <c r="N45" s="35"/>
      <c r="O45" s="35"/>
    </row>
    <row r="46" ht="57.75" customHeight="1">
      <c r="A46" s="75" t="s">
        <v>1765</v>
      </c>
      <c r="B46" s="25" t="s">
        <v>72</v>
      </c>
      <c r="C46" s="25" t="s">
        <v>53</v>
      </c>
      <c r="D46" s="38" t="s">
        <v>13</v>
      </c>
      <c r="E46" s="31" t="s">
        <v>1767</v>
      </c>
      <c r="F46" s="31">
        <v>1.0</v>
      </c>
      <c r="G46" s="31">
        <v>2.0</v>
      </c>
      <c r="H46" s="31">
        <v>3.0</v>
      </c>
      <c r="I46" s="31">
        <v>4.0</v>
      </c>
      <c r="J46" s="31">
        <v>5.0</v>
      </c>
      <c r="K46" s="36" t="s">
        <v>66</v>
      </c>
      <c r="L46" s="31" t="s">
        <v>1771</v>
      </c>
      <c r="M46" s="76" t="s">
        <v>69</v>
      </c>
      <c r="N46" s="25"/>
      <c r="O46" s="25"/>
    </row>
    <row r="47" ht="57.75" customHeight="1">
      <c r="A47" s="75" t="s">
        <v>1774</v>
      </c>
      <c r="B47" s="35" t="s">
        <v>72</v>
      </c>
      <c r="C47" s="35" t="s">
        <v>53</v>
      </c>
      <c r="D47" s="38" t="s">
        <v>13</v>
      </c>
      <c r="E47" s="40" t="s">
        <v>1780</v>
      </c>
      <c r="F47" s="40">
        <v>2.0</v>
      </c>
      <c r="G47" s="40">
        <v>3.0</v>
      </c>
      <c r="H47" s="40">
        <v>4.0</v>
      </c>
      <c r="I47" s="40">
        <v>5.0</v>
      </c>
      <c r="J47" s="40">
        <v>6.0</v>
      </c>
      <c r="K47" s="42" t="s">
        <v>66</v>
      </c>
      <c r="L47" s="40" t="s">
        <v>1790</v>
      </c>
      <c r="M47" s="76" t="s">
        <v>69</v>
      </c>
      <c r="N47" s="35"/>
      <c r="O47" s="35"/>
    </row>
    <row r="48" ht="57.75" customHeight="1">
      <c r="A48" s="75" t="s">
        <v>1795</v>
      </c>
      <c r="B48" s="25" t="s">
        <v>72</v>
      </c>
      <c r="C48" s="25" t="s">
        <v>53</v>
      </c>
      <c r="D48" s="38" t="s">
        <v>13</v>
      </c>
      <c r="E48" s="31" t="s">
        <v>1798</v>
      </c>
      <c r="F48" s="31">
        <v>7.0</v>
      </c>
      <c r="G48" s="31">
        <v>8.0</v>
      </c>
      <c r="H48" s="31">
        <v>9.0</v>
      </c>
      <c r="I48" s="31">
        <v>11.0</v>
      </c>
      <c r="J48" s="31">
        <v>18.0</v>
      </c>
      <c r="K48" s="36" t="s">
        <v>108</v>
      </c>
      <c r="L48" s="31" t="s">
        <v>1803</v>
      </c>
      <c r="M48" s="76" t="s">
        <v>69</v>
      </c>
      <c r="N48" s="25"/>
      <c r="O48" s="25"/>
    </row>
    <row r="49" ht="57.75" customHeight="1">
      <c r="A49" s="75" t="s">
        <v>1809</v>
      </c>
      <c r="B49" s="35" t="s">
        <v>72</v>
      </c>
      <c r="C49" s="35" t="s">
        <v>53</v>
      </c>
      <c r="D49" s="38" t="s">
        <v>13</v>
      </c>
      <c r="E49" s="40" t="s">
        <v>1817</v>
      </c>
      <c r="F49" s="40">
        <v>14.0</v>
      </c>
      <c r="G49" s="40">
        <v>15.0</v>
      </c>
      <c r="H49" s="40">
        <v>16.0</v>
      </c>
      <c r="I49" s="40">
        <v>17.0</v>
      </c>
      <c r="J49" s="40">
        <v>18.0</v>
      </c>
      <c r="K49" s="42" t="s">
        <v>108</v>
      </c>
      <c r="L49" s="40" t="s">
        <v>1823</v>
      </c>
      <c r="M49" s="76" t="s">
        <v>69</v>
      </c>
      <c r="N49" s="35"/>
      <c r="O49" s="35"/>
    </row>
    <row r="50" ht="57.75" customHeight="1">
      <c r="A50" s="75" t="s">
        <v>1831</v>
      </c>
      <c r="B50" s="25" t="s">
        <v>72</v>
      </c>
      <c r="C50" s="25" t="s">
        <v>53</v>
      </c>
      <c r="D50" s="38" t="s">
        <v>13</v>
      </c>
      <c r="E50" s="31" t="s">
        <v>1836</v>
      </c>
      <c r="F50" s="31">
        <v>54.0</v>
      </c>
      <c r="G50" s="31">
        <v>108.0</v>
      </c>
      <c r="H50" s="31">
        <v>126.0</v>
      </c>
      <c r="I50" s="31">
        <v>144.0</v>
      </c>
      <c r="J50" s="31">
        <v>180.0</v>
      </c>
      <c r="K50" s="36" t="s">
        <v>108</v>
      </c>
      <c r="L50" s="31" t="s">
        <v>1842</v>
      </c>
      <c r="M50" s="76" t="s">
        <v>69</v>
      </c>
      <c r="N50" s="25"/>
      <c r="O50" s="25"/>
    </row>
    <row r="51" ht="57.75" customHeight="1">
      <c r="A51" s="75" t="s">
        <v>1848</v>
      </c>
      <c r="B51" s="35" t="s">
        <v>72</v>
      </c>
      <c r="C51" s="35" t="s">
        <v>53</v>
      </c>
      <c r="D51" s="38" t="s">
        <v>13</v>
      </c>
      <c r="E51" s="40" t="s">
        <v>1852</v>
      </c>
      <c r="F51" s="40">
        <v>208.0</v>
      </c>
      <c r="G51" s="40">
        <v>209.0</v>
      </c>
      <c r="H51" s="40">
        <v>210.0</v>
      </c>
      <c r="I51" s="40">
        <v>211.0</v>
      </c>
      <c r="J51" s="40">
        <v>212.0</v>
      </c>
      <c r="K51" s="42" t="s">
        <v>136</v>
      </c>
      <c r="L51" s="40" t="s">
        <v>1860</v>
      </c>
      <c r="M51" s="76" t="s">
        <v>69</v>
      </c>
      <c r="N51" s="35"/>
      <c r="O51" s="35"/>
    </row>
    <row r="52" ht="57.75" customHeight="1">
      <c r="A52" s="75" t="s">
        <v>1865</v>
      </c>
      <c r="B52" s="25" t="s">
        <v>72</v>
      </c>
      <c r="C52" s="25" t="s">
        <v>53</v>
      </c>
      <c r="D52" s="38" t="s">
        <v>13</v>
      </c>
      <c r="E52" s="31" t="s">
        <v>1868</v>
      </c>
      <c r="F52" s="31">
        <v>40.0</v>
      </c>
      <c r="G52" s="31">
        <v>60.0</v>
      </c>
      <c r="H52" s="31">
        <v>80.0</v>
      </c>
      <c r="I52" s="31">
        <v>100.0</v>
      </c>
      <c r="J52" s="31">
        <v>120.0</v>
      </c>
      <c r="K52" s="36" t="s">
        <v>108</v>
      </c>
      <c r="L52" s="31" t="s">
        <v>1872</v>
      </c>
      <c r="M52" s="76" t="s">
        <v>69</v>
      </c>
      <c r="N52" s="25"/>
      <c r="O52" s="25"/>
    </row>
    <row r="53" ht="25.5" customHeight="1">
      <c r="A53" s="49" t="s">
        <v>1885</v>
      </c>
      <c r="B53" s="50"/>
      <c r="C53" s="50"/>
      <c r="D53" s="50"/>
      <c r="E53" s="50"/>
      <c r="F53" s="50"/>
      <c r="G53" s="50"/>
      <c r="H53" s="50"/>
      <c r="I53" s="50"/>
      <c r="J53" s="52"/>
      <c r="M53" s="77">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73" t="s">
        <v>1385</v>
      </c>
      <c r="B1" s="3"/>
      <c r="C1" s="3"/>
      <c r="D1" s="3"/>
      <c r="E1" s="3"/>
      <c r="F1" s="3"/>
      <c r="G1" s="3"/>
      <c r="H1" s="3"/>
      <c r="I1" s="3"/>
      <c r="J1" s="3"/>
      <c r="K1" s="3"/>
      <c r="L1" s="3"/>
      <c r="M1" s="3"/>
      <c r="N1" s="3"/>
      <c r="O1" s="4"/>
    </row>
    <row r="2" ht="30.0" customHeight="1">
      <c r="A2" s="74" t="s">
        <v>1389</v>
      </c>
      <c r="B2" s="3"/>
      <c r="C2" s="3"/>
      <c r="D2" s="3"/>
      <c r="E2" s="3"/>
      <c r="F2" s="3"/>
      <c r="G2" s="3"/>
      <c r="H2" s="3"/>
      <c r="I2" s="3"/>
      <c r="J2" s="3"/>
      <c r="K2" s="3"/>
      <c r="L2" s="3"/>
      <c r="M2" s="3"/>
      <c r="N2" s="3"/>
      <c r="O2" s="4"/>
    </row>
    <row r="3" ht="19.5" customHeight="1">
      <c r="A3" s="10" t="s">
        <v>11</v>
      </c>
      <c r="B3" s="3"/>
      <c r="C3" s="3"/>
      <c r="D3" s="3"/>
      <c r="E3" s="3"/>
      <c r="F3" s="3"/>
      <c r="G3" s="3"/>
      <c r="H3" s="3"/>
      <c r="I3" s="3"/>
      <c r="J3" s="3"/>
      <c r="K3" s="3"/>
      <c r="L3" s="3"/>
      <c r="M3" s="3"/>
      <c r="N3" s="3"/>
      <c r="O3" s="4"/>
    </row>
    <row r="4" ht="24.75" customHeight="1">
      <c r="A4" s="9" t="s">
        <v>22</v>
      </c>
      <c r="B4" s="9" t="s">
        <v>8</v>
      </c>
      <c r="C4" s="9" t="s">
        <v>14</v>
      </c>
      <c r="D4" s="9" t="s">
        <v>24</v>
      </c>
      <c r="E4" s="9" t="s">
        <v>25</v>
      </c>
      <c r="F4" s="9" t="s">
        <v>26</v>
      </c>
      <c r="G4" s="9" t="s">
        <v>27</v>
      </c>
      <c r="H4" s="9" t="s">
        <v>28</v>
      </c>
      <c r="I4" s="9" t="s">
        <v>29</v>
      </c>
      <c r="J4" s="9" t="s">
        <v>31</v>
      </c>
      <c r="K4" s="9" t="s">
        <v>32</v>
      </c>
      <c r="L4" s="9" t="s">
        <v>33</v>
      </c>
      <c r="M4" s="9" t="s">
        <v>17</v>
      </c>
      <c r="N4" s="9" t="s">
        <v>35</v>
      </c>
      <c r="O4" s="9" t="s">
        <v>36</v>
      </c>
    </row>
    <row r="5" ht="19.5" customHeight="1">
      <c r="A5" s="18" t="s">
        <v>37</v>
      </c>
      <c r="B5" s="3"/>
      <c r="C5" s="3"/>
      <c r="D5" s="3"/>
      <c r="E5" s="3"/>
      <c r="F5" s="3"/>
      <c r="G5" s="3"/>
      <c r="H5" s="3"/>
      <c r="I5" s="3"/>
      <c r="J5" s="3"/>
      <c r="K5" s="3"/>
      <c r="L5" s="3"/>
      <c r="M5" s="3"/>
      <c r="N5" s="3"/>
      <c r="O5" s="4"/>
    </row>
    <row r="6" ht="57.75" customHeight="1">
      <c r="A6" s="75" t="s">
        <v>1409</v>
      </c>
      <c r="B6" s="25" t="s">
        <v>80</v>
      </c>
      <c r="C6" s="25" t="s">
        <v>53</v>
      </c>
      <c r="D6" s="27" t="s">
        <v>10</v>
      </c>
      <c r="E6" s="31" t="s">
        <v>1416</v>
      </c>
      <c r="F6" s="31">
        <v>59.0</v>
      </c>
      <c r="G6" s="31">
        <v>62.0</v>
      </c>
      <c r="H6" s="31">
        <v>65.0</v>
      </c>
      <c r="I6" s="31">
        <v>68.0</v>
      </c>
      <c r="J6" s="31">
        <v>71.0</v>
      </c>
      <c r="K6" s="36" t="s">
        <v>66</v>
      </c>
      <c r="L6" s="31" t="s">
        <v>1418</v>
      </c>
      <c r="M6" s="76" t="s">
        <v>1420</v>
      </c>
      <c r="N6" s="25"/>
      <c r="O6" s="25"/>
    </row>
    <row r="7" ht="57.75" customHeight="1">
      <c r="A7" s="75" t="s">
        <v>1424</v>
      </c>
      <c r="B7" s="35" t="s">
        <v>80</v>
      </c>
      <c r="C7" s="35" t="s">
        <v>53</v>
      </c>
      <c r="D7" s="27" t="s">
        <v>10</v>
      </c>
      <c r="E7" s="40" t="s">
        <v>1428</v>
      </c>
      <c r="F7" s="40">
        <v>162.0</v>
      </c>
      <c r="G7" s="40">
        <v>324.0</v>
      </c>
      <c r="H7" s="40">
        <v>486.0</v>
      </c>
      <c r="I7" s="40">
        <v>972.0</v>
      </c>
      <c r="J7" s="40">
        <v>1.458</v>
      </c>
      <c r="K7" s="42" t="s">
        <v>206</v>
      </c>
      <c r="L7" s="40" t="s">
        <v>1433</v>
      </c>
      <c r="M7" s="76" t="s">
        <v>1420</v>
      </c>
      <c r="N7" s="35"/>
      <c r="O7" s="35"/>
    </row>
    <row r="8" ht="57.75" customHeight="1">
      <c r="A8" s="75" t="s">
        <v>1437</v>
      </c>
      <c r="B8" s="25" t="s">
        <v>80</v>
      </c>
      <c r="C8" s="25" t="s">
        <v>53</v>
      </c>
      <c r="D8" s="27" t="s">
        <v>10</v>
      </c>
      <c r="E8" s="31" t="s">
        <v>1439</v>
      </c>
      <c r="F8" s="31">
        <v>57.0</v>
      </c>
      <c r="G8" s="31">
        <v>60.0</v>
      </c>
      <c r="H8" s="31">
        <v>63.0</v>
      </c>
      <c r="I8" s="31">
        <v>66.0</v>
      </c>
      <c r="J8" s="31">
        <v>69.0</v>
      </c>
      <c r="K8" s="36" t="s">
        <v>136</v>
      </c>
      <c r="L8" s="31" t="s">
        <v>1441</v>
      </c>
      <c r="M8" s="76" t="s">
        <v>1420</v>
      </c>
      <c r="N8" s="25"/>
      <c r="O8" s="25"/>
    </row>
    <row r="9" ht="57.75" customHeight="1">
      <c r="A9" s="75" t="s">
        <v>1442</v>
      </c>
      <c r="B9" s="35" t="s">
        <v>80</v>
      </c>
      <c r="C9" s="35" t="s">
        <v>53</v>
      </c>
      <c r="D9" s="27" t="s">
        <v>10</v>
      </c>
      <c r="E9" s="40" t="s">
        <v>1444</v>
      </c>
      <c r="F9" s="40">
        <v>120.0</v>
      </c>
      <c r="G9" s="40">
        <v>124.0</v>
      </c>
      <c r="H9" s="40">
        <v>132.0</v>
      </c>
      <c r="I9" s="40">
        <v>144.0</v>
      </c>
      <c r="J9" s="40">
        <v>169.0</v>
      </c>
      <c r="K9" s="42" t="s">
        <v>201</v>
      </c>
      <c r="L9" s="40" t="s">
        <v>1447</v>
      </c>
      <c r="M9" s="76" t="s">
        <v>1420</v>
      </c>
      <c r="N9" s="35"/>
      <c r="O9" s="35"/>
    </row>
    <row r="10" ht="57.75" customHeight="1">
      <c r="A10" s="75" t="s">
        <v>1448</v>
      </c>
      <c r="B10" s="25" t="s">
        <v>80</v>
      </c>
      <c r="C10" s="25" t="s">
        <v>53</v>
      </c>
      <c r="D10" s="27" t="s">
        <v>10</v>
      </c>
      <c r="E10" s="31" t="s">
        <v>1450</v>
      </c>
      <c r="F10" s="31">
        <v>10.0</v>
      </c>
      <c r="G10" s="31">
        <v>15.0</v>
      </c>
      <c r="H10" s="33">
        <v>20.0</v>
      </c>
      <c r="I10" s="33">
        <v>25.0</v>
      </c>
      <c r="J10" s="31">
        <v>30.0</v>
      </c>
      <c r="K10" s="36" t="s">
        <v>66</v>
      </c>
      <c r="L10" s="31" t="s">
        <v>1452</v>
      </c>
      <c r="M10" s="76" t="s">
        <v>1420</v>
      </c>
      <c r="N10" s="25"/>
      <c r="O10" s="25"/>
    </row>
    <row r="11" ht="57.75" customHeight="1">
      <c r="A11" s="75" t="s">
        <v>1454</v>
      </c>
      <c r="B11" s="35" t="s">
        <v>80</v>
      </c>
      <c r="C11" s="35" t="s">
        <v>53</v>
      </c>
      <c r="D11" s="27" t="s">
        <v>10</v>
      </c>
      <c r="E11" s="40" t="s">
        <v>1455</v>
      </c>
      <c r="F11" s="40">
        <v>64.0</v>
      </c>
      <c r="G11" s="40">
        <v>72.0</v>
      </c>
      <c r="H11" s="40">
        <v>80.0</v>
      </c>
      <c r="I11" s="40">
        <v>88.0</v>
      </c>
      <c r="J11" s="40">
        <v>96.0</v>
      </c>
      <c r="K11" s="42" t="s">
        <v>108</v>
      </c>
      <c r="L11" s="40" t="s">
        <v>1457</v>
      </c>
      <c r="M11" s="76" t="s">
        <v>1420</v>
      </c>
      <c r="N11" s="35"/>
      <c r="O11" s="35"/>
    </row>
    <row r="12" ht="57.75" customHeight="1">
      <c r="A12" s="75" t="s">
        <v>1459</v>
      </c>
      <c r="B12" s="25" t="s">
        <v>80</v>
      </c>
      <c r="C12" s="25" t="s">
        <v>53</v>
      </c>
      <c r="D12" s="27" t="s">
        <v>10</v>
      </c>
      <c r="E12" s="31" t="s">
        <v>1460</v>
      </c>
      <c r="F12" s="31">
        <v>2.0</v>
      </c>
      <c r="G12" s="31">
        <v>3.0</v>
      </c>
      <c r="H12" s="31">
        <v>4.0</v>
      </c>
      <c r="I12" s="31">
        <v>5.0</v>
      </c>
      <c r="J12" s="31">
        <v>6.0</v>
      </c>
      <c r="K12" s="36" t="s">
        <v>108</v>
      </c>
      <c r="L12" s="31" t="s">
        <v>1461</v>
      </c>
      <c r="M12" s="76" t="s">
        <v>1420</v>
      </c>
      <c r="N12" s="25"/>
      <c r="O12" s="25"/>
    </row>
    <row r="13" ht="57.75" customHeight="1">
      <c r="A13" s="75" t="s">
        <v>1462</v>
      </c>
      <c r="B13" s="35" t="s">
        <v>80</v>
      </c>
      <c r="C13" s="35" t="s">
        <v>53</v>
      </c>
      <c r="D13" s="27" t="s">
        <v>10</v>
      </c>
      <c r="E13" s="40" t="s">
        <v>1463</v>
      </c>
      <c r="F13" s="40" t="s">
        <v>1464</v>
      </c>
      <c r="G13" s="40" t="s">
        <v>1465</v>
      </c>
      <c r="H13" s="40" t="s">
        <v>1466</v>
      </c>
      <c r="I13" s="40" t="s">
        <v>1468</v>
      </c>
      <c r="J13" s="40" t="s">
        <v>1469</v>
      </c>
      <c r="K13" s="42" t="s">
        <v>136</v>
      </c>
      <c r="L13" s="40" t="s">
        <v>1470</v>
      </c>
      <c r="M13" s="76" t="s">
        <v>1420</v>
      </c>
      <c r="N13" s="35"/>
      <c r="O13" s="35"/>
    </row>
    <row r="14" ht="57.75" customHeight="1">
      <c r="A14" s="75" t="s">
        <v>1472</v>
      </c>
      <c r="B14" s="25" t="s">
        <v>80</v>
      </c>
      <c r="C14" s="25" t="s">
        <v>53</v>
      </c>
      <c r="D14" s="27" t="s">
        <v>10</v>
      </c>
      <c r="E14" s="31" t="s">
        <v>1473</v>
      </c>
      <c r="F14" s="31">
        <v>21.0</v>
      </c>
      <c r="G14" s="31">
        <v>34.0</v>
      </c>
      <c r="H14" s="31">
        <v>45.0</v>
      </c>
      <c r="I14" s="31">
        <v>55.0</v>
      </c>
      <c r="J14" s="31">
        <v>89.0</v>
      </c>
      <c r="K14" s="36" t="s">
        <v>66</v>
      </c>
      <c r="L14" s="31" t="s">
        <v>1478</v>
      </c>
      <c r="M14" s="76" t="s">
        <v>1420</v>
      </c>
      <c r="N14" s="25"/>
      <c r="O14" s="25"/>
    </row>
    <row r="15" ht="57.75" customHeight="1">
      <c r="A15" s="75" t="s">
        <v>1481</v>
      </c>
      <c r="B15" s="35" t="s">
        <v>80</v>
      </c>
      <c r="C15" s="35" t="s">
        <v>53</v>
      </c>
      <c r="D15" s="27" t="s">
        <v>10</v>
      </c>
      <c r="E15" s="40" t="s">
        <v>1483</v>
      </c>
      <c r="F15" s="40" t="s">
        <v>1484</v>
      </c>
      <c r="G15" s="40" t="s">
        <v>1485</v>
      </c>
      <c r="H15" s="40" t="s">
        <v>1486</v>
      </c>
      <c r="I15" s="40" t="s">
        <v>1487</v>
      </c>
      <c r="J15" s="40" t="s">
        <v>1489</v>
      </c>
      <c r="K15" s="42" t="s">
        <v>66</v>
      </c>
      <c r="L15" s="40" t="s">
        <v>1490</v>
      </c>
      <c r="M15" s="76" t="s">
        <v>1420</v>
      </c>
      <c r="N15" s="35"/>
      <c r="O15" s="35"/>
    </row>
    <row r="16" ht="57.75" customHeight="1">
      <c r="A16" s="75" t="s">
        <v>1491</v>
      </c>
      <c r="B16" s="25" t="s">
        <v>80</v>
      </c>
      <c r="C16" s="25" t="s">
        <v>53</v>
      </c>
      <c r="D16" s="27" t="s">
        <v>10</v>
      </c>
      <c r="E16" s="31" t="s">
        <v>1493</v>
      </c>
      <c r="F16" s="31">
        <v>39.0</v>
      </c>
      <c r="G16" s="31">
        <v>43.0</v>
      </c>
      <c r="H16" s="31">
        <v>45.0</v>
      </c>
      <c r="I16" s="31">
        <v>49.0</v>
      </c>
      <c r="J16" s="31">
        <v>51.0</v>
      </c>
      <c r="K16" s="36" t="s">
        <v>108</v>
      </c>
      <c r="L16" s="31" t="s">
        <v>1495</v>
      </c>
      <c r="M16" s="76" t="s">
        <v>1420</v>
      </c>
      <c r="N16" s="25"/>
      <c r="O16" s="25"/>
    </row>
    <row r="17" ht="57.75" customHeight="1">
      <c r="A17" s="75" t="s">
        <v>1497</v>
      </c>
      <c r="B17" s="35" t="s">
        <v>80</v>
      </c>
      <c r="C17" s="35" t="s">
        <v>53</v>
      </c>
      <c r="D17" s="27" t="s">
        <v>10</v>
      </c>
      <c r="E17" s="40" t="s">
        <v>1498</v>
      </c>
      <c r="F17" s="40">
        <v>190.0</v>
      </c>
      <c r="G17" s="40">
        <v>210.0</v>
      </c>
      <c r="H17" s="40">
        <v>230.0</v>
      </c>
      <c r="I17" s="40">
        <v>250.0</v>
      </c>
      <c r="J17" s="40">
        <v>270.0</v>
      </c>
      <c r="K17" s="42" t="s">
        <v>66</v>
      </c>
      <c r="L17" s="40" t="s">
        <v>1500</v>
      </c>
      <c r="M17" s="76" t="s">
        <v>1420</v>
      </c>
      <c r="N17" s="35"/>
      <c r="O17" s="35"/>
    </row>
    <row r="18" ht="57.75" customHeight="1">
      <c r="A18" s="75" t="s">
        <v>1504</v>
      </c>
      <c r="B18" s="25" t="s">
        <v>80</v>
      </c>
      <c r="C18" s="25" t="s">
        <v>53</v>
      </c>
      <c r="D18" s="27" t="s">
        <v>10</v>
      </c>
      <c r="E18" s="31" t="s">
        <v>1508</v>
      </c>
      <c r="F18" s="31">
        <v>3.0</v>
      </c>
      <c r="G18" s="78">
        <v>46025.0</v>
      </c>
      <c r="H18" s="31">
        <v>-3.0</v>
      </c>
      <c r="I18" s="31" t="s">
        <v>1513</v>
      </c>
      <c r="J18" s="78">
        <v>46031.0</v>
      </c>
      <c r="K18" s="36" t="s">
        <v>66</v>
      </c>
      <c r="L18" s="31" t="s">
        <v>1516</v>
      </c>
      <c r="M18" s="76" t="s">
        <v>1420</v>
      </c>
      <c r="N18" s="25"/>
      <c r="O18" s="25"/>
    </row>
    <row r="19" ht="57.75" customHeight="1">
      <c r="A19" s="75" t="s">
        <v>1519</v>
      </c>
      <c r="B19" s="35" t="s">
        <v>80</v>
      </c>
      <c r="C19" s="35" t="s">
        <v>53</v>
      </c>
      <c r="D19" s="27" t="s">
        <v>10</v>
      </c>
      <c r="E19" s="40" t="s">
        <v>1521</v>
      </c>
      <c r="F19" s="40">
        <v>256.0</v>
      </c>
      <c r="G19" s="40">
        <v>512.0</v>
      </c>
      <c r="H19" s="40">
        <v>1.024</v>
      </c>
      <c r="I19" s="40">
        <v>2.048</v>
      </c>
      <c r="J19" s="40">
        <v>4.096</v>
      </c>
      <c r="K19" s="42" t="s">
        <v>108</v>
      </c>
      <c r="L19" s="40" t="s">
        <v>1523</v>
      </c>
      <c r="M19" s="76" t="s">
        <v>1420</v>
      </c>
      <c r="N19" s="35"/>
      <c r="O19" s="35"/>
    </row>
    <row r="20" ht="57.75" customHeight="1">
      <c r="A20" s="75" t="s">
        <v>1524</v>
      </c>
      <c r="B20" s="25" t="s">
        <v>80</v>
      </c>
      <c r="C20" s="25" t="s">
        <v>53</v>
      </c>
      <c r="D20" s="27" t="s">
        <v>10</v>
      </c>
      <c r="E20" s="31" t="s">
        <v>1527</v>
      </c>
      <c r="F20" s="31" t="s">
        <v>1529</v>
      </c>
      <c r="G20" s="31" t="s">
        <v>1531</v>
      </c>
      <c r="H20" s="31" t="s">
        <v>1532</v>
      </c>
      <c r="I20" s="31" t="s">
        <v>1533</v>
      </c>
      <c r="J20" s="31" t="s">
        <v>1534</v>
      </c>
      <c r="K20" s="36" t="s">
        <v>66</v>
      </c>
      <c r="L20" s="31" t="s">
        <v>1538</v>
      </c>
      <c r="M20" s="76" t="s">
        <v>1420</v>
      </c>
      <c r="N20" s="25"/>
      <c r="O20" s="25"/>
    </row>
    <row r="21" ht="19.5" customHeight="1">
      <c r="A21" s="61" t="s">
        <v>255</v>
      </c>
      <c r="B21" s="3"/>
      <c r="C21" s="3"/>
      <c r="D21" s="3"/>
      <c r="E21" s="3"/>
      <c r="F21" s="3"/>
      <c r="G21" s="3"/>
      <c r="H21" s="3"/>
      <c r="I21" s="3"/>
      <c r="J21" s="3"/>
      <c r="K21" s="3"/>
      <c r="L21" s="3"/>
      <c r="M21" s="3"/>
      <c r="N21" s="3"/>
      <c r="O21" s="4"/>
    </row>
    <row r="22" ht="57.75" customHeight="1">
      <c r="A22" s="75" t="s">
        <v>1560</v>
      </c>
      <c r="B22" s="35" t="s">
        <v>80</v>
      </c>
      <c r="C22" s="35" t="s">
        <v>53</v>
      </c>
      <c r="D22" s="17" t="s">
        <v>12</v>
      </c>
      <c r="E22" s="40" t="s">
        <v>1565</v>
      </c>
      <c r="F22" s="40">
        <v>55.0</v>
      </c>
      <c r="G22" s="40">
        <v>59.0</v>
      </c>
      <c r="H22" s="40">
        <v>63.0</v>
      </c>
      <c r="I22" s="40">
        <v>67.0</v>
      </c>
      <c r="J22" s="40">
        <v>71.0</v>
      </c>
      <c r="K22" s="42" t="s">
        <v>66</v>
      </c>
      <c r="L22" s="40" t="s">
        <v>1568</v>
      </c>
      <c r="M22" s="76" t="s">
        <v>1420</v>
      </c>
      <c r="N22" s="35"/>
      <c r="O22" s="35"/>
    </row>
    <row r="23" ht="57.75" customHeight="1">
      <c r="A23" s="75" t="s">
        <v>1574</v>
      </c>
      <c r="B23" s="25" t="s">
        <v>80</v>
      </c>
      <c r="C23" s="25" t="s">
        <v>53</v>
      </c>
      <c r="D23" s="17" t="s">
        <v>12</v>
      </c>
      <c r="E23" s="31" t="s">
        <v>1577</v>
      </c>
      <c r="F23" s="31">
        <v>93.0</v>
      </c>
      <c r="G23" s="31">
        <v>186.0</v>
      </c>
      <c r="H23" s="31">
        <v>189.0</v>
      </c>
      <c r="I23" s="31">
        <v>378.0</v>
      </c>
      <c r="J23" s="31">
        <v>381.0</v>
      </c>
      <c r="K23" s="36" t="s">
        <v>108</v>
      </c>
      <c r="L23" s="31" t="s">
        <v>1583</v>
      </c>
      <c r="M23" s="76" t="s">
        <v>1420</v>
      </c>
      <c r="N23" s="25"/>
      <c r="O23" s="25"/>
    </row>
    <row r="24" ht="57.75" customHeight="1">
      <c r="A24" s="75" t="s">
        <v>1587</v>
      </c>
      <c r="B24" s="35" t="s">
        <v>80</v>
      </c>
      <c r="C24" s="35" t="s">
        <v>53</v>
      </c>
      <c r="D24" s="17" t="s">
        <v>12</v>
      </c>
      <c r="E24" s="40" t="s">
        <v>1589</v>
      </c>
      <c r="F24" s="40">
        <v>31.0</v>
      </c>
      <c r="G24" s="40">
        <v>33.0</v>
      </c>
      <c r="H24" s="40">
        <v>35.0</v>
      </c>
      <c r="I24" s="40">
        <v>136.0</v>
      </c>
      <c r="J24" s="40">
        <v>152.0</v>
      </c>
      <c r="K24" s="42" t="s">
        <v>66</v>
      </c>
      <c r="L24" s="40" t="s">
        <v>1596</v>
      </c>
      <c r="M24" s="76" t="s">
        <v>1420</v>
      </c>
      <c r="N24" s="35"/>
      <c r="O24" s="35"/>
    </row>
    <row r="25" ht="57.75" customHeight="1">
      <c r="A25" s="75" t="s">
        <v>1599</v>
      </c>
      <c r="B25" s="25" t="s">
        <v>80</v>
      </c>
      <c r="C25" s="25" t="s">
        <v>53</v>
      </c>
      <c r="D25" s="17" t="s">
        <v>12</v>
      </c>
      <c r="E25" s="31" t="s">
        <v>1601</v>
      </c>
      <c r="F25" s="31">
        <v>102.0</v>
      </c>
      <c r="G25" s="31">
        <v>111.0</v>
      </c>
      <c r="H25" s="31">
        <v>114.0</v>
      </c>
      <c r="I25" s="31">
        <v>123.0</v>
      </c>
      <c r="J25" s="31">
        <v>132.0</v>
      </c>
      <c r="K25" s="36" t="s">
        <v>136</v>
      </c>
      <c r="L25" s="31" t="s">
        <v>1604</v>
      </c>
      <c r="M25" s="76" t="s">
        <v>1420</v>
      </c>
      <c r="N25" s="25"/>
      <c r="O25" s="25"/>
    </row>
    <row r="26" ht="57.75" customHeight="1">
      <c r="A26" s="75" t="s">
        <v>1608</v>
      </c>
      <c r="B26" s="35" t="s">
        <v>80</v>
      </c>
      <c r="C26" s="35" t="s">
        <v>53</v>
      </c>
      <c r="D26" s="17" t="s">
        <v>12</v>
      </c>
      <c r="E26" s="40" t="s">
        <v>1613</v>
      </c>
      <c r="F26" s="40">
        <v>18.0</v>
      </c>
      <c r="G26" s="40">
        <v>19.0</v>
      </c>
      <c r="H26" s="40">
        <v>20.0</v>
      </c>
      <c r="I26" s="40">
        <v>21.0</v>
      </c>
      <c r="J26" s="40">
        <v>22.0</v>
      </c>
      <c r="K26" s="42" t="s">
        <v>108</v>
      </c>
      <c r="L26" s="40" t="s">
        <v>1616</v>
      </c>
      <c r="M26" s="76" t="s">
        <v>1420</v>
      </c>
      <c r="N26" s="35"/>
      <c r="O26" s="35"/>
    </row>
    <row r="27" ht="57.75" customHeight="1">
      <c r="A27" s="75" t="s">
        <v>1618</v>
      </c>
      <c r="B27" s="25" t="s">
        <v>80</v>
      </c>
      <c r="C27" s="25" t="s">
        <v>53</v>
      </c>
      <c r="D27" s="17" t="s">
        <v>12</v>
      </c>
      <c r="E27" s="31" t="s">
        <v>1620</v>
      </c>
      <c r="F27" s="31" t="s">
        <v>1621</v>
      </c>
      <c r="G27" s="31" t="s">
        <v>1623</v>
      </c>
      <c r="H27" s="31" t="s">
        <v>1624</v>
      </c>
      <c r="I27" s="31" t="s">
        <v>1625</v>
      </c>
      <c r="J27" s="31" t="s">
        <v>1626</v>
      </c>
      <c r="K27" s="36" t="s">
        <v>136</v>
      </c>
      <c r="L27" s="31" t="s">
        <v>1628</v>
      </c>
      <c r="M27" s="76" t="s">
        <v>1420</v>
      </c>
      <c r="N27" s="25"/>
      <c r="O27" s="25"/>
    </row>
    <row r="28" ht="57.75" customHeight="1">
      <c r="A28" s="75" t="s">
        <v>1632</v>
      </c>
      <c r="B28" s="35" t="s">
        <v>80</v>
      </c>
      <c r="C28" s="35" t="s">
        <v>53</v>
      </c>
      <c r="D28" s="17" t="s">
        <v>12</v>
      </c>
      <c r="E28" s="40" t="s">
        <v>1635</v>
      </c>
      <c r="F28" s="40" t="s">
        <v>1637</v>
      </c>
      <c r="G28" s="40" t="s">
        <v>1639</v>
      </c>
      <c r="H28" s="40" t="s">
        <v>1641</v>
      </c>
      <c r="I28" s="40" t="s">
        <v>1643</v>
      </c>
      <c r="J28" s="40" t="s">
        <v>1545</v>
      </c>
      <c r="K28" s="42" t="s">
        <v>66</v>
      </c>
      <c r="L28" s="40" t="s">
        <v>1646</v>
      </c>
      <c r="M28" s="76" t="s">
        <v>1420</v>
      </c>
      <c r="N28" s="35"/>
      <c r="O28" s="35"/>
    </row>
    <row r="29" ht="57.75" customHeight="1">
      <c r="A29" s="75" t="s">
        <v>1648</v>
      </c>
      <c r="B29" s="25" t="s">
        <v>80</v>
      </c>
      <c r="C29" s="25" t="s">
        <v>53</v>
      </c>
      <c r="D29" s="17" t="s">
        <v>12</v>
      </c>
      <c r="E29" s="31" t="s">
        <v>1650</v>
      </c>
      <c r="F29" s="31">
        <v>37.0</v>
      </c>
      <c r="G29" s="31">
        <v>41.0</v>
      </c>
      <c r="H29" s="31">
        <v>45.0</v>
      </c>
      <c r="I29" s="31">
        <v>49.0</v>
      </c>
      <c r="J29" s="31">
        <v>53.0</v>
      </c>
      <c r="K29" s="36" t="s">
        <v>108</v>
      </c>
      <c r="L29" s="31" t="s">
        <v>1653</v>
      </c>
      <c r="M29" s="76" t="s">
        <v>1420</v>
      </c>
      <c r="N29" s="25"/>
      <c r="O29" s="25"/>
    </row>
    <row r="30" ht="57.75" customHeight="1">
      <c r="A30" s="75" t="s">
        <v>1658</v>
      </c>
      <c r="B30" s="35" t="s">
        <v>80</v>
      </c>
      <c r="C30" s="35" t="s">
        <v>53</v>
      </c>
      <c r="D30" s="17" t="s">
        <v>12</v>
      </c>
      <c r="E30" s="40" t="s">
        <v>1661</v>
      </c>
      <c r="F30" s="40">
        <v>54.0</v>
      </c>
      <c r="G30" s="40">
        <v>108.0</v>
      </c>
      <c r="H30" s="40">
        <v>162.0</v>
      </c>
      <c r="I30" s="40">
        <v>216.0</v>
      </c>
      <c r="J30" s="40">
        <v>240.0</v>
      </c>
      <c r="K30" s="42" t="s">
        <v>108</v>
      </c>
      <c r="L30" s="40" t="s">
        <v>1663</v>
      </c>
      <c r="M30" s="76" t="s">
        <v>1420</v>
      </c>
      <c r="N30" s="35"/>
      <c r="O30" s="35"/>
    </row>
    <row r="31" ht="57.75" customHeight="1">
      <c r="A31" s="75" t="s">
        <v>1664</v>
      </c>
      <c r="B31" s="25" t="s">
        <v>80</v>
      </c>
      <c r="C31" s="25" t="s">
        <v>53</v>
      </c>
      <c r="D31" s="17" t="s">
        <v>12</v>
      </c>
      <c r="E31" s="31" t="s">
        <v>1665</v>
      </c>
      <c r="F31" s="31">
        <v>3.0</v>
      </c>
      <c r="G31" s="31">
        <v>4.0</v>
      </c>
      <c r="H31" s="31">
        <v>5.0</v>
      </c>
      <c r="I31" s="31">
        <v>6.0</v>
      </c>
      <c r="J31" s="31">
        <v>7.0</v>
      </c>
      <c r="K31" s="36" t="s">
        <v>66</v>
      </c>
      <c r="L31" s="31" t="s">
        <v>1667</v>
      </c>
      <c r="M31" s="76" t="s">
        <v>1420</v>
      </c>
      <c r="N31" s="25"/>
      <c r="O31" s="25"/>
    </row>
    <row r="32" ht="57.75" customHeight="1">
      <c r="A32" s="75" t="s">
        <v>1669</v>
      </c>
      <c r="B32" s="35" t="s">
        <v>80</v>
      </c>
      <c r="C32" s="35" t="s">
        <v>53</v>
      </c>
      <c r="D32" s="17" t="s">
        <v>12</v>
      </c>
      <c r="E32" s="40" t="s">
        <v>1671</v>
      </c>
      <c r="F32" s="40">
        <v>11.0</v>
      </c>
      <c r="G32" s="40">
        <v>12.0</v>
      </c>
      <c r="H32" s="40">
        <v>13.0</v>
      </c>
      <c r="I32" s="40">
        <v>14.0</v>
      </c>
      <c r="J32" s="40">
        <v>15.0</v>
      </c>
      <c r="K32" s="42" t="s">
        <v>136</v>
      </c>
      <c r="L32" s="40" t="s">
        <v>1675</v>
      </c>
      <c r="M32" s="76" t="s">
        <v>1420</v>
      </c>
      <c r="N32" s="35"/>
      <c r="O32" s="35"/>
    </row>
    <row r="33" ht="57.75" customHeight="1">
      <c r="A33" s="75" t="s">
        <v>1677</v>
      </c>
      <c r="B33" s="25" t="s">
        <v>80</v>
      </c>
      <c r="C33" s="25" t="s">
        <v>53</v>
      </c>
      <c r="D33" s="17" t="s">
        <v>12</v>
      </c>
      <c r="E33" s="31" t="s">
        <v>1683</v>
      </c>
      <c r="F33" s="78">
        <v>46026.0</v>
      </c>
      <c r="G33" s="78">
        <v>46025.0</v>
      </c>
      <c r="H33" s="78">
        <v>46024.0</v>
      </c>
      <c r="I33" s="78">
        <v>46056.0</v>
      </c>
      <c r="J33" s="78">
        <v>46085.0</v>
      </c>
      <c r="K33" s="36" t="s">
        <v>66</v>
      </c>
      <c r="L33" s="31" t="s">
        <v>1686</v>
      </c>
      <c r="M33" s="76" t="s">
        <v>1420</v>
      </c>
      <c r="N33" s="25"/>
      <c r="O33" s="25"/>
    </row>
    <row r="34" ht="57.75" customHeight="1">
      <c r="A34" s="75" t="s">
        <v>1691</v>
      </c>
      <c r="B34" s="35" t="s">
        <v>80</v>
      </c>
      <c r="C34" s="35" t="s">
        <v>53</v>
      </c>
      <c r="D34" s="17" t="s">
        <v>12</v>
      </c>
      <c r="E34" s="40" t="s">
        <v>1697</v>
      </c>
      <c r="F34" s="40">
        <v>3.0</v>
      </c>
      <c r="G34" s="40">
        <v>4.0</v>
      </c>
      <c r="H34" s="40">
        <v>5.0</v>
      </c>
      <c r="I34" s="40">
        <v>6.0</v>
      </c>
      <c r="J34" s="40">
        <v>7.0</v>
      </c>
      <c r="K34" s="42" t="s">
        <v>108</v>
      </c>
      <c r="L34" s="40" t="s">
        <v>1705</v>
      </c>
      <c r="M34" s="76" t="s">
        <v>1420</v>
      </c>
      <c r="N34" s="35"/>
      <c r="O34" s="35"/>
    </row>
    <row r="35" ht="57.75" customHeight="1">
      <c r="A35" s="75" t="s">
        <v>1708</v>
      </c>
      <c r="B35" s="25" t="s">
        <v>80</v>
      </c>
      <c r="C35" s="25" t="s">
        <v>53</v>
      </c>
      <c r="D35" s="17" t="s">
        <v>12</v>
      </c>
      <c r="E35" s="31" t="s">
        <v>1711</v>
      </c>
      <c r="F35" s="31">
        <v>1.12</v>
      </c>
      <c r="G35" s="31">
        <v>1.188</v>
      </c>
      <c r="H35" s="31">
        <v>1.224</v>
      </c>
      <c r="I35" s="31">
        <v>1.26</v>
      </c>
      <c r="J35" s="31">
        <v>1.32</v>
      </c>
      <c r="K35" s="36" t="s">
        <v>108</v>
      </c>
      <c r="L35" s="31" t="s">
        <v>1714</v>
      </c>
      <c r="M35" s="76" t="s">
        <v>1420</v>
      </c>
      <c r="N35" s="25"/>
      <c r="O35" s="25"/>
    </row>
    <row r="36" ht="57.75" customHeight="1">
      <c r="A36" s="75" t="s">
        <v>1720</v>
      </c>
      <c r="B36" s="35" t="s">
        <v>80</v>
      </c>
      <c r="C36" s="35" t="s">
        <v>53</v>
      </c>
      <c r="D36" s="17" t="s">
        <v>12</v>
      </c>
      <c r="E36" s="40" t="s">
        <v>1724</v>
      </c>
      <c r="F36" s="40" t="s">
        <v>1726</v>
      </c>
      <c r="G36" s="40" t="s">
        <v>1727</v>
      </c>
      <c r="H36" s="40" t="s">
        <v>1729</v>
      </c>
      <c r="I36" s="40" t="s">
        <v>1730</v>
      </c>
      <c r="J36" s="40" t="s">
        <v>1732</v>
      </c>
      <c r="K36" s="42" t="s">
        <v>108</v>
      </c>
      <c r="L36" s="40" t="s">
        <v>1735</v>
      </c>
      <c r="M36" s="76" t="s">
        <v>1420</v>
      </c>
      <c r="N36" s="35"/>
      <c r="O36" s="35"/>
    </row>
    <row r="37" ht="19.5" customHeight="1">
      <c r="A37" s="69" t="s">
        <v>435</v>
      </c>
      <c r="B37" s="3"/>
      <c r="C37" s="3"/>
      <c r="D37" s="3"/>
      <c r="E37" s="3"/>
      <c r="F37" s="3"/>
      <c r="G37" s="3"/>
      <c r="H37" s="3"/>
      <c r="I37" s="3"/>
      <c r="J37" s="3"/>
      <c r="K37" s="3"/>
      <c r="L37" s="3"/>
      <c r="M37" s="3"/>
      <c r="N37" s="3"/>
      <c r="O37" s="4"/>
    </row>
    <row r="38" ht="57.75" customHeight="1">
      <c r="A38" s="75" t="s">
        <v>1748</v>
      </c>
      <c r="B38" s="25" t="s">
        <v>80</v>
      </c>
      <c r="C38" s="25" t="s">
        <v>53</v>
      </c>
      <c r="D38" s="38" t="s">
        <v>13</v>
      </c>
      <c r="E38" s="31" t="s">
        <v>1754</v>
      </c>
      <c r="F38" s="31" t="s">
        <v>1756</v>
      </c>
      <c r="G38" s="31" t="s">
        <v>1759</v>
      </c>
      <c r="H38" s="31" t="s">
        <v>1760</v>
      </c>
      <c r="I38" s="31" t="s">
        <v>1762</v>
      </c>
      <c r="J38" s="31" t="s">
        <v>1763</v>
      </c>
      <c r="K38" s="36" t="s">
        <v>108</v>
      </c>
      <c r="L38" s="31" t="s">
        <v>1766</v>
      </c>
      <c r="M38" s="76" t="s">
        <v>1420</v>
      </c>
      <c r="N38" s="25"/>
      <c r="O38" s="25"/>
    </row>
    <row r="39" ht="57.75" customHeight="1">
      <c r="A39" s="75" t="s">
        <v>1768</v>
      </c>
      <c r="B39" s="35" t="s">
        <v>80</v>
      </c>
      <c r="C39" s="35" t="s">
        <v>53</v>
      </c>
      <c r="D39" s="38" t="s">
        <v>13</v>
      </c>
      <c r="E39" s="40" t="s">
        <v>1770</v>
      </c>
      <c r="F39" s="40">
        <v>76.8</v>
      </c>
      <c r="G39" s="40">
        <v>102.4</v>
      </c>
      <c r="H39" s="40">
        <v>153.6</v>
      </c>
      <c r="I39" s="40">
        <v>307.2</v>
      </c>
      <c r="J39" s="40">
        <v>614.4</v>
      </c>
      <c r="K39" s="42" t="s">
        <v>108</v>
      </c>
      <c r="L39" s="40" t="s">
        <v>1776</v>
      </c>
      <c r="M39" s="76" t="s">
        <v>1420</v>
      </c>
      <c r="N39" s="35"/>
      <c r="O39" s="35"/>
    </row>
    <row r="40" ht="57.75" customHeight="1">
      <c r="A40" s="75" t="s">
        <v>1778</v>
      </c>
      <c r="B40" s="25" t="s">
        <v>80</v>
      </c>
      <c r="C40" s="25" t="s">
        <v>53</v>
      </c>
      <c r="D40" s="38" t="s">
        <v>13</v>
      </c>
      <c r="E40" s="31" t="s">
        <v>1781</v>
      </c>
      <c r="F40" s="31" t="s">
        <v>1782</v>
      </c>
      <c r="G40" s="31" t="s">
        <v>1783</v>
      </c>
      <c r="H40" s="31" t="s">
        <v>1784</v>
      </c>
      <c r="I40" s="31" t="s">
        <v>1785</v>
      </c>
      <c r="J40" s="31" t="s">
        <v>1786</v>
      </c>
      <c r="K40" s="36" t="s">
        <v>66</v>
      </c>
      <c r="L40" s="31" t="s">
        <v>1794</v>
      </c>
      <c r="M40" s="76" t="s">
        <v>1420</v>
      </c>
      <c r="N40" s="25"/>
      <c r="O40" s="25"/>
    </row>
    <row r="41" ht="57.75" customHeight="1">
      <c r="A41" s="75" t="s">
        <v>1797</v>
      </c>
      <c r="B41" s="35" t="s">
        <v>80</v>
      </c>
      <c r="C41" s="35" t="s">
        <v>53</v>
      </c>
      <c r="D41" s="38" t="s">
        <v>13</v>
      </c>
      <c r="E41" s="40" t="s">
        <v>1799</v>
      </c>
      <c r="F41" s="40">
        <v>500.0</v>
      </c>
      <c r="G41" s="40">
        <v>625.0</v>
      </c>
      <c r="H41" s="40">
        <v>750.0</v>
      </c>
      <c r="I41" s="40">
        <v>875.0</v>
      </c>
      <c r="J41" s="40">
        <v>1.0</v>
      </c>
      <c r="K41" s="42" t="s">
        <v>108</v>
      </c>
      <c r="L41" s="40" t="s">
        <v>1801</v>
      </c>
      <c r="M41" s="76" t="s">
        <v>1420</v>
      </c>
      <c r="N41" s="35"/>
      <c r="O41" s="35"/>
    </row>
    <row r="42" ht="57.75" customHeight="1">
      <c r="A42" s="75" t="s">
        <v>1805</v>
      </c>
      <c r="B42" s="25" t="s">
        <v>80</v>
      </c>
      <c r="C42" s="25" t="s">
        <v>53</v>
      </c>
      <c r="D42" s="38" t="s">
        <v>13</v>
      </c>
      <c r="E42" s="31" t="s">
        <v>1808</v>
      </c>
      <c r="F42" s="31" t="s">
        <v>1811</v>
      </c>
      <c r="G42" s="31" t="s">
        <v>1813</v>
      </c>
      <c r="H42" s="31" t="s">
        <v>1814</v>
      </c>
      <c r="I42" s="31" t="s">
        <v>1815</v>
      </c>
      <c r="J42" s="31" t="s">
        <v>1528</v>
      </c>
      <c r="K42" s="36" t="s">
        <v>66</v>
      </c>
      <c r="L42" s="31" t="s">
        <v>1818</v>
      </c>
      <c r="M42" s="76" t="s">
        <v>1420</v>
      </c>
      <c r="N42" s="25"/>
      <c r="O42" s="25"/>
    </row>
    <row r="43" ht="57.75" customHeight="1">
      <c r="A43" s="75" t="s">
        <v>1819</v>
      </c>
      <c r="B43" s="35" t="s">
        <v>80</v>
      </c>
      <c r="C43" s="35" t="s">
        <v>53</v>
      </c>
      <c r="D43" s="38" t="s">
        <v>13</v>
      </c>
      <c r="E43" s="40" t="s">
        <v>1822</v>
      </c>
      <c r="F43" s="40" t="s">
        <v>1824</v>
      </c>
      <c r="G43" s="40" t="s">
        <v>1825</v>
      </c>
      <c r="H43" s="40" t="s">
        <v>1827</v>
      </c>
      <c r="I43" s="40" t="s">
        <v>1828</v>
      </c>
      <c r="J43" s="40" t="s">
        <v>1830</v>
      </c>
      <c r="K43" s="42" t="s">
        <v>108</v>
      </c>
      <c r="L43" s="40" t="s">
        <v>1834</v>
      </c>
      <c r="M43" s="76" t="s">
        <v>1420</v>
      </c>
      <c r="N43" s="35"/>
      <c r="O43" s="35"/>
    </row>
    <row r="44" ht="57.75" customHeight="1">
      <c r="A44" s="75" t="s">
        <v>1838</v>
      </c>
      <c r="B44" s="25" t="s">
        <v>80</v>
      </c>
      <c r="C44" s="25" t="s">
        <v>53</v>
      </c>
      <c r="D44" s="38" t="s">
        <v>13</v>
      </c>
      <c r="E44" s="31" t="s">
        <v>1840</v>
      </c>
      <c r="F44" s="31" t="s">
        <v>1841</v>
      </c>
      <c r="G44" s="31" t="s">
        <v>1843</v>
      </c>
      <c r="H44" s="31" t="s">
        <v>1844</v>
      </c>
      <c r="I44" s="31" t="s">
        <v>1846</v>
      </c>
      <c r="J44" s="31" t="s">
        <v>1847</v>
      </c>
      <c r="K44" s="36" t="s">
        <v>108</v>
      </c>
      <c r="L44" s="31" t="s">
        <v>1850</v>
      </c>
      <c r="M44" s="76" t="s">
        <v>1420</v>
      </c>
      <c r="N44" s="25"/>
      <c r="O44" s="25"/>
    </row>
    <row r="45" ht="57.75" customHeight="1">
      <c r="A45" s="75" t="s">
        <v>1853</v>
      </c>
      <c r="B45" s="35" t="s">
        <v>80</v>
      </c>
      <c r="C45" s="35" t="s">
        <v>53</v>
      </c>
      <c r="D45" s="38" t="s">
        <v>13</v>
      </c>
      <c r="E45" s="40" t="s">
        <v>1857</v>
      </c>
      <c r="F45" s="40" t="s">
        <v>1859</v>
      </c>
      <c r="G45" s="40" t="s">
        <v>1861</v>
      </c>
      <c r="H45" s="40" t="s">
        <v>1863</v>
      </c>
      <c r="I45" s="40" t="s">
        <v>1864</v>
      </c>
      <c r="J45" s="40" t="s">
        <v>1867</v>
      </c>
      <c r="K45" s="42" t="s">
        <v>108</v>
      </c>
      <c r="L45" s="40" t="s">
        <v>1870</v>
      </c>
      <c r="M45" s="76" t="s">
        <v>1420</v>
      </c>
      <c r="N45" s="35"/>
      <c r="O45" s="35"/>
    </row>
    <row r="46" ht="57.75" customHeight="1">
      <c r="A46" s="75" t="s">
        <v>1873</v>
      </c>
      <c r="B46" s="25" t="s">
        <v>80</v>
      </c>
      <c r="C46" s="25" t="s">
        <v>53</v>
      </c>
      <c r="D46" s="38" t="s">
        <v>13</v>
      </c>
      <c r="E46" s="31" t="s">
        <v>1878</v>
      </c>
      <c r="F46" s="31" t="s">
        <v>1879</v>
      </c>
      <c r="G46" s="31" t="s">
        <v>1880</v>
      </c>
      <c r="H46" s="31" t="s">
        <v>1881</v>
      </c>
      <c r="I46" s="31" t="s">
        <v>1882</v>
      </c>
      <c r="J46" s="31" t="s">
        <v>1883</v>
      </c>
      <c r="K46" s="36" t="s">
        <v>108</v>
      </c>
      <c r="L46" s="31" t="s">
        <v>1884</v>
      </c>
      <c r="M46" s="76" t="s">
        <v>1420</v>
      </c>
      <c r="N46" s="25"/>
      <c r="O46" s="25"/>
    </row>
    <row r="47" ht="57.75" customHeight="1">
      <c r="A47" s="75" t="s">
        <v>1886</v>
      </c>
      <c r="B47" s="35" t="s">
        <v>80</v>
      </c>
      <c r="C47" s="35" t="s">
        <v>53</v>
      </c>
      <c r="D47" s="38" t="s">
        <v>13</v>
      </c>
      <c r="E47" s="40" t="s">
        <v>1889</v>
      </c>
      <c r="F47" s="40" t="s">
        <v>1890</v>
      </c>
      <c r="G47" s="40" t="s">
        <v>1892</v>
      </c>
      <c r="H47" s="40" t="s">
        <v>1894</v>
      </c>
      <c r="I47" s="40" t="s">
        <v>1896</v>
      </c>
      <c r="J47" s="40" t="s">
        <v>1897</v>
      </c>
      <c r="K47" s="42" t="s">
        <v>201</v>
      </c>
      <c r="L47" s="40" t="s">
        <v>1900</v>
      </c>
      <c r="M47" s="76" t="s">
        <v>1420</v>
      </c>
      <c r="N47" s="35"/>
      <c r="O47" s="35"/>
    </row>
    <row r="48" ht="57.75" customHeight="1">
      <c r="A48" s="75" t="s">
        <v>1902</v>
      </c>
      <c r="B48" s="25" t="s">
        <v>80</v>
      </c>
      <c r="C48" s="25" t="s">
        <v>53</v>
      </c>
      <c r="D48" s="38" t="s">
        <v>13</v>
      </c>
      <c r="E48" s="31" t="s">
        <v>1905</v>
      </c>
      <c r="F48" s="31" t="s">
        <v>1907</v>
      </c>
      <c r="G48" s="31" t="s">
        <v>1909</v>
      </c>
      <c r="H48" s="31" t="s">
        <v>1911</v>
      </c>
      <c r="I48" s="31" t="s">
        <v>1913</v>
      </c>
      <c r="J48" s="31" t="s">
        <v>1915</v>
      </c>
      <c r="K48" s="36" t="s">
        <v>201</v>
      </c>
      <c r="L48" s="31" t="s">
        <v>1917</v>
      </c>
      <c r="M48" s="76" t="s">
        <v>1420</v>
      </c>
      <c r="N48" s="25"/>
      <c r="O48" s="25"/>
    </row>
    <row r="49" ht="57.75" customHeight="1">
      <c r="A49" s="75" t="s">
        <v>1918</v>
      </c>
      <c r="B49" s="35" t="s">
        <v>80</v>
      </c>
      <c r="C49" s="35" t="s">
        <v>53</v>
      </c>
      <c r="D49" s="38" t="s">
        <v>13</v>
      </c>
      <c r="E49" s="40" t="s">
        <v>1920</v>
      </c>
      <c r="F49" s="40">
        <v>5.0</v>
      </c>
      <c r="G49" s="40">
        <v>6.0</v>
      </c>
      <c r="H49" s="40">
        <v>7.0</v>
      </c>
      <c r="I49" s="40">
        <v>8.0</v>
      </c>
      <c r="J49" s="40">
        <v>9.0</v>
      </c>
      <c r="K49" s="42" t="s">
        <v>66</v>
      </c>
      <c r="L49" s="40" t="s">
        <v>1927</v>
      </c>
      <c r="M49" s="76" t="s">
        <v>1420</v>
      </c>
      <c r="N49" s="35"/>
      <c r="O49" s="35"/>
    </row>
    <row r="50" ht="57.75" customHeight="1">
      <c r="A50" s="75" t="s">
        <v>1929</v>
      </c>
      <c r="B50" s="25" t="s">
        <v>80</v>
      </c>
      <c r="C50" s="25" t="s">
        <v>53</v>
      </c>
      <c r="D50" s="38" t="s">
        <v>13</v>
      </c>
      <c r="E50" s="31" t="s">
        <v>1933</v>
      </c>
      <c r="F50" s="31" t="s">
        <v>1344</v>
      </c>
      <c r="G50" s="31" t="s">
        <v>1345</v>
      </c>
      <c r="H50" s="31" t="s">
        <v>1346</v>
      </c>
      <c r="I50" s="31" t="s">
        <v>1937</v>
      </c>
      <c r="J50" s="31" t="s">
        <v>1938</v>
      </c>
      <c r="K50" s="36" t="s">
        <v>201</v>
      </c>
      <c r="L50" s="31" t="s">
        <v>1940</v>
      </c>
      <c r="M50" s="76" t="s">
        <v>1420</v>
      </c>
      <c r="N50" s="25"/>
      <c r="O50" s="25"/>
    </row>
    <row r="51" ht="57.75" customHeight="1">
      <c r="A51" s="75" t="s">
        <v>1942</v>
      </c>
      <c r="B51" s="35" t="s">
        <v>80</v>
      </c>
      <c r="C51" s="35" t="s">
        <v>53</v>
      </c>
      <c r="D51" s="38" t="s">
        <v>13</v>
      </c>
      <c r="E51" s="40" t="s">
        <v>1943</v>
      </c>
      <c r="F51" s="40" t="s">
        <v>1944</v>
      </c>
      <c r="G51" s="40" t="s">
        <v>1945</v>
      </c>
      <c r="H51" s="40" t="s">
        <v>1946</v>
      </c>
      <c r="I51" s="40" t="s">
        <v>1947</v>
      </c>
      <c r="J51" s="40" t="s">
        <v>1948</v>
      </c>
      <c r="K51" s="42" t="s">
        <v>206</v>
      </c>
      <c r="L51" s="40" t="s">
        <v>1949</v>
      </c>
      <c r="M51" s="76" t="s">
        <v>1420</v>
      </c>
      <c r="N51" s="35"/>
      <c r="O51" s="35"/>
    </row>
    <row r="52" ht="57.75" customHeight="1">
      <c r="A52" s="75" t="s">
        <v>1950</v>
      </c>
      <c r="B52" s="25" t="s">
        <v>80</v>
      </c>
      <c r="C52" s="25" t="s">
        <v>53</v>
      </c>
      <c r="D52" s="38" t="s">
        <v>13</v>
      </c>
      <c r="E52" s="31" t="s">
        <v>1952</v>
      </c>
      <c r="F52" s="31" t="s">
        <v>1953</v>
      </c>
      <c r="G52" s="31" t="s">
        <v>1954</v>
      </c>
      <c r="H52" s="31" t="s">
        <v>1956</v>
      </c>
      <c r="I52" s="31" t="s">
        <v>1957</v>
      </c>
      <c r="J52" s="31" t="s">
        <v>1959</v>
      </c>
      <c r="K52" s="36" t="s">
        <v>201</v>
      </c>
      <c r="L52" s="31" t="s">
        <v>1962</v>
      </c>
      <c r="M52" s="76" t="s">
        <v>1420</v>
      </c>
      <c r="N52" s="25"/>
      <c r="O52" s="25"/>
    </row>
    <row r="53" ht="25.5" customHeight="1">
      <c r="A53" s="49" t="s">
        <v>1965</v>
      </c>
      <c r="B53" s="50"/>
      <c r="C53" s="50"/>
      <c r="D53" s="50"/>
      <c r="E53" s="50"/>
      <c r="F53" s="50"/>
      <c r="G53" s="50"/>
      <c r="H53" s="50"/>
      <c r="I53" s="50"/>
      <c r="J53" s="52"/>
      <c r="M53" s="77">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79" t="s">
        <v>1630</v>
      </c>
      <c r="B1" s="3"/>
      <c r="C1" s="3"/>
      <c r="D1" s="3"/>
      <c r="E1" s="3"/>
      <c r="F1" s="3"/>
      <c r="G1" s="3"/>
      <c r="H1" s="3"/>
      <c r="I1" s="3"/>
      <c r="J1" s="3"/>
      <c r="K1" s="3"/>
      <c r="L1" s="3"/>
      <c r="M1" s="3"/>
      <c r="N1" s="3"/>
      <c r="O1" s="4"/>
    </row>
    <row r="2" ht="30.0" customHeight="1">
      <c r="A2" s="80" t="s">
        <v>1645</v>
      </c>
      <c r="B2" s="3"/>
      <c r="C2" s="3"/>
      <c r="D2" s="3"/>
      <c r="E2" s="3"/>
      <c r="F2" s="3"/>
      <c r="G2" s="3"/>
      <c r="H2" s="3"/>
      <c r="I2" s="3"/>
      <c r="J2" s="3"/>
      <c r="K2" s="3"/>
      <c r="L2" s="3"/>
      <c r="M2" s="3"/>
      <c r="N2" s="3"/>
      <c r="O2" s="4"/>
    </row>
    <row r="3" ht="19.5" customHeight="1">
      <c r="A3" s="10" t="s">
        <v>11</v>
      </c>
      <c r="B3" s="3"/>
      <c r="C3" s="3"/>
      <c r="D3" s="3"/>
      <c r="E3" s="3"/>
      <c r="F3" s="3"/>
      <c r="G3" s="3"/>
      <c r="H3" s="3"/>
      <c r="I3" s="3"/>
      <c r="J3" s="3"/>
      <c r="K3" s="3"/>
      <c r="L3" s="3"/>
      <c r="M3" s="3"/>
      <c r="N3" s="3"/>
      <c r="O3" s="4"/>
    </row>
    <row r="4" ht="24.75" customHeight="1">
      <c r="A4" s="9" t="s">
        <v>22</v>
      </c>
      <c r="B4" s="9" t="s">
        <v>8</v>
      </c>
      <c r="C4" s="9" t="s">
        <v>14</v>
      </c>
      <c r="D4" s="9" t="s">
        <v>24</v>
      </c>
      <c r="E4" s="9" t="s">
        <v>25</v>
      </c>
      <c r="F4" s="9" t="s">
        <v>26</v>
      </c>
      <c r="G4" s="9" t="s">
        <v>27</v>
      </c>
      <c r="H4" s="9" t="s">
        <v>28</v>
      </c>
      <c r="I4" s="9" t="s">
        <v>29</v>
      </c>
      <c r="J4" s="9" t="s">
        <v>31</v>
      </c>
      <c r="K4" s="9" t="s">
        <v>32</v>
      </c>
      <c r="L4" s="9" t="s">
        <v>33</v>
      </c>
      <c r="M4" s="9" t="s">
        <v>17</v>
      </c>
      <c r="N4" s="9" t="s">
        <v>35</v>
      </c>
      <c r="O4" s="9" t="s">
        <v>36</v>
      </c>
    </row>
    <row r="5" ht="19.5" customHeight="1">
      <c r="A5" s="18" t="s">
        <v>37</v>
      </c>
      <c r="B5" s="3"/>
      <c r="C5" s="3"/>
      <c r="D5" s="3"/>
      <c r="E5" s="3"/>
      <c r="F5" s="3"/>
      <c r="G5" s="3"/>
      <c r="H5" s="3"/>
      <c r="I5" s="3"/>
      <c r="J5" s="3"/>
      <c r="K5" s="3"/>
      <c r="L5" s="3"/>
      <c r="M5" s="3"/>
      <c r="N5" s="3"/>
      <c r="O5" s="4"/>
    </row>
    <row r="6" ht="57.75" customHeight="1">
      <c r="A6" s="81" t="s">
        <v>1673</v>
      </c>
      <c r="B6" s="25" t="s">
        <v>89</v>
      </c>
      <c r="C6" s="25" t="s">
        <v>86</v>
      </c>
      <c r="D6" s="27" t="s">
        <v>10</v>
      </c>
      <c r="E6" s="31" t="s">
        <v>1678</v>
      </c>
      <c r="F6" s="33" t="s">
        <v>1679</v>
      </c>
      <c r="G6" s="31" t="s">
        <v>1680</v>
      </c>
      <c r="H6" s="33" t="s">
        <v>411</v>
      </c>
      <c r="I6" s="33" t="s">
        <v>1682</v>
      </c>
      <c r="J6" s="33" t="s">
        <v>1684</v>
      </c>
      <c r="K6" s="36" t="s">
        <v>66</v>
      </c>
      <c r="L6" s="31" t="s">
        <v>1687</v>
      </c>
      <c r="M6" s="76" t="s">
        <v>1420</v>
      </c>
      <c r="N6" s="25"/>
      <c r="O6" s="25"/>
    </row>
    <row r="7" ht="57.75" customHeight="1">
      <c r="A7" s="81" t="s">
        <v>1695</v>
      </c>
      <c r="B7" s="35" t="s">
        <v>89</v>
      </c>
      <c r="C7" s="35" t="s">
        <v>86</v>
      </c>
      <c r="D7" s="27" t="s">
        <v>10</v>
      </c>
      <c r="E7" s="40" t="s">
        <v>1699</v>
      </c>
      <c r="F7" s="40" t="s">
        <v>1701</v>
      </c>
      <c r="G7" s="40" t="s">
        <v>1702</v>
      </c>
      <c r="H7" s="40" t="s">
        <v>1703</v>
      </c>
      <c r="I7" s="40" t="s">
        <v>1704</v>
      </c>
      <c r="J7" s="40" t="s">
        <v>1706</v>
      </c>
      <c r="K7" s="42" t="s">
        <v>201</v>
      </c>
      <c r="L7" s="40" t="s">
        <v>1709</v>
      </c>
      <c r="M7" s="76" t="s">
        <v>1420</v>
      </c>
      <c r="N7" s="35"/>
      <c r="O7" s="35"/>
    </row>
    <row r="8" ht="57.75" customHeight="1">
      <c r="A8" s="81" t="s">
        <v>1712</v>
      </c>
      <c r="B8" s="25" t="s">
        <v>89</v>
      </c>
      <c r="C8" s="25" t="s">
        <v>86</v>
      </c>
      <c r="D8" s="27" t="s">
        <v>10</v>
      </c>
      <c r="E8" s="31" t="s">
        <v>1715</v>
      </c>
      <c r="F8" s="31" t="s">
        <v>1716</v>
      </c>
      <c r="G8" s="31" t="s">
        <v>1717</v>
      </c>
      <c r="H8" s="31" t="s">
        <v>1719</v>
      </c>
      <c r="I8" s="31" t="s">
        <v>1721</v>
      </c>
      <c r="J8" s="31" t="s">
        <v>1722</v>
      </c>
      <c r="K8" s="36" t="s">
        <v>66</v>
      </c>
      <c r="L8" s="31" t="s">
        <v>1725</v>
      </c>
      <c r="M8" s="76" t="s">
        <v>1420</v>
      </c>
      <c r="N8" s="25"/>
      <c r="O8" s="25"/>
    </row>
    <row r="9" ht="57.75" customHeight="1">
      <c r="A9" s="81" t="s">
        <v>1731</v>
      </c>
      <c r="B9" s="35" t="s">
        <v>89</v>
      </c>
      <c r="C9" s="35" t="s">
        <v>86</v>
      </c>
      <c r="D9" s="27" t="s">
        <v>10</v>
      </c>
      <c r="E9" s="40" t="s">
        <v>1733</v>
      </c>
      <c r="F9" s="40" t="s">
        <v>1736</v>
      </c>
      <c r="G9" s="40" t="s">
        <v>1737</v>
      </c>
      <c r="H9" s="40" t="s">
        <v>1738</v>
      </c>
      <c r="I9" s="40" t="s">
        <v>1740</v>
      </c>
      <c r="J9" s="40" t="s">
        <v>1741</v>
      </c>
      <c r="K9" s="42" t="s">
        <v>66</v>
      </c>
      <c r="L9" s="40" t="s">
        <v>1742</v>
      </c>
      <c r="M9" s="76" t="s">
        <v>1420</v>
      </c>
      <c r="N9" s="35"/>
      <c r="O9" s="35"/>
    </row>
    <row r="10" ht="57.75" customHeight="1">
      <c r="A10" s="81" t="s">
        <v>1744</v>
      </c>
      <c r="B10" s="25" t="s">
        <v>89</v>
      </c>
      <c r="C10" s="25" t="s">
        <v>86</v>
      </c>
      <c r="D10" s="27" t="s">
        <v>10</v>
      </c>
      <c r="E10" s="31" t="s">
        <v>1747</v>
      </c>
      <c r="F10" s="31" t="s">
        <v>1362</v>
      </c>
      <c r="G10" s="31" t="s">
        <v>1363</v>
      </c>
      <c r="H10" s="31" t="s">
        <v>1331</v>
      </c>
      <c r="I10" s="31" t="s">
        <v>1334</v>
      </c>
      <c r="J10" s="31" t="s">
        <v>1752</v>
      </c>
      <c r="K10" s="36" t="s">
        <v>136</v>
      </c>
      <c r="L10" s="31" t="s">
        <v>1758</v>
      </c>
      <c r="M10" s="76" t="s">
        <v>1420</v>
      </c>
      <c r="N10" s="25"/>
      <c r="O10" s="25"/>
    </row>
    <row r="11" ht="57.75" customHeight="1">
      <c r="A11" s="81" t="s">
        <v>1764</v>
      </c>
      <c r="B11" s="35" t="s">
        <v>89</v>
      </c>
      <c r="C11" s="35" t="s">
        <v>86</v>
      </c>
      <c r="D11" s="27" t="s">
        <v>10</v>
      </c>
      <c r="E11" s="40" t="s">
        <v>1769</v>
      </c>
      <c r="F11" s="40" t="s">
        <v>1333</v>
      </c>
      <c r="G11" s="40" t="s">
        <v>1772</v>
      </c>
      <c r="H11" s="40" t="s">
        <v>1773</v>
      </c>
      <c r="I11" s="40" t="s">
        <v>408</v>
      </c>
      <c r="J11" s="40" t="s">
        <v>1775</v>
      </c>
      <c r="K11" s="42" t="s">
        <v>108</v>
      </c>
      <c r="L11" s="40" t="s">
        <v>1777</v>
      </c>
      <c r="M11" s="76" t="s">
        <v>1420</v>
      </c>
      <c r="N11" s="35"/>
      <c r="O11" s="35"/>
    </row>
    <row r="12" ht="57.75" customHeight="1">
      <c r="A12" s="81" t="s">
        <v>1779</v>
      </c>
      <c r="B12" s="25" t="s">
        <v>89</v>
      </c>
      <c r="C12" s="25" t="s">
        <v>86</v>
      </c>
      <c r="D12" s="27" t="s">
        <v>10</v>
      </c>
      <c r="E12" s="31" t="s">
        <v>1787</v>
      </c>
      <c r="F12" s="33" t="s">
        <v>1788</v>
      </c>
      <c r="G12" s="31" t="s">
        <v>1789</v>
      </c>
      <c r="H12" s="31" t="s">
        <v>1791</v>
      </c>
      <c r="I12" s="33" t="s">
        <v>1792</v>
      </c>
      <c r="J12" s="31" t="s">
        <v>1793</v>
      </c>
      <c r="K12" s="36" t="s">
        <v>201</v>
      </c>
      <c r="L12" s="31" t="s">
        <v>1796</v>
      </c>
      <c r="M12" s="76" t="s">
        <v>1420</v>
      </c>
      <c r="N12" s="25"/>
      <c r="O12" s="25"/>
    </row>
    <row r="13" ht="57.75" customHeight="1">
      <c r="A13" s="81" t="s">
        <v>1800</v>
      </c>
      <c r="B13" s="35" t="s">
        <v>89</v>
      </c>
      <c r="C13" s="35" t="s">
        <v>86</v>
      </c>
      <c r="D13" s="27" t="s">
        <v>10</v>
      </c>
      <c r="E13" s="40" t="s">
        <v>1802</v>
      </c>
      <c r="F13" s="40" t="s">
        <v>1804</v>
      </c>
      <c r="G13" s="40" t="s">
        <v>1806</v>
      </c>
      <c r="H13" s="40" t="s">
        <v>1807</v>
      </c>
      <c r="I13" s="40" t="s">
        <v>1810</v>
      </c>
      <c r="J13" s="40" t="s">
        <v>1812</v>
      </c>
      <c r="K13" s="42" t="s">
        <v>66</v>
      </c>
      <c r="L13" s="40" t="s">
        <v>1816</v>
      </c>
      <c r="M13" s="76" t="s">
        <v>1420</v>
      </c>
      <c r="N13" s="35"/>
      <c r="O13" s="35"/>
    </row>
    <row r="14" ht="57.75" customHeight="1">
      <c r="A14" s="81" t="s">
        <v>1820</v>
      </c>
      <c r="B14" s="25" t="s">
        <v>89</v>
      </c>
      <c r="C14" s="25" t="s">
        <v>86</v>
      </c>
      <c r="D14" s="27" t="s">
        <v>10</v>
      </c>
      <c r="E14" s="31" t="s">
        <v>1826</v>
      </c>
      <c r="F14" s="31" t="s">
        <v>1829</v>
      </c>
      <c r="G14" s="31" t="s">
        <v>1832</v>
      </c>
      <c r="H14" s="31" t="s">
        <v>1833</v>
      </c>
      <c r="I14" s="31" t="s">
        <v>1835</v>
      </c>
      <c r="J14" s="31" t="s">
        <v>1837</v>
      </c>
      <c r="K14" s="36" t="s">
        <v>108</v>
      </c>
      <c r="L14" s="31" t="s">
        <v>1839</v>
      </c>
      <c r="M14" s="76" t="s">
        <v>1420</v>
      </c>
      <c r="N14" s="25"/>
      <c r="O14" s="25"/>
    </row>
    <row r="15" ht="57.75" customHeight="1">
      <c r="A15" s="81" t="s">
        <v>1845</v>
      </c>
      <c r="B15" s="35" t="s">
        <v>89</v>
      </c>
      <c r="C15" s="35" t="s">
        <v>86</v>
      </c>
      <c r="D15" s="27" t="s">
        <v>10</v>
      </c>
      <c r="E15" s="40" t="s">
        <v>1851</v>
      </c>
      <c r="F15" s="40" t="s">
        <v>1854</v>
      </c>
      <c r="G15" s="40" t="s">
        <v>1855</v>
      </c>
      <c r="H15" s="40" t="s">
        <v>1856</v>
      </c>
      <c r="I15" s="40" t="s">
        <v>1858</v>
      </c>
      <c r="J15" s="40" t="s">
        <v>1862</v>
      </c>
      <c r="K15" s="42" t="s">
        <v>136</v>
      </c>
      <c r="L15" s="40" t="s">
        <v>1866</v>
      </c>
      <c r="M15" s="76" t="s">
        <v>1420</v>
      </c>
      <c r="N15" s="35"/>
      <c r="O15" s="35"/>
    </row>
    <row r="16" ht="57.75" customHeight="1">
      <c r="A16" s="81" t="s">
        <v>1869</v>
      </c>
      <c r="B16" s="25" t="s">
        <v>89</v>
      </c>
      <c r="C16" s="25" t="s">
        <v>86</v>
      </c>
      <c r="D16" s="27" t="s">
        <v>10</v>
      </c>
      <c r="E16" s="31" t="s">
        <v>1871</v>
      </c>
      <c r="F16" s="31" t="s">
        <v>409</v>
      </c>
      <c r="G16" s="31" t="s">
        <v>1874</v>
      </c>
      <c r="H16" s="31" t="s">
        <v>1875</v>
      </c>
      <c r="I16" s="31" t="s">
        <v>1876</v>
      </c>
      <c r="J16" s="31" t="s">
        <v>1877</v>
      </c>
      <c r="K16" s="36" t="s">
        <v>108</v>
      </c>
      <c r="L16" s="31" t="s">
        <v>1887</v>
      </c>
      <c r="M16" s="76" t="s">
        <v>1420</v>
      </c>
      <c r="N16" s="25"/>
      <c r="O16" s="25"/>
    </row>
    <row r="17" ht="57.75" customHeight="1">
      <c r="A17" s="81" t="s">
        <v>1888</v>
      </c>
      <c r="B17" s="35" t="s">
        <v>89</v>
      </c>
      <c r="C17" s="35" t="s">
        <v>86</v>
      </c>
      <c r="D17" s="27" t="s">
        <v>10</v>
      </c>
      <c r="E17" s="40" t="s">
        <v>1891</v>
      </c>
      <c r="F17" s="40" t="s">
        <v>1893</v>
      </c>
      <c r="G17" s="40" t="s">
        <v>1895</v>
      </c>
      <c r="H17" s="40" t="s">
        <v>1898</v>
      </c>
      <c r="I17" s="40" t="s">
        <v>1899</v>
      </c>
      <c r="J17" s="40" t="s">
        <v>325</v>
      </c>
      <c r="K17" s="42" t="s">
        <v>66</v>
      </c>
      <c r="L17" s="40" t="s">
        <v>1901</v>
      </c>
      <c r="M17" s="76" t="s">
        <v>1420</v>
      </c>
      <c r="N17" s="35"/>
      <c r="O17" s="35"/>
    </row>
    <row r="18" ht="57.75" customHeight="1">
      <c r="A18" s="81" t="s">
        <v>1903</v>
      </c>
      <c r="B18" s="25" t="s">
        <v>89</v>
      </c>
      <c r="C18" s="25" t="s">
        <v>86</v>
      </c>
      <c r="D18" s="27" t="s">
        <v>10</v>
      </c>
      <c r="E18" s="31" t="s">
        <v>1904</v>
      </c>
      <c r="F18" s="31" t="s">
        <v>1906</v>
      </c>
      <c r="G18" s="31" t="s">
        <v>1908</v>
      </c>
      <c r="H18" s="31" t="s">
        <v>1910</v>
      </c>
      <c r="I18" s="31" t="s">
        <v>1912</v>
      </c>
      <c r="J18" s="31" t="s">
        <v>1914</v>
      </c>
      <c r="K18" s="36" t="s">
        <v>66</v>
      </c>
      <c r="L18" s="31" t="s">
        <v>1916</v>
      </c>
      <c r="M18" s="76" t="s">
        <v>1420</v>
      </c>
      <c r="N18" s="25"/>
      <c r="O18" s="25"/>
    </row>
    <row r="19" ht="57.75" customHeight="1">
      <c r="A19" s="81" t="s">
        <v>1919</v>
      </c>
      <c r="B19" s="35" t="s">
        <v>89</v>
      </c>
      <c r="C19" s="35" t="s">
        <v>86</v>
      </c>
      <c r="D19" s="27" t="s">
        <v>10</v>
      </c>
      <c r="E19" s="40" t="s">
        <v>1921</v>
      </c>
      <c r="F19" s="40" t="s">
        <v>1922</v>
      </c>
      <c r="G19" s="40" t="s">
        <v>1923</v>
      </c>
      <c r="H19" s="40" t="s">
        <v>1924</v>
      </c>
      <c r="I19" s="40" t="s">
        <v>1925</v>
      </c>
      <c r="J19" s="40" t="s">
        <v>1926</v>
      </c>
      <c r="K19" s="42" t="s">
        <v>201</v>
      </c>
      <c r="L19" s="40" t="s">
        <v>1928</v>
      </c>
      <c r="M19" s="76" t="s">
        <v>1420</v>
      </c>
      <c r="N19" s="35"/>
      <c r="O19" s="35"/>
    </row>
    <row r="20" ht="57.75" customHeight="1">
      <c r="A20" s="81" t="s">
        <v>1930</v>
      </c>
      <c r="B20" s="25" t="s">
        <v>89</v>
      </c>
      <c r="C20" s="25" t="s">
        <v>86</v>
      </c>
      <c r="D20" s="27" t="s">
        <v>10</v>
      </c>
      <c r="E20" s="31" t="s">
        <v>1931</v>
      </c>
      <c r="F20" s="31" t="s">
        <v>1932</v>
      </c>
      <c r="G20" s="31" t="s">
        <v>1934</v>
      </c>
      <c r="H20" s="31" t="s">
        <v>1924</v>
      </c>
      <c r="I20" s="31" t="s">
        <v>1935</v>
      </c>
      <c r="J20" s="31" t="s">
        <v>1936</v>
      </c>
      <c r="K20" s="36" t="s">
        <v>108</v>
      </c>
      <c r="L20" s="31" t="s">
        <v>1939</v>
      </c>
      <c r="M20" s="76" t="s">
        <v>1420</v>
      </c>
      <c r="N20" s="25"/>
      <c r="O20" s="25"/>
    </row>
    <row r="21" ht="19.5" customHeight="1">
      <c r="A21" s="61" t="s">
        <v>255</v>
      </c>
      <c r="B21" s="3"/>
      <c r="C21" s="3"/>
      <c r="D21" s="3"/>
      <c r="E21" s="3"/>
      <c r="F21" s="3"/>
      <c r="G21" s="3"/>
      <c r="H21" s="3"/>
      <c r="I21" s="3"/>
      <c r="J21" s="3"/>
      <c r="K21" s="3"/>
      <c r="L21" s="3"/>
      <c r="M21" s="3"/>
      <c r="N21" s="3"/>
      <c r="O21" s="4"/>
    </row>
    <row r="22" ht="57.75" customHeight="1">
      <c r="A22" s="81" t="s">
        <v>1963</v>
      </c>
      <c r="B22" s="35" t="s">
        <v>89</v>
      </c>
      <c r="C22" s="35" t="s">
        <v>86</v>
      </c>
      <c r="D22" s="17" t="s">
        <v>12</v>
      </c>
      <c r="E22" s="40" t="s">
        <v>1966</v>
      </c>
      <c r="F22" s="40" t="s">
        <v>1967</v>
      </c>
      <c r="G22" s="40" t="s">
        <v>1968</v>
      </c>
      <c r="H22" s="40" t="s">
        <v>1969</v>
      </c>
      <c r="I22" s="40" t="s">
        <v>1970</v>
      </c>
      <c r="J22" s="40" t="s">
        <v>1971</v>
      </c>
      <c r="K22" s="42" t="s">
        <v>136</v>
      </c>
      <c r="L22" s="40" t="s">
        <v>1973</v>
      </c>
      <c r="M22" s="76" t="s">
        <v>1420</v>
      </c>
      <c r="N22" s="35"/>
      <c r="O22" s="35"/>
    </row>
    <row r="23" ht="57.75" customHeight="1">
      <c r="A23" s="81" t="s">
        <v>1974</v>
      </c>
      <c r="B23" s="25" t="s">
        <v>89</v>
      </c>
      <c r="C23" s="25" t="s">
        <v>86</v>
      </c>
      <c r="D23" s="17" t="s">
        <v>12</v>
      </c>
      <c r="E23" s="31" t="s">
        <v>1975</v>
      </c>
      <c r="F23" s="31" t="s">
        <v>1976</v>
      </c>
      <c r="G23" s="31" t="s">
        <v>1977</v>
      </c>
      <c r="H23" s="31" t="s">
        <v>1978</v>
      </c>
      <c r="I23" s="31" t="s">
        <v>1983</v>
      </c>
      <c r="J23" s="31" t="s">
        <v>1984</v>
      </c>
      <c r="K23" s="36" t="s">
        <v>136</v>
      </c>
      <c r="L23" s="31" t="s">
        <v>1986</v>
      </c>
      <c r="M23" s="76" t="s">
        <v>1420</v>
      </c>
      <c r="N23" s="25"/>
      <c r="O23" s="25"/>
    </row>
    <row r="24" ht="57.75" customHeight="1">
      <c r="A24" s="81" t="s">
        <v>1987</v>
      </c>
      <c r="B24" s="35" t="s">
        <v>89</v>
      </c>
      <c r="C24" s="35" t="s">
        <v>86</v>
      </c>
      <c r="D24" s="17" t="s">
        <v>12</v>
      </c>
      <c r="E24" s="40" t="s">
        <v>1989</v>
      </c>
      <c r="F24" s="40" t="s">
        <v>1990</v>
      </c>
      <c r="G24" s="40" t="s">
        <v>1991</v>
      </c>
      <c r="H24" s="40" t="s">
        <v>1992</v>
      </c>
      <c r="I24" s="40" t="s">
        <v>1993</v>
      </c>
      <c r="J24" s="40" t="s">
        <v>1995</v>
      </c>
      <c r="K24" s="42" t="s">
        <v>136</v>
      </c>
      <c r="L24" s="40" t="s">
        <v>1996</v>
      </c>
      <c r="M24" s="76" t="s">
        <v>1420</v>
      </c>
      <c r="N24" s="35"/>
      <c r="O24" s="35"/>
    </row>
    <row r="25" ht="57.75" customHeight="1">
      <c r="A25" s="81" t="s">
        <v>1997</v>
      </c>
      <c r="B25" s="25" t="s">
        <v>89</v>
      </c>
      <c r="C25" s="25" t="s">
        <v>86</v>
      </c>
      <c r="D25" s="17" t="s">
        <v>12</v>
      </c>
      <c r="E25" s="31" t="s">
        <v>1999</v>
      </c>
      <c r="F25" s="31" t="s">
        <v>321</v>
      </c>
      <c r="G25" s="31" t="s">
        <v>323</v>
      </c>
      <c r="H25" s="31" t="s">
        <v>2000</v>
      </c>
      <c r="I25" s="31" t="s">
        <v>2001</v>
      </c>
      <c r="J25" s="31" t="s">
        <v>1606</v>
      </c>
      <c r="K25" s="36" t="s">
        <v>108</v>
      </c>
      <c r="L25" s="31" t="s">
        <v>2002</v>
      </c>
      <c r="M25" s="76" t="s">
        <v>1420</v>
      </c>
      <c r="N25" s="25"/>
      <c r="O25" s="25"/>
    </row>
    <row r="26" ht="57.75" customHeight="1">
      <c r="A26" s="81" t="s">
        <v>2004</v>
      </c>
      <c r="B26" s="35" t="s">
        <v>89</v>
      </c>
      <c r="C26" s="35" t="s">
        <v>86</v>
      </c>
      <c r="D26" s="17" t="s">
        <v>12</v>
      </c>
      <c r="E26" s="40" t="s">
        <v>2005</v>
      </c>
      <c r="F26" s="40" t="s">
        <v>2007</v>
      </c>
      <c r="G26" s="40" t="s">
        <v>347</v>
      </c>
      <c r="H26" s="40" t="s">
        <v>2008</v>
      </c>
      <c r="I26" s="40" t="s">
        <v>669</v>
      </c>
      <c r="J26" s="40" t="s">
        <v>2010</v>
      </c>
      <c r="K26" s="42" t="s">
        <v>66</v>
      </c>
      <c r="L26" s="40" t="s">
        <v>2012</v>
      </c>
      <c r="M26" s="76" t="s">
        <v>1420</v>
      </c>
      <c r="N26" s="35"/>
      <c r="O26" s="35"/>
    </row>
    <row r="27" ht="57.75" customHeight="1">
      <c r="A27" s="81" t="s">
        <v>2016</v>
      </c>
      <c r="B27" s="25" t="s">
        <v>89</v>
      </c>
      <c r="C27" s="25" t="s">
        <v>86</v>
      </c>
      <c r="D27" s="17" t="s">
        <v>12</v>
      </c>
      <c r="E27" s="31" t="s">
        <v>2018</v>
      </c>
      <c r="F27" s="31" t="s">
        <v>2019</v>
      </c>
      <c r="G27" s="31" t="s">
        <v>2021</v>
      </c>
      <c r="H27" s="31" t="s">
        <v>2022</v>
      </c>
      <c r="I27" s="31" t="s">
        <v>2023</v>
      </c>
      <c r="J27" s="31" t="s">
        <v>2024</v>
      </c>
      <c r="K27" s="36" t="s">
        <v>66</v>
      </c>
      <c r="L27" s="31" t="s">
        <v>2025</v>
      </c>
      <c r="M27" s="76" t="s">
        <v>1420</v>
      </c>
      <c r="N27" s="25"/>
      <c r="O27" s="25"/>
    </row>
    <row r="28" ht="57.75" customHeight="1">
      <c r="A28" s="81" t="s">
        <v>2027</v>
      </c>
      <c r="B28" s="35" t="s">
        <v>89</v>
      </c>
      <c r="C28" s="35" t="s">
        <v>86</v>
      </c>
      <c r="D28" s="17" t="s">
        <v>12</v>
      </c>
      <c r="E28" s="40" t="s">
        <v>2031</v>
      </c>
      <c r="F28" s="40" t="s">
        <v>325</v>
      </c>
      <c r="G28" s="40" t="s">
        <v>1606</v>
      </c>
      <c r="H28" s="40" t="s">
        <v>2033</v>
      </c>
      <c r="I28" s="40" t="s">
        <v>2035</v>
      </c>
      <c r="J28" s="40" t="s">
        <v>2036</v>
      </c>
      <c r="K28" s="42" t="s">
        <v>66</v>
      </c>
      <c r="L28" s="40" t="s">
        <v>2038</v>
      </c>
      <c r="M28" s="76" t="s">
        <v>1420</v>
      </c>
      <c r="N28" s="35"/>
      <c r="O28" s="35"/>
    </row>
    <row r="29" ht="57.75" customHeight="1">
      <c r="A29" s="81" t="s">
        <v>2040</v>
      </c>
      <c r="B29" s="25" t="s">
        <v>89</v>
      </c>
      <c r="C29" s="25" t="s">
        <v>86</v>
      </c>
      <c r="D29" s="17" t="s">
        <v>12</v>
      </c>
      <c r="E29" s="31" t="s">
        <v>2041</v>
      </c>
      <c r="F29" s="31" t="s">
        <v>2042</v>
      </c>
      <c r="G29" s="31" t="s">
        <v>1703</v>
      </c>
      <c r="H29" s="31" t="s">
        <v>2044</v>
      </c>
      <c r="I29" s="31" t="s">
        <v>2045</v>
      </c>
      <c r="J29" s="31" t="s">
        <v>2046</v>
      </c>
      <c r="K29" s="36" t="s">
        <v>66</v>
      </c>
      <c r="L29" s="31" t="s">
        <v>2047</v>
      </c>
      <c r="M29" s="76" t="s">
        <v>1420</v>
      </c>
      <c r="N29" s="25"/>
      <c r="O29" s="25"/>
    </row>
    <row r="30" ht="57.75" customHeight="1">
      <c r="A30" s="81" t="s">
        <v>2050</v>
      </c>
      <c r="B30" s="35" t="s">
        <v>89</v>
      </c>
      <c r="C30" s="35" t="s">
        <v>86</v>
      </c>
      <c r="D30" s="17" t="s">
        <v>12</v>
      </c>
      <c r="E30" s="40" t="s">
        <v>2052</v>
      </c>
      <c r="F30" s="40" t="s">
        <v>2054</v>
      </c>
      <c r="G30" s="40" t="s">
        <v>2055</v>
      </c>
      <c r="H30" s="40" t="s">
        <v>2057</v>
      </c>
      <c r="I30" s="40" t="s">
        <v>2058</v>
      </c>
      <c r="J30" s="40" t="s">
        <v>2059</v>
      </c>
      <c r="K30" s="42" t="s">
        <v>108</v>
      </c>
      <c r="L30" s="40" t="s">
        <v>2061</v>
      </c>
      <c r="M30" s="76" t="s">
        <v>1420</v>
      </c>
      <c r="N30" s="35"/>
      <c r="O30" s="35"/>
    </row>
    <row r="31" ht="57.75" customHeight="1">
      <c r="A31" s="81" t="s">
        <v>2063</v>
      </c>
      <c r="B31" s="25" t="s">
        <v>89</v>
      </c>
      <c r="C31" s="25" t="s">
        <v>86</v>
      </c>
      <c r="D31" s="17" t="s">
        <v>12</v>
      </c>
      <c r="E31" s="31" t="s">
        <v>2064</v>
      </c>
      <c r="F31" s="31" t="s">
        <v>2065</v>
      </c>
      <c r="G31" s="31" t="s">
        <v>2066</v>
      </c>
      <c r="H31" s="31" t="s">
        <v>2067</v>
      </c>
      <c r="I31" s="31" t="s">
        <v>2068</v>
      </c>
      <c r="J31" s="31" t="s">
        <v>2070</v>
      </c>
      <c r="K31" s="36" t="s">
        <v>108</v>
      </c>
      <c r="L31" s="31" t="s">
        <v>2072</v>
      </c>
      <c r="M31" s="76" t="s">
        <v>1420</v>
      </c>
      <c r="N31" s="25"/>
      <c r="O31" s="25"/>
    </row>
    <row r="32" ht="57.75" customHeight="1">
      <c r="A32" s="81" t="s">
        <v>2075</v>
      </c>
      <c r="B32" s="35" t="s">
        <v>89</v>
      </c>
      <c r="C32" s="35" t="s">
        <v>86</v>
      </c>
      <c r="D32" s="17" t="s">
        <v>12</v>
      </c>
      <c r="E32" s="40" t="s">
        <v>2078</v>
      </c>
      <c r="F32" s="40" t="s">
        <v>2079</v>
      </c>
      <c r="G32" s="40" t="s">
        <v>2080</v>
      </c>
      <c r="H32" s="40" t="s">
        <v>2082</v>
      </c>
      <c r="I32" s="40" t="s">
        <v>2051</v>
      </c>
      <c r="J32" s="40" t="s">
        <v>2049</v>
      </c>
      <c r="K32" s="42" t="s">
        <v>108</v>
      </c>
      <c r="L32" s="40" t="s">
        <v>2083</v>
      </c>
      <c r="M32" s="76" t="s">
        <v>1420</v>
      </c>
      <c r="N32" s="35"/>
      <c r="O32" s="35"/>
    </row>
    <row r="33" ht="57.75" customHeight="1">
      <c r="A33" s="81" t="s">
        <v>2085</v>
      </c>
      <c r="B33" s="25" t="s">
        <v>89</v>
      </c>
      <c r="C33" s="25" t="s">
        <v>86</v>
      </c>
      <c r="D33" s="17" t="s">
        <v>12</v>
      </c>
      <c r="E33" s="31" t="s">
        <v>2086</v>
      </c>
      <c r="F33" s="31" t="s">
        <v>2087</v>
      </c>
      <c r="G33" s="31" t="s">
        <v>2089</v>
      </c>
      <c r="H33" s="31" t="s">
        <v>2090</v>
      </c>
      <c r="I33" s="31" t="s">
        <v>2091</v>
      </c>
      <c r="J33" s="31" t="s">
        <v>2093</v>
      </c>
      <c r="K33" s="36" t="s">
        <v>108</v>
      </c>
      <c r="L33" s="31" t="s">
        <v>2096</v>
      </c>
      <c r="M33" s="76" t="s">
        <v>1420</v>
      </c>
      <c r="N33" s="25"/>
      <c r="O33" s="25"/>
    </row>
    <row r="34" ht="57.75" customHeight="1">
      <c r="A34" s="81" t="s">
        <v>2099</v>
      </c>
      <c r="B34" s="35" t="s">
        <v>89</v>
      </c>
      <c r="C34" s="35" t="s">
        <v>86</v>
      </c>
      <c r="D34" s="17" t="s">
        <v>12</v>
      </c>
      <c r="E34" s="40" t="s">
        <v>2101</v>
      </c>
      <c r="F34" s="40" t="s">
        <v>2102</v>
      </c>
      <c r="G34" s="40" t="s">
        <v>2103</v>
      </c>
      <c r="H34" s="40" t="s">
        <v>2104</v>
      </c>
      <c r="I34" s="40" t="s">
        <v>2106</v>
      </c>
      <c r="J34" s="40" t="s">
        <v>2107</v>
      </c>
      <c r="K34" s="42" t="s">
        <v>108</v>
      </c>
      <c r="L34" s="40" t="s">
        <v>2108</v>
      </c>
      <c r="M34" s="76" t="s">
        <v>1420</v>
      </c>
      <c r="N34" s="35"/>
      <c r="O34" s="35"/>
    </row>
    <row r="35" ht="57.75" customHeight="1">
      <c r="A35" s="81" t="s">
        <v>2109</v>
      </c>
      <c r="B35" s="25" t="s">
        <v>89</v>
      </c>
      <c r="C35" s="25" t="s">
        <v>86</v>
      </c>
      <c r="D35" s="17" t="s">
        <v>12</v>
      </c>
      <c r="E35" s="31" t="s">
        <v>2112</v>
      </c>
      <c r="F35" s="31" t="s">
        <v>2113</v>
      </c>
      <c r="G35" s="31" t="s">
        <v>2114</v>
      </c>
      <c r="H35" s="31" t="s">
        <v>2116</v>
      </c>
      <c r="I35" s="31" t="s">
        <v>2117</v>
      </c>
      <c r="J35" s="31" t="s">
        <v>2119</v>
      </c>
      <c r="K35" s="36" t="s">
        <v>206</v>
      </c>
      <c r="L35" s="31" t="s">
        <v>2121</v>
      </c>
      <c r="M35" s="76" t="s">
        <v>1420</v>
      </c>
      <c r="N35" s="25"/>
      <c r="O35" s="25"/>
    </row>
    <row r="36" ht="57.75" customHeight="1">
      <c r="A36" s="81" t="s">
        <v>2123</v>
      </c>
      <c r="B36" s="35" t="s">
        <v>89</v>
      </c>
      <c r="C36" s="35" t="s">
        <v>86</v>
      </c>
      <c r="D36" s="17" t="s">
        <v>12</v>
      </c>
      <c r="E36" s="40" t="s">
        <v>2124</v>
      </c>
      <c r="F36" s="40" t="s">
        <v>2126</v>
      </c>
      <c r="G36" s="40" t="s">
        <v>2127</v>
      </c>
      <c r="H36" s="40" t="s">
        <v>1991</v>
      </c>
      <c r="I36" s="40" t="s">
        <v>2128</v>
      </c>
      <c r="J36" s="40" t="s">
        <v>2129</v>
      </c>
      <c r="K36" s="42" t="s">
        <v>66</v>
      </c>
      <c r="L36" s="40" t="s">
        <v>2131</v>
      </c>
      <c r="M36" s="76" t="s">
        <v>1420</v>
      </c>
      <c r="N36" s="35"/>
      <c r="O36" s="35"/>
    </row>
    <row r="37" ht="19.5" customHeight="1">
      <c r="A37" s="69" t="s">
        <v>435</v>
      </c>
      <c r="B37" s="3"/>
      <c r="C37" s="3"/>
      <c r="D37" s="3"/>
      <c r="E37" s="3"/>
      <c r="F37" s="3"/>
      <c r="G37" s="3"/>
      <c r="H37" s="3"/>
      <c r="I37" s="3"/>
      <c r="J37" s="3"/>
      <c r="K37" s="3"/>
      <c r="L37" s="3"/>
      <c r="M37" s="3"/>
      <c r="N37" s="3"/>
      <c r="O37" s="4"/>
    </row>
    <row r="38" ht="57.75" customHeight="1">
      <c r="A38" s="81" t="s">
        <v>2139</v>
      </c>
      <c r="B38" s="25" t="s">
        <v>89</v>
      </c>
      <c r="C38" s="25" t="s">
        <v>86</v>
      </c>
      <c r="D38" s="38" t="s">
        <v>13</v>
      </c>
      <c r="E38" s="31" t="s">
        <v>2144</v>
      </c>
      <c r="F38" s="31">
        <v>1200.0</v>
      </c>
      <c r="G38" s="31">
        <v>1320.0</v>
      </c>
      <c r="H38" s="31">
        <v>1408.0</v>
      </c>
      <c r="I38" s="31">
        <v>1540.0</v>
      </c>
      <c r="J38" s="31">
        <v>1600.0</v>
      </c>
      <c r="K38" s="36" t="s">
        <v>108</v>
      </c>
      <c r="L38" s="31" t="s">
        <v>2148</v>
      </c>
      <c r="M38" s="76" t="s">
        <v>1420</v>
      </c>
      <c r="N38" s="25"/>
      <c r="O38" s="25"/>
    </row>
    <row r="39" ht="57.75" customHeight="1">
      <c r="A39" s="81" t="s">
        <v>2149</v>
      </c>
      <c r="B39" s="35" t="s">
        <v>89</v>
      </c>
      <c r="C39" s="35" t="s">
        <v>86</v>
      </c>
      <c r="D39" s="38" t="s">
        <v>13</v>
      </c>
      <c r="E39" s="40" t="s">
        <v>2151</v>
      </c>
      <c r="F39" s="40" t="s">
        <v>2152</v>
      </c>
      <c r="G39" s="40" t="s">
        <v>2153</v>
      </c>
      <c r="H39" s="40" t="s">
        <v>2154</v>
      </c>
      <c r="I39" s="40" t="s">
        <v>2156</v>
      </c>
      <c r="J39" s="40" t="s">
        <v>2157</v>
      </c>
      <c r="K39" s="42" t="s">
        <v>108</v>
      </c>
      <c r="L39" s="40" t="s">
        <v>2159</v>
      </c>
      <c r="M39" s="76" t="s">
        <v>1420</v>
      </c>
      <c r="N39" s="35"/>
      <c r="O39" s="35"/>
    </row>
    <row r="40" ht="57.75" customHeight="1">
      <c r="A40" s="81" t="s">
        <v>2162</v>
      </c>
      <c r="B40" s="25" t="s">
        <v>89</v>
      </c>
      <c r="C40" s="25" t="s">
        <v>86</v>
      </c>
      <c r="D40" s="38" t="s">
        <v>13</v>
      </c>
      <c r="E40" s="31" t="s">
        <v>2165</v>
      </c>
      <c r="F40" s="31">
        <v>100.0</v>
      </c>
      <c r="G40" s="31">
        <v>150.0</v>
      </c>
      <c r="H40" s="31">
        <v>200.0</v>
      </c>
      <c r="I40" s="31">
        <v>250.0</v>
      </c>
      <c r="J40" s="31">
        <v>300.0</v>
      </c>
      <c r="K40" s="36" t="s">
        <v>108</v>
      </c>
      <c r="L40" s="31" t="s">
        <v>2167</v>
      </c>
      <c r="M40" s="76" t="s">
        <v>1420</v>
      </c>
      <c r="N40" s="25"/>
      <c r="O40" s="25"/>
    </row>
    <row r="41" ht="57.75" customHeight="1">
      <c r="A41" s="81" t="s">
        <v>2169</v>
      </c>
      <c r="B41" s="35" t="s">
        <v>89</v>
      </c>
      <c r="C41" s="35" t="s">
        <v>86</v>
      </c>
      <c r="D41" s="38" t="s">
        <v>13</v>
      </c>
      <c r="E41" s="40" t="s">
        <v>2170</v>
      </c>
      <c r="F41" s="40">
        <v>2.0</v>
      </c>
      <c r="G41" s="40">
        <v>3.0</v>
      </c>
      <c r="H41" s="40">
        <v>4.0</v>
      </c>
      <c r="I41" s="40">
        <v>5.0</v>
      </c>
      <c r="J41" s="40">
        <v>6.0</v>
      </c>
      <c r="K41" s="42" t="s">
        <v>66</v>
      </c>
      <c r="L41" s="40" t="s">
        <v>2172</v>
      </c>
      <c r="M41" s="76" t="s">
        <v>1420</v>
      </c>
      <c r="N41" s="35"/>
      <c r="O41" s="35"/>
    </row>
    <row r="42" ht="57.75" customHeight="1">
      <c r="A42" s="81" t="s">
        <v>2173</v>
      </c>
      <c r="B42" s="25" t="s">
        <v>89</v>
      </c>
      <c r="C42" s="25" t="s">
        <v>86</v>
      </c>
      <c r="D42" s="38" t="s">
        <v>13</v>
      </c>
      <c r="E42" s="31" t="s">
        <v>2175</v>
      </c>
      <c r="F42" s="31">
        <v>624.0</v>
      </c>
      <c r="G42" s="31">
        <v>636.0</v>
      </c>
      <c r="H42" s="31">
        <v>646.0</v>
      </c>
      <c r="I42" s="31">
        <v>656.0</v>
      </c>
      <c r="J42" s="31">
        <v>672.0</v>
      </c>
      <c r="K42" s="36" t="s">
        <v>108</v>
      </c>
      <c r="L42" s="31" t="s">
        <v>2177</v>
      </c>
      <c r="M42" s="76" t="s">
        <v>1420</v>
      </c>
      <c r="N42" s="25"/>
      <c r="O42" s="25"/>
    </row>
    <row r="43" ht="57.75" customHeight="1">
      <c r="A43" s="81" t="s">
        <v>2178</v>
      </c>
      <c r="B43" s="35" t="s">
        <v>89</v>
      </c>
      <c r="C43" s="35" t="s">
        <v>86</v>
      </c>
      <c r="D43" s="38" t="s">
        <v>13</v>
      </c>
      <c r="E43" s="40" t="s">
        <v>2182</v>
      </c>
      <c r="F43" s="40">
        <v>5.0</v>
      </c>
      <c r="G43" s="40">
        <v>7.0</v>
      </c>
      <c r="H43" s="40">
        <v>9.0</v>
      </c>
      <c r="I43" s="40">
        <v>11.0</v>
      </c>
      <c r="J43" s="40">
        <v>13.0</v>
      </c>
      <c r="K43" s="42" t="s">
        <v>108</v>
      </c>
      <c r="L43" s="40" t="s">
        <v>2186</v>
      </c>
      <c r="M43" s="76" t="s">
        <v>1420</v>
      </c>
      <c r="N43" s="35"/>
      <c r="O43" s="35"/>
    </row>
    <row r="44" ht="57.75" customHeight="1">
      <c r="A44" s="81" t="s">
        <v>2188</v>
      </c>
      <c r="B44" s="25" t="s">
        <v>89</v>
      </c>
      <c r="C44" s="25" t="s">
        <v>86</v>
      </c>
      <c r="D44" s="38" t="s">
        <v>13</v>
      </c>
      <c r="E44" s="31" t="s">
        <v>2190</v>
      </c>
      <c r="F44" s="31" t="s">
        <v>103</v>
      </c>
      <c r="G44" s="31" t="s">
        <v>105</v>
      </c>
      <c r="H44" s="31" t="s">
        <v>1392</v>
      </c>
      <c r="I44" s="31" t="s">
        <v>2191</v>
      </c>
      <c r="J44" s="31" t="s">
        <v>174</v>
      </c>
      <c r="K44" s="36" t="s">
        <v>108</v>
      </c>
      <c r="L44" s="31" t="s">
        <v>2193</v>
      </c>
      <c r="M44" s="76" t="s">
        <v>1420</v>
      </c>
      <c r="N44" s="25"/>
      <c r="O44" s="25"/>
    </row>
    <row r="45" ht="57.75" customHeight="1">
      <c r="A45" s="81" t="s">
        <v>2197</v>
      </c>
      <c r="B45" s="35" t="s">
        <v>89</v>
      </c>
      <c r="C45" s="35" t="s">
        <v>86</v>
      </c>
      <c r="D45" s="38" t="s">
        <v>13</v>
      </c>
      <c r="E45" s="40" t="s">
        <v>2200</v>
      </c>
      <c r="F45" s="40" t="s">
        <v>2202</v>
      </c>
      <c r="G45" s="40" t="s">
        <v>2203</v>
      </c>
      <c r="H45" s="40" t="s">
        <v>2204</v>
      </c>
      <c r="I45" s="40" t="s">
        <v>2205</v>
      </c>
      <c r="J45" s="40" t="s">
        <v>2206</v>
      </c>
      <c r="K45" s="42" t="s">
        <v>108</v>
      </c>
      <c r="L45" s="40" t="s">
        <v>2207</v>
      </c>
      <c r="M45" s="76" t="s">
        <v>1420</v>
      </c>
      <c r="N45" s="35"/>
      <c r="O45" s="35"/>
    </row>
    <row r="46" ht="57.75" customHeight="1">
      <c r="A46" s="81" t="s">
        <v>2208</v>
      </c>
      <c r="B46" s="25" t="s">
        <v>89</v>
      </c>
      <c r="C46" s="25" t="s">
        <v>86</v>
      </c>
      <c r="D46" s="38" t="s">
        <v>13</v>
      </c>
      <c r="E46" s="31" t="s">
        <v>2209</v>
      </c>
      <c r="F46" s="31" t="s">
        <v>2210</v>
      </c>
      <c r="G46" s="31" t="s">
        <v>2211</v>
      </c>
      <c r="H46" s="31" t="s">
        <v>1362</v>
      </c>
      <c r="I46" s="31" t="s">
        <v>1363</v>
      </c>
      <c r="J46" s="31" t="s">
        <v>1364</v>
      </c>
      <c r="K46" s="36" t="s">
        <v>136</v>
      </c>
      <c r="L46" s="31" t="s">
        <v>2212</v>
      </c>
      <c r="M46" s="76" t="s">
        <v>1420</v>
      </c>
      <c r="N46" s="25"/>
      <c r="O46" s="25"/>
    </row>
    <row r="47" ht="57.75" customHeight="1">
      <c r="A47" s="81" t="s">
        <v>2213</v>
      </c>
      <c r="B47" s="35" t="s">
        <v>89</v>
      </c>
      <c r="C47" s="35" t="s">
        <v>86</v>
      </c>
      <c r="D47" s="38" t="s">
        <v>13</v>
      </c>
      <c r="E47" s="40" t="s">
        <v>2214</v>
      </c>
      <c r="F47" s="40" t="s">
        <v>2215</v>
      </c>
      <c r="G47" s="40" t="s">
        <v>2216</v>
      </c>
      <c r="H47" s="40" t="s">
        <v>2217</v>
      </c>
      <c r="I47" s="40" t="s">
        <v>2218</v>
      </c>
      <c r="J47" s="40" t="s">
        <v>2219</v>
      </c>
      <c r="K47" s="42" t="s">
        <v>108</v>
      </c>
      <c r="L47" s="40" t="s">
        <v>2221</v>
      </c>
      <c r="M47" s="76" t="s">
        <v>1420</v>
      </c>
      <c r="N47" s="35"/>
      <c r="O47" s="35"/>
    </row>
    <row r="48" ht="57.75" customHeight="1">
      <c r="A48" s="81" t="s">
        <v>2222</v>
      </c>
      <c r="B48" s="25" t="s">
        <v>89</v>
      </c>
      <c r="C48" s="25" t="s">
        <v>86</v>
      </c>
      <c r="D48" s="38" t="s">
        <v>13</v>
      </c>
      <c r="E48" s="31" t="s">
        <v>2223</v>
      </c>
      <c r="F48" s="31">
        <v>5.0</v>
      </c>
      <c r="G48" s="31">
        <v>6.0</v>
      </c>
      <c r="H48" s="31">
        <v>7.0</v>
      </c>
      <c r="I48" s="31">
        <v>8.0</v>
      </c>
      <c r="J48" s="31">
        <v>9.0</v>
      </c>
      <c r="K48" s="36" t="s">
        <v>108</v>
      </c>
      <c r="L48" s="31" t="s">
        <v>2226</v>
      </c>
      <c r="M48" s="76" t="s">
        <v>1420</v>
      </c>
      <c r="N48" s="25"/>
      <c r="O48" s="25"/>
    </row>
    <row r="49" ht="57.75" customHeight="1">
      <c r="A49" s="81" t="s">
        <v>2229</v>
      </c>
      <c r="B49" s="35" t="s">
        <v>89</v>
      </c>
      <c r="C49" s="35" t="s">
        <v>86</v>
      </c>
      <c r="D49" s="38" t="s">
        <v>13</v>
      </c>
      <c r="E49" s="40" t="s">
        <v>2231</v>
      </c>
      <c r="F49" s="40">
        <v>116.0</v>
      </c>
      <c r="G49" s="40">
        <v>126.0</v>
      </c>
      <c r="H49" s="40">
        <v>136.0</v>
      </c>
      <c r="I49" s="40">
        <v>146.0</v>
      </c>
      <c r="J49" s="40">
        <v>156.0</v>
      </c>
      <c r="K49" s="42" t="s">
        <v>108</v>
      </c>
      <c r="L49" s="40" t="s">
        <v>2233</v>
      </c>
      <c r="M49" s="76" t="s">
        <v>1420</v>
      </c>
      <c r="N49" s="35"/>
      <c r="O49" s="35"/>
    </row>
    <row r="50" ht="57.75" customHeight="1">
      <c r="A50" s="81" t="s">
        <v>2235</v>
      </c>
      <c r="B50" s="25" t="s">
        <v>89</v>
      </c>
      <c r="C50" s="25" t="s">
        <v>86</v>
      </c>
      <c r="D50" s="38" t="s">
        <v>13</v>
      </c>
      <c r="E50" s="31" t="s">
        <v>2238</v>
      </c>
      <c r="F50" s="31" t="s">
        <v>2239</v>
      </c>
      <c r="G50" s="31" t="s">
        <v>2240</v>
      </c>
      <c r="H50" s="31" t="s">
        <v>2241</v>
      </c>
      <c r="I50" s="31" t="s">
        <v>2242</v>
      </c>
      <c r="J50" s="31" t="s">
        <v>2243</v>
      </c>
      <c r="K50" s="36" t="s">
        <v>108</v>
      </c>
      <c r="L50" s="31" t="s">
        <v>2244</v>
      </c>
      <c r="M50" s="76" t="s">
        <v>1420</v>
      </c>
      <c r="N50" s="25"/>
      <c r="O50" s="25"/>
    </row>
    <row r="51" ht="57.75" customHeight="1">
      <c r="A51" s="81" t="s">
        <v>2245</v>
      </c>
      <c r="B51" s="35" t="s">
        <v>89</v>
      </c>
      <c r="C51" s="35" t="s">
        <v>86</v>
      </c>
      <c r="D51" s="38" t="s">
        <v>13</v>
      </c>
      <c r="E51" s="40" t="s">
        <v>2247</v>
      </c>
      <c r="F51" s="40" t="s">
        <v>2210</v>
      </c>
      <c r="G51" s="40" t="s">
        <v>2211</v>
      </c>
      <c r="H51" s="40" t="s">
        <v>1362</v>
      </c>
      <c r="I51" s="40" t="s">
        <v>1363</v>
      </c>
      <c r="J51" s="40" t="s">
        <v>1364</v>
      </c>
      <c r="K51" s="42" t="s">
        <v>66</v>
      </c>
      <c r="L51" s="40" t="s">
        <v>2249</v>
      </c>
      <c r="M51" s="76" t="s">
        <v>1420</v>
      </c>
      <c r="N51" s="35"/>
      <c r="O51" s="35"/>
    </row>
    <row r="52" ht="57.75" customHeight="1">
      <c r="A52" s="81" t="s">
        <v>2250</v>
      </c>
      <c r="B52" s="25" t="s">
        <v>89</v>
      </c>
      <c r="C52" s="25" t="s">
        <v>86</v>
      </c>
      <c r="D52" s="38" t="s">
        <v>13</v>
      </c>
      <c r="E52" s="31" t="s">
        <v>2253</v>
      </c>
      <c r="F52" s="31" t="s">
        <v>2254</v>
      </c>
      <c r="G52" s="31" t="s">
        <v>2256</v>
      </c>
      <c r="H52" s="31" t="s">
        <v>2257</v>
      </c>
      <c r="I52" s="31" t="s">
        <v>2258</v>
      </c>
      <c r="J52" s="31" t="s">
        <v>2259</v>
      </c>
      <c r="K52" s="36" t="s">
        <v>108</v>
      </c>
      <c r="L52" s="31" t="s">
        <v>2262</v>
      </c>
      <c r="M52" s="76" t="s">
        <v>1420</v>
      </c>
      <c r="N52" s="25"/>
      <c r="O52" s="25"/>
    </row>
    <row r="53" ht="25.5" customHeight="1">
      <c r="A53" s="49" t="s">
        <v>2264</v>
      </c>
      <c r="B53" s="50"/>
      <c r="C53" s="50"/>
      <c r="D53" s="50"/>
      <c r="E53" s="50"/>
      <c r="F53" s="50"/>
      <c r="G53" s="50"/>
      <c r="H53" s="50"/>
      <c r="I53" s="50"/>
      <c r="J53" s="52"/>
      <c r="M53" s="82">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79" t="s">
        <v>1821</v>
      </c>
      <c r="B1" s="3"/>
      <c r="C1" s="3"/>
      <c r="D1" s="3"/>
      <c r="E1" s="3"/>
      <c r="F1" s="3"/>
      <c r="G1" s="3"/>
      <c r="H1" s="3"/>
      <c r="I1" s="3"/>
      <c r="J1" s="3"/>
      <c r="K1" s="3"/>
      <c r="L1" s="3"/>
      <c r="M1" s="3"/>
      <c r="N1" s="3"/>
      <c r="O1" s="4"/>
    </row>
    <row r="2" ht="30.0" customHeight="1">
      <c r="A2" s="80" t="s">
        <v>1849</v>
      </c>
      <c r="B2" s="3"/>
      <c r="C2" s="3"/>
      <c r="D2" s="3"/>
      <c r="E2" s="3"/>
      <c r="F2" s="3"/>
      <c r="G2" s="3"/>
      <c r="H2" s="3"/>
      <c r="I2" s="3"/>
      <c r="J2" s="3"/>
      <c r="K2" s="3"/>
      <c r="L2" s="3"/>
      <c r="M2" s="3"/>
      <c r="N2" s="3"/>
      <c r="O2" s="4"/>
    </row>
    <row r="3" ht="19.5" customHeight="1">
      <c r="A3" s="10" t="s">
        <v>11</v>
      </c>
      <c r="B3" s="3"/>
      <c r="C3" s="3"/>
      <c r="D3" s="3"/>
      <c r="E3" s="3"/>
      <c r="F3" s="3"/>
      <c r="G3" s="3"/>
      <c r="H3" s="3"/>
      <c r="I3" s="3"/>
      <c r="J3" s="3"/>
      <c r="K3" s="3"/>
      <c r="L3" s="3"/>
      <c r="M3" s="3"/>
      <c r="N3" s="3"/>
      <c r="O3" s="4"/>
    </row>
    <row r="4" ht="24.75" customHeight="1">
      <c r="A4" s="9" t="s">
        <v>22</v>
      </c>
      <c r="B4" s="9" t="s">
        <v>8</v>
      </c>
      <c r="C4" s="9" t="s">
        <v>14</v>
      </c>
      <c r="D4" s="9" t="s">
        <v>24</v>
      </c>
      <c r="E4" s="9" t="s">
        <v>25</v>
      </c>
      <c r="F4" s="9" t="s">
        <v>26</v>
      </c>
      <c r="G4" s="9" t="s">
        <v>27</v>
      </c>
      <c r="H4" s="9" t="s">
        <v>28</v>
      </c>
      <c r="I4" s="9" t="s">
        <v>29</v>
      </c>
      <c r="J4" s="9" t="s">
        <v>31</v>
      </c>
      <c r="K4" s="9" t="s">
        <v>32</v>
      </c>
      <c r="L4" s="9" t="s">
        <v>33</v>
      </c>
      <c r="M4" s="9" t="s">
        <v>17</v>
      </c>
      <c r="N4" s="9" t="s">
        <v>35</v>
      </c>
      <c r="O4" s="9" t="s">
        <v>36</v>
      </c>
    </row>
    <row r="5" ht="19.5" customHeight="1">
      <c r="A5" s="18" t="s">
        <v>37</v>
      </c>
      <c r="B5" s="3"/>
      <c r="C5" s="3"/>
      <c r="D5" s="3"/>
      <c r="E5" s="3"/>
      <c r="F5" s="3"/>
      <c r="G5" s="3"/>
      <c r="H5" s="3"/>
      <c r="I5" s="3"/>
      <c r="J5" s="3"/>
      <c r="K5" s="3"/>
      <c r="L5" s="3"/>
      <c r="M5" s="3"/>
      <c r="N5" s="3"/>
      <c r="O5" s="4"/>
    </row>
    <row r="6" ht="57.75" customHeight="1">
      <c r="A6" s="81" t="s">
        <v>1941</v>
      </c>
      <c r="B6" s="25" t="s">
        <v>92</v>
      </c>
      <c r="C6" s="25" t="s">
        <v>86</v>
      </c>
      <c r="D6" s="27" t="s">
        <v>10</v>
      </c>
      <c r="E6" s="31" t="s">
        <v>1951</v>
      </c>
      <c r="F6" s="31" t="s">
        <v>829</v>
      </c>
      <c r="G6" s="31" t="s">
        <v>1955</v>
      </c>
      <c r="H6" s="31" t="s">
        <v>1958</v>
      </c>
      <c r="I6" s="31" t="s">
        <v>1960</v>
      </c>
      <c r="J6" s="31" t="s">
        <v>1961</v>
      </c>
      <c r="K6" s="36" t="s">
        <v>136</v>
      </c>
      <c r="L6" s="31" t="s">
        <v>1964</v>
      </c>
      <c r="M6" s="76" t="s">
        <v>1420</v>
      </c>
      <c r="N6" s="25"/>
      <c r="O6" s="25"/>
    </row>
    <row r="7" ht="57.75" customHeight="1">
      <c r="A7" s="81" t="s">
        <v>1972</v>
      </c>
      <c r="B7" s="35" t="s">
        <v>92</v>
      </c>
      <c r="C7" s="35" t="s">
        <v>86</v>
      </c>
      <c r="D7" s="27" t="s">
        <v>10</v>
      </c>
      <c r="E7" s="40" t="s">
        <v>1979</v>
      </c>
      <c r="F7" s="40" t="s">
        <v>1980</v>
      </c>
      <c r="G7" s="40" t="s">
        <v>1704</v>
      </c>
      <c r="H7" s="40" t="s">
        <v>1981</v>
      </c>
      <c r="I7" s="40" t="s">
        <v>1982</v>
      </c>
      <c r="J7" s="40" t="s">
        <v>1985</v>
      </c>
      <c r="K7" s="42" t="s">
        <v>136</v>
      </c>
      <c r="L7" s="40" t="s">
        <v>1988</v>
      </c>
      <c r="M7" s="76" t="s">
        <v>1420</v>
      </c>
      <c r="N7" s="35"/>
      <c r="O7" s="35"/>
    </row>
    <row r="8" ht="57.75" customHeight="1">
      <c r="A8" s="81" t="s">
        <v>1994</v>
      </c>
      <c r="B8" s="25" t="s">
        <v>92</v>
      </c>
      <c r="C8" s="25" t="s">
        <v>86</v>
      </c>
      <c r="D8" s="27" t="s">
        <v>10</v>
      </c>
      <c r="E8" s="31" t="s">
        <v>1998</v>
      </c>
      <c r="F8" s="31" t="s">
        <v>934</v>
      </c>
      <c r="G8" s="31" t="s">
        <v>830</v>
      </c>
      <c r="H8" s="31" t="s">
        <v>933</v>
      </c>
      <c r="I8" s="31" t="s">
        <v>935</v>
      </c>
      <c r="J8" s="31" t="s">
        <v>291</v>
      </c>
      <c r="K8" s="36" t="s">
        <v>136</v>
      </c>
      <c r="L8" s="31" t="s">
        <v>2003</v>
      </c>
      <c r="M8" s="76" t="s">
        <v>1420</v>
      </c>
      <c r="N8" s="25"/>
      <c r="O8" s="25"/>
    </row>
    <row r="9" ht="57.75" customHeight="1">
      <c r="A9" s="81" t="s">
        <v>2006</v>
      </c>
      <c r="B9" s="35" t="s">
        <v>92</v>
      </c>
      <c r="C9" s="35" t="s">
        <v>86</v>
      </c>
      <c r="D9" s="27" t="s">
        <v>10</v>
      </c>
      <c r="E9" s="40" t="s">
        <v>2009</v>
      </c>
      <c r="F9" s="40" t="s">
        <v>2011</v>
      </c>
      <c r="G9" s="40" t="s">
        <v>2013</v>
      </c>
      <c r="H9" s="40" t="s">
        <v>2014</v>
      </c>
      <c r="I9" s="40" t="s">
        <v>2015</v>
      </c>
      <c r="J9" s="40" t="s">
        <v>2017</v>
      </c>
      <c r="K9" s="42" t="s">
        <v>136</v>
      </c>
      <c r="L9" s="40" t="s">
        <v>2020</v>
      </c>
      <c r="M9" s="76" t="s">
        <v>1420</v>
      </c>
      <c r="N9" s="35"/>
      <c r="O9" s="35"/>
    </row>
    <row r="10" ht="57.75" customHeight="1">
      <c r="A10" s="81" t="s">
        <v>2026</v>
      </c>
      <c r="B10" s="25" t="s">
        <v>92</v>
      </c>
      <c r="C10" s="25" t="s">
        <v>86</v>
      </c>
      <c r="D10" s="27" t="s">
        <v>10</v>
      </c>
      <c r="E10" s="31" t="s">
        <v>2028</v>
      </c>
      <c r="F10" s="31" t="s">
        <v>2029</v>
      </c>
      <c r="G10" s="31" t="s">
        <v>2030</v>
      </c>
      <c r="H10" s="31" t="s">
        <v>2032</v>
      </c>
      <c r="I10" s="31" t="s">
        <v>2034</v>
      </c>
      <c r="J10" s="31" t="s">
        <v>2037</v>
      </c>
      <c r="K10" s="36" t="s">
        <v>136</v>
      </c>
      <c r="L10" s="31" t="s">
        <v>2039</v>
      </c>
      <c r="M10" s="76" t="s">
        <v>1420</v>
      </c>
      <c r="N10" s="25"/>
      <c r="O10" s="25"/>
    </row>
    <row r="11" ht="57.75" customHeight="1">
      <c r="A11" s="81" t="s">
        <v>2043</v>
      </c>
      <c r="B11" s="35" t="s">
        <v>92</v>
      </c>
      <c r="C11" s="35" t="s">
        <v>86</v>
      </c>
      <c r="D11" s="27" t="s">
        <v>10</v>
      </c>
      <c r="E11" s="40" t="s">
        <v>2048</v>
      </c>
      <c r="F11" s="40" t="s">
        <v>2049</v>
      </c>
      <c r="G11" s="40" t="s">
        <v>2051</v>
      </c>
      <c r="H11" s="40" t="s">
        <v>624</v>
      </c>
      <c r="I11" s="40" t="s">
        <v>2053</v>
      </c>
      <c r="J11" s="40" t="s">
        <v>2056</v>
      </c>
      <c r="K11" s="42" t="s">
        <v>136</v>
      </c>
      <c r="L11" s="40" t="s">
        <v>2060</v>
      </c>
      <c r="M11" s="76" t="s">
        <v>1420</v>
      </c>
      <c r="N11" s="35"/>
      <c r="O11" s="35"/>
    </row>
    <row r="12" ht="57.75" customHeight="1">
      <c r="A12" s="81" t="s">
        <v>2062</v>
      </c>
      <c r="B12" s="25" t="s">
        <v>92</v>
      </c>
      <c r="C12" s="25" t="s">
        <v>86</v>
      </c>
      <c r="D12" s="27" t="s">
        <v>10</v>
      </c>
      <c r="E12" s="31" t="s">
        <v>2069</v>
      </c>
      <c r="F12" s="31" t="s">
        <v>2071</v>
      </c>
      <c r="G12" s="31" t="s">
        <v>2073</v>
      </c>
      <c r="H12" s="31" t="s">
        <v>2074</v>
      </c>
      <c r="I12" s="31" t="s">
        <v>2076</v>
      </c>
      <c r="J12" s="31" t="s">
        <v>2077</v>
      </c>
      <c r="K12" s="36" t="s">
        <v>136</v>
      </c>
      <c r="L12" s="31" t="s">
        <v>2081</v>
      </c>
      <c r="M12" s="76" t="s">
        <v>1420</v>
      </c>
      <c r="N12" s="25"/>
      <c r="O12" s="25"/>
    </row>
    <row r="13" ht="57.75" customHeight="1">
      <c r="A13" s="81" t="s">
        <v>2084</v>
      </c>
      <c r="B13" s="35" t="s">
        <v>92</v>
      </c>
      <c r="C13" s="35" t="s">
        <v>86</v>
      </c>
      <c r="D13" s="27" t="s">
        <v>10</v>
      </c>
      <c r="E13" s="40" t="s">
        <v>2088</v>
      </c>
      <c r="F13" s="40" t="s">
        <v>2092</v>
      </c>
      <c r="G13" s="40" t="s">
        <v>2094</v>
      </c>
      <c r="H13" s="40" t="s">
        <v>2095</v>
      </c>
      <c r="I13" s="40" t="s">
        <v>2097</v>
      </c>
      <c r="J13" s="40" t="s">
        <v>2098</v>
      </c>
      <c r="K13" s="42" t="s">
        <v>136</v>
      </c>
      <c r="L13" s="40" t="s">
        <v>2100</v>
      </c>
      <c r="M13" s="76" t="s">
        <v>1420</v>
      </c>
      <c r="N13" s="35"/>
      <c r="O13" s="35"/>
    </row>
    <row r="14" ht="57.75" customHeight="1">
      <c r="A14" s="81" t="s">
        <v>2105</v>
      </c>
      <c r="B14" s="25" t="s">
        <v>92</v>
      </c>
      <c r="C14" s="25" t="s">
        <v>86</v>
      </c>
      <c r="D14" s="27" t="s">
        <v>10</v>
      </c>
      <c r="E14" s="31" t="s">
        <v>2110</v>
      </c>
      <c r="F14" s="31" t="s">
        <v>2111</v>
      </c>
      <c r="G14" s="31" t="s">
        <v>1423</v>
      </c>
      <c r="H14" s="31" t="s">
        <v>2115</v>
      </c>
      <c r="I14" s="31" t="s">
        <v>2118</v>
      </c>
      <c r="J14" s="31" t="s">
        <v>2120</v>
      </c>
      <c r="K14" s="36" t="s">
        <v>136</v>
      </c>
      <c r="L14" s="31" t="s">
        <v>2122</v>
      </c>
      <c r="M14" s="76" t="s">
        <v>1420</v>
      </c>
      <c r="N14" s="25"/>
      <c r="O14" s="25"/>
    </row>
    <row r="15" ht="57.75" customHeight="1">
      <c r="A15" s="81" t="s">
        <v>2125</v>
      </c>
      <c r="B15" s="35" t="s">
        <v>92</v>
      </c>
      <c r="C15" s="35" t="s">
        <v>86</v>
      </c>
      <c r="D15" s="27" t="s">
        <v>10</v>
      </c>
      <c r="E15" s="40" t="s">
        <v>2130</v>
      </c>
      <c r="F15" s="40" t="s">
        <v>2132</v>
      </c>
      <c r="G15" s="40" t="s">
        <v>2133</v>
      </c>
      <c r="H15" s="40" t="s">
        <v>2134</v>
      </c>
      <c r="I15" s="40" t="s">
        <v>2135</v>
      </c>
      <c r="J15" s="40" t="s">
        <v>2136</v>
      </c>
      <c r="K15" s="42" t="s">
        <v>136</v>
      </c>
      <c r="L15" s="40" t="s">
        <v>2137</v>
      </c>
      <c r="M15" s="76" t="s">
        <v>1420</v>
      </c>
      <c r="N15" s="35"/>
      <c r="O15" s="35"/>
    </row>
    <row r="16" ht="57.75" customHeight="1">
      <c r="A16" s="81" t="s">
        <v>2138</v>
      </c>
      <c r="B16" s="25" t="s">
        <v>92</v>
      </c>
      <c r="C16" s="25" t="s">
        <v>86</v>
      </c>
      <c r="D16" s="27" t="s">
        <v>10</v>
      </c>
      <c r="E16" s="31" t="s">
        <v>2140</v>
      </c>
      <c r="F16" s="31" t="s">
        <v>2141</v>
      </c>
      <c r="G16" s="31" t="s">
        <v>2142</v>
      </c>
      <c r="H16" s="31" t="s">
        <v>2143</v>
      </c>
      <c r="I16" s="31" t="s">
        <v>2145</v>
      </c>
      <c r="J16" s="31" t="s">
        <v>2146</v>
      </c>
      <c r="K16" s="36" t="s">
        <v>136</v>
      </c>
      <c r="L16" s="31" t="s">
        <v>2147</v>
      </c>
      <c r="M16" s="76" t="s">
        <v>1420</v>
      </c>
      <c r="N16" s="25"/>
      <c r="O16" s="25"/>
    </row>
    <row r="17" ht="57.75" customHeight="1">
      <c r="A17" s="81" t="s">
        <v>2150</v>
      </c>
      <c r="B17" s="35" t="s">
        <v>92</v>
      </c>
      <c r="C17" s="35" t="s">
        <v>86</v>
      </c>
      <c r="D17" s="27" t="s">
        <v>10</v>
      </c>
      <c r="E17" s="40" t="s">
        <v>2155</v>
      </c>
      <c r="F17" s="40" t="s">
        <v>2158</v>
      </c>
      <c r="G17" s="40" t="s">
        <v>2160</v>
      </c>
      <c r="H17" s="40" t="s">
        <v>2161</v>
      </c>
      <c r="I17" s="40" t="s">
        <v>2163</v>
      </c>
      <c r="J17" s="40" t="s">
        <v>2164</v>
      </c>
      <c r="K17" s="42" t="s">
        <v>136</v>
      </c>
      <c r="L17" s="40" t="s">
        <v>2166</v>
      </c>
      <c r="M17" s="76" t="s">
        <v>1420</v>
      </c>
      <c r="N17" s="35"/>
      <c r="O17" s="35"/>
    </row>
    <row r="18" ht="57.75" customHeight="1">
      <c r="A18" s="81" t="s">
        <v>2168</v>
      </c>
      <c r="B18" s="25" t="s">
        <v>92</v>
      </c>
      <c r="C18" s="25" t="s">
        <v>86</v>
      </c>
      <c r="D18" s="27" t="s">
        <v>10</v>
      </c>
      <c r="E18" s="31" t="s">
        <v>2171</v>
      </c>
      <c r="F18" s="31" t="s">
        <v>624</v>
      </c>
      <c r="G18" s="31" t="s">
        <v>2080</v>
      </c>
      <c r="H18" s="31" t="s">
        <v>347</v>
      </c>
      <c r="I18" s="31" t="s">
        <v>2053</v>
      </c>
      <c r="J18" s="31" t="s">
        <v>2049</v>
      </c>
      <c r="K18" s="36" t="s">
        <v>136</v>
      </c>
      <c r="L18" s="31" t="s">
        <v>2174</v>
      </c>
      <c r="M18" s="76" t="s">
        <v>1420</v>
      </c>
      <c r="N18" s="25"/>
      <c r="O18" s="25"/>
    </row>
    <row r="19" ht="57.75" customHeight="1">
      <c r="A19" s="81" t="s">
        <v>2176</v>
      </c>
      <c r="B19" s="35" t="s">
        <v>92</v>
      </c>
      <c r="C19" s="35" t="s">
        <v>86</v>
      </c>
      <c r="D19" s="27" t="s">
        <v>10</v>
      </c>
      <c r="E19" s="40" t="s">
        <v>2179</v>
      </c>
      <c r="F19" s="40" t="s">
        <v>2180</v>
      </c>
      <c r="G19" s="40" t="s">
        <v>2181</v>
      </c>
      <c r="H19" s="40" t="s">
        <v>2183</v>
      </c>
      <c r="I19" s="40" t="s">
        <v>2184</v>
      </c>
      <c r="J19" s="40" t="s">
        <v>2185</v>
      </c>
      <c r="K19" s="42" t="s">
        <v>136</v>
      </c>
      <c r="L19" s="40" t="s">
        <v>2187</v>
      </c>
      <c r="M19" s="76" t="s">
        <v>1420</v>
      </c>
      <c r="N19" s="35"/>
      <c r="O19" s="35"/>
    </row>
    <row r="20" ht="57.75" customHeight="1">
      <c r="A20" s="81" t="s">
        <v>2189</v>
      </c>
      <c r="B20" s="25" t="s">
        <v>92</v>
      </c>
      <c r="C20" s="25" t="s">
        <v>86</v>
      </c>
      <c r="D20" s="27" t="s">
        <v>10</v>
      </c>
      <c r="E20" s="31" t="s">
        <v>2192</v>
      </c>
      <c r="F20" s="31" t="s">
        <v>2194</v>
      </c>
      <c r="G20" s="31" t="s">
        <v>2195</v>
      </c>
      <c r="H20" s="31" t="s">
        <v>2196</v>
      </c>
      <c r="I20" s="31" t="s">
        <v>2198</v>
      </c>
      <c r="J20" s="31" t="s">
        <v>2199</v>
      </c>
      <c r="K20" s="36" t="s">
        <v>136</v>
      </c>
      <c r="L20" s="31" t="s">
        <v>2201</v>
      </c>
      <c r="M20" s="76" t="s">
        <v>1420</v>
      </c>
      <c r="N20" s="25"/>
      <c r="O20" s="25"/>
    </row>
    <row r="21" ht="19.5" customHeight="1">
      <c r="A21" s="61" t="s">
        <v>255</v>
      </c>
      <c r="B21" s="3"/>
      <c r="C21" s="3"/>
      <c r="D21" s="3"/>
      <c r="E21" s="3"/>
      <c r="F21" s="3"/>
      <c r="G21" s="3"/>
      <c r="H21" s="3"/>
      <c r="I21" s="3"/>
      <c r="J21" s="3"/>
      <c r="K21" s="3"/>
      <c r="L21" s="3"/>
      <c r="M21" s="3"/>
      <c r="N21" s="3"/>
      <c r="O21" s="4"/>
    </row>
    <row r="22" ht="57.75" customHeight="1">
      <c r="A22" s="81" t="s">
        <v>2220</v>
      </c>
      <c r="B22" s="35" t="s">
        <v>92</v>
      </c>
      <c r="C22" s="35" t="s">
        <v>86</v>
      </c>
      <c r="D22" s="17" t="s">
        <v>12</v>
      </c>
      <c r="E22" s="40" t="s">
        <v>2224</v>
      </c>
      <c r="F22" s="40" t="s">
        <v>829</v>
      </c>
      <c r="G22" s="40" t="s">
        <v>830</v>
      </c>
      <c r="H22" s="40" t="s">
        <v>2225</v>
      </c>
      <c r="I22" s="40" t="s">
        <v>2227</v>
      </c>
      <c r="J22" s="40" t="s">
        <v>2228</v>
      </c>
      <c r="K22" s="42" t="s">
        <v>136</v>
      </c>
      <c r="L22" s="40" t="s">
        <v>2230</v>
      </c>
      <c r="M22" s="76" t="s">
        <v>1420</v>
      </c>
      <c r="N22" s="35"/>
      <c r="O22" s="35"/>
    </row>
    <row r="23" ht="57.75" customHeight="1">
      <c r="A23" s="81" t="s">
        <v>2232</v>
      </c>
      <c r="B23" s="25" t="s">
        <v>92</v>
      </c>
      <c r="C23" s="25" t="s">
        <v>86</v>
      </c>
      <c r="D23" s="17" t="s">
        <v>12</v>
      </c>
      <c r="E23" s="31" t="s">
        <v>2234</v>
      </c>
      <c r="F23" s="31" t="s">
        <v>2236</v>
      </c>
      <c r="G23" s="31" t="s">
        <v>2237</v>
      </c>
      <c r="H23" s="31" t="s">
        <v>857</v>
      </c>
      <c r="I23" s="31" t="s">
        <v>788</v>
      </c>
      <c r="J23" s="31" t="s">
        <v>789</v>
      </c>
      <c r="K23" s="36" t="s">
        <v>136</v>
      </c>
      <c r="L23" s="31" t="s">
        <v>2246</v>
      </c>
      <c r="M23" s="76" t="s">
        <v>1420</v>
      </c>
      <c r="N23" s="25"/>
      <c r="O23" s="25"/>
    </row>
    <row r="24" ht="57.75" customHeight="1">
      <c r="A24" s="81" t="s">
        <v>2248</v>
      </c>
      <c r="B24" s="35" t="s">
        <v>92</v>
      </c>
      <c r="C24" s="35" t="s">
        <v>86</v>
      </c>
      <c r="D24" s="17" t="s">
        <v>12</v>
      </c>
      <c r="E24" s="40" t="s">
        <v>2251</v>
      </c>
      <c r="F24" s="40" t="s">
        <v>2252</v>
      </c>
      <c r="G24" s="40" t="s">
        <v>2255</v>
      </c>
      <c r="H24" s="40" t="s">
        <v>2034</v>
      </c>
      <c r="I24" s="40" t="s">
        <v>2029</v>
      </c>
      <c r="J24" s="40" t="s">
        <v>2260</v>
      </c>
      <c r="K24" s="42" t="s">
        <v>136</v>
      </c>
      <c r="L24" s="40" t="s">
        <v>2261</v>
      </c>
      <c r="M24" s="76" t="s">
        <v>1420</v>
      </c>
      <c r="N24" s="35"/>
      <c r="O24" s="35"/>
    </row>
    <row r="25" ht="57.75" customHeight="1">
      <c r="A25" s="81" t="s">
        <v>2263</v>
      </c>
      <c r="B25" s="25" t="s">
        <v>92</v>
      </c>
      <c r="C25" s="25" t="s">
        <v>86</v>
      </c>
      <c r="D25" s="17" t="s">
        <v>12</v>
      </c>
      <c r="E25" s="31" t="s">
        <v>2265</v>
      </c>
      <c r="F25" s="31" t="s">
        <v>624</v>
      </c>
      <c r="G25" s="31" t="s">
        <v>2053</v>
      </c>
      <c r="H25" s="31" t="s">
        <v>2049</v>
      </c>
      <c r="I25" s="31" t="s">
        <v>628</v>
      </c>
      <c r="J25" s="31" t="s">
        <v>625</v>
      </c>
      <c r="K25" s="36" t="s">
        <v>136</v>
      </c>
      <c r="L25" s="31" t="s">
        <v>2266</v>
      </c>
      <c r="M25" s="76" t="s">
        <v>1420</v>
      </c>
      <c r="N25" s="25"/>
      <c r="O25" s="25"/>
    </row>
    <row r="26" ht="57.75" customHeight="1">
      <c r="A26" s="81" t="s">
        <v>2267</v>
      </c>
      <c r="B26" s="35" t="s">
        <v>92</v>
      </c>
      <c r="C26" s="35" t="s">
        <v>86</v>
      </c>
      <c r="D26" s="17" t="s">
        <v>12</v>
      </c>
      <c r="E26" s="40" t="s">
        <v>2268</v>
      </c>
      <c r="F26" s="40" t="s">
        <v>2269</v>
      </c>
      <c r="G26" s="40" t="s">
        <v>2270</v>
      </c>
      <c r="H26" s="40" t="s">
        <v>2271</v>
      </c>
      <c r="I26" s="40" t="s">
        <v>2272</v>
      </c>
      <c r="J26" s="40" t="s">
        <v>2273</v>
      </c>
      <c r="K26" s="42" t="s">
        <v>136</v>
      </c>
      <c r="L26" s="40" t="s">
        <v>2274</v>
      </c>
      <c r="M26" s="76" t="s">
        <v>1420</v>
      </c>
      <c r="N26" s="35"/>
      <c r="O26" s="35"/>
    </row>
    <row r="27" ht="57.75" customHeight="1">
      <c r="A27" s="81" t="s">
        <v>2275</v>
      </c>
      <c r="B27" s="25" t="s">
        <v>92</v>
      </c>
      <c r="C27" s="25" t="s">
        <v>86</v>
      </c>
      <c r="D27" s="17" t="s">
        <v>12</v>
      </c>
      <c r="E27" s="31" t="s">
        <v>2276</v>
      </c>
      <c r="F27" s="31" t="s">
        <v>2277</v>
      </c>
      <c r="G27" s="31" t="s">
        <v>713</v>
      </c>
      <c r="H27" s="31" t="s">
        <v>2278</v>
      </c>
      <c r="I27" s="31" t="s">
        <v>2279</v>
      </c>
      <c r="J27" s="31" t="s">
        <v>2280</v>
      </c>
      <c r="K27" s="36" t="s">
        <v>136</v>
      </c>
      <c r="L27" s="31" t="s">
        <v>2281</v>
      </c>
      <c r="M27" s="76" t="s">
        <v>1420</v>
      </c>
      <c r="N27" s="25"/>
      <c r="O27" s="25"/>
    </row>
    <row r="28" ht="57.75" customHeight="1">
      <c r="A28" s="81" t="s">
        <v>2282</v>
      </c>
      <c r="B28" s="35" t="s">
        <v>92</v>
      </c>
      <c r="C28" s="35" t="s">
        <v>86</v>
      </c>
      <c r="D28" s="17" t="s">
        <v>12</v>
      </c>
      <c r="E28" s="40" t="s">
        <v>2283</v>
      </c>
      <c r="F28" s="40" t="s">
        <v>1279</v>
      </c>
      <c r="G28" s="40" t="s">
        <v>2284</v>
      </c>
      <c r="H28" s="40" t="s">
        <v>1280</v>
      </c>
      <c r="I28" s="40" t="s">
        <v>627</v>
      </c>
      <c r="J28" s="40" t="s">
        <v>2082</v>
      </c>
      <c r="K28" s="42" t="s">
        <v>136</v>
      </c>
      <c r="L28" s="40" t="s">
        <v>2285</v>
      </c>
      <c r="M28" s="76" t="s">
        <v>1420</v>
      </c>
      <c r="N28" s="35"/>
      <c r="O28" s="35"/>
    </row>
    <row r="29" ht="57.75" customHeight="1">
      <c r="A29" s="81" t="s">
        <v>2286</v>
      </c>
      <c r="B29" s="25" t="s">
        <v>92</v>
      </c>
      <c r="C29" s="25" t="s">
        <v>86</v>
      </c>
      <c r="D29" s="17" t="s">
        <v>12</v>
      </c>
      <c r="E29" s="31" t="s">
        <v>2287</v>
      </c>
      <c r="F29" s="31" t="s">
        <v>2288</v>
      </c>
      <c r="G29" s="31" t="s">
        <v>2289</v>
      </c>
      <c r="H29" s="31" t="s">
        <v>2290</v>
      </c>
      <c r="I29" s="31" t="s">
        <v>1926</v>
      </c>
      <c r="J29" s="31" t="s">
        <v>2291</v>
      </c>
      <c r="K29" s="36" t="s">
        <v>136</v>
      </c>
      <c r="L29" s="31" t="s">
        <v>2292</v>
      </c>
      <c r="M29" s="76" t="s">
        <v>1420</v>
      </c>
      <c r="N29" s="25"/>
      <c r="O29" s="25"/>
    </row>
    <row r="30" ht="57.75" customHeight="1">
      <c r="A30" s="81" t="s">
        <v>2293</v>
      </c>
      <c r="B30" s="35" t="s">
        <v>92</v>
      </c>
      <c r="C30" s="35" t="s">
        <v>86</v>
      </c>
      <c r="D30" s="17" t="s">
        <v>12</v>
      </c>
      <c r="E30" s="40" t="s">
        <v>2294</v>
      </c>
      <c r="F30" s="40" t="s">
        <v>2295</v>
      </c>
      <c r="G30" s="40" t="s">
        <v>2296</v>
      </c>
      <c r="H30" s="40" t="s">
        <v>2297</v>
      </c>
      <c r="I30" s="40" t="s">
        <v>2298</v>
      </c>
      <c r="J30" s="40" t="s">
        <v>2299</v>
      </c>
      <c r="K30" s="42" t="s">
        <v>136</v>
      </c>
      <c r="L30" s="40" t="s">
        <v>2300</v>
      </c>
      <c r="M30" s="76" t="s">
        <v>1420</v>
      </c>
      <c r="N30" s="35"/>
      <c r="O30" s="35"/>
    </row>
    <row r="31" ht="57.75" customHeight="1">
      <c r="A31" s="81" t="s">
        <v>2301</v>
      </c>
      <c r="B31" s="25" t="s">
        <v>92</v>
      </c>
      <c r="C31" s="25" t="s">
        <v>86</v>
      </c>
      <c r="D31" s="17" t="s">
        <v>12</v>
      </c>
      <c r="E31" s="31" t="s">
        <v>2302</v>
      </c>
      <c r="F31" s="31" t="s">
        <v>2303</v>
      </c>
      <c r="G31" s="31" t="s">
        <v>2304</v>
      </c>
      <c r="H31" s="31" t="s">
        <v>2305</v>
      </c>
      <c r="I31" s="31" t="s">
        <v>2306</v>
      </c>
      <c r="J31" s="31" t="s">
        <v>2307</v>
      </c>
      <c r="K31" s="36" t="s">
        <v>136</v>
      </c>
      <c r="L31" s="31" t="s">
        <v>2308</v>
      </c>
      <c r="M31" s="76" t="s">
        <v>1420</v>
      </c>
      <c r="N31" s="25"/>
      <c r="O31" s="25"/>
    </row>
    <row r="32" ht="57.75" customHeight="1">
      <c r="A32" s="81" t="s">
        <v>2309</v>
      </c>
      <c r="B32" s="35" t="s">
        <v>92</v>
      </c>
      <c r="C32" s="35" t="s">
        <v>86</v>
      </c>
      <c r="D32" s="17" t="s">
        <v>12</v>
      </c>
      <c r="E32" s="40" t="s">
        <v>2310</v>
      </c>
      <c r="F32" s="40" t="s">
        <v>2311</v>
      </c>
      <c r="G32" s="40" t="s">
        <v>2284</v>
      </c>
      <c r="H32" s="40" t="s">
        <v>669</v>
      </c>
      <c r="I32" s="40" t="s">
        <v>2312</v>
      </c>
      <c r="J32" s="40" t="s">
        <v>2313</v>
      </c>
      <c r="K32" s="42" t="s">
        <v>136</v>
      </c>
      <c r="L32" s="40" t="s">
        <v>2314</v>
      </c>
      <c r="M32" s="76" t="s">
        <v>1420</v>
      </c>
      <c r="N32" s="35"/>
      <c r="O32" s="35"/>
    </row>
    <row r="33" ht="57.75" customHeight="1">
      <c r="A33" s="81" t="s">
        <v>2315</v>
      </c>
      <c r="B33" s="25" t="s">
        <v>92</v>
      </c>
      <c r="C33" s="25" t="s">
        <v>86</v>
      </c>
      <c r="D33" s="17" t="s">
        <v>12</v>
      </c>
      <c r="E33" s="31" t="s">
        <v>2316</v>
      </c>
      <c r="F33" s="31" t="s">
        <v>2032</v>
      </c>
      <c r="G33" s="31" t="s">
        <v>2030</v>
      </c>
      <c r="H33" s="31" t="s">
        <v>2317</v>
      </c>
      <c r="I33" s="31" t="s">
        <v>2318</v>
      </c>
      <c r="J33" s="31" t="s">
        <v>2319</v>
      </c>
      <c r="K33" s="36" t="s">
        <v>136</v>
      </c>
      <c r="L33" s="31" t="s">
        <v>2320</v>
      </c>
      <c r="M33" s="76" t="s">
        <v>1420</v>
      </c>
      <c r="N33" s="25"/>
      <c r="O33" s="25"/>
    </row>
    <row r="34" ht="57.75" customHeight="1">
      <c r="A34" s="81" t="s">
        <v>2321</v>
      </c>
      <c r="B34" s="35" t="s">
        <v>92</v>
      </c>
      <c r="C34" s="35" t="s">
        <v>86</v>
      </c>
      <c r="D34" s="17" t="s">
        <v>12</v>
      </c>
      <c r="E34" s="40" t="s">
        <v>2322</v>
      </c>
      <c r="F34" s="40" t="s">
        <v>2030</v>
      </c>
      <c r="G34" s="40" t="s">
        <v>2180</v>
      </c>
      <c r="H34" s="40" t="s">
        <v>2323</v>
      </c>
      <c r="I34" s="40" t="s">
        <v>2029</v>
      </c>
      <c r="J34" s="40" t="s">
        <v>2317</v>
      </c>
      <c r="K34" s="42" t="s">
        <v>136</v>
      </c>
      <c r="L34" s="40" t="s">
        <v>2324</v>
      </c>
      <c r="M34" s="76" t="s">
        <v>1420</v>
      </c>
      <c r="N34" s="35"/>
      <c r="O34" s="35"/>
    </row>
    <row r="35" ht="57.75" customHeight="1">
      <c r="A35" s="81" t="s">
        <v>2325</v>
      </c>
      <c r="B35" s="25" t="s">
        <v>92</v>
      </c>
      <c r="C35" s="25" t="s">
        <v>86</v>
      </c>
      <c r="D35" s="17" t="s">
        <v>12</v>
      </c>
      <c r="E35" s="31" t="s">
        <v>2326</v>
      </c>
      <c r="F35" s="31" t="s">
        <v>2327</v>
      </c>
      <c r="G35" s="31" t="s">
        <v>2328</v>
      </c>
      <c r="H35" s="31" t="s">
        <v>2329</v>
      </c>
      <c r="I35" s="31" t="s">
        <v>2330</v>
      </c>
      <c r="J35" s="31" t="s">
        <v>2331</v>
      </c>
      <c r="K35" s="36" t="s">
        <v>136</v>
      </c>
      <c r="L35" s="31" t="s">
        <v>2332</v>
      </c>
      <c r="M35" s="76" t="s">
        <v>1420</v>
      </c>
      <c r="N35" s="25"/>
      <c r="O35" s="25"/>
    </row>
    <row r="36" ht="57.75" customHeight="1">
      <c r="A36" s="81" t="s">
        <v>2333</v>
      </c>
      <c r="B36" s="35" t="s">
        <v>92</v>
      </c>
      <c r="C36" s="35" t="s">
        <v>86</v>
      </c>
      <c r="D36" s="17" t="s">
        <v>12</v>
      </c>
      <c r="E36" s="40" t="s">
        <v>2334</v>
      </c>
      <c r="F36" s="40" t="s">
        <v>2335</v>
      </c>
      <c r="G36" s="40" t="s">
        <v>2336</v>
      </c>
      <c r="H36" s="40" t="s">
        <v>2337</v>
      </c>
      <c r="I36" s="40" t="s">
        <v>2338</v>
      </c>
      <c r="J36" s="40" t="s">
        <v>2339</v>
      </c>
      <c r="K36" s="42" t="s">
        <v>136</v>
      </c>
      <c r="L36" s="40" t="s">
        <v>2340</v>
      </c>
      <c r="M36" s="76" t="s">
        <v>1420</v>
      </c>
      <c r="N36" s="35"/>
      <c r="O36" s="35"/>
    </row>
    <row r="37" ht="19.5" customHeight="1">
      <c r="A37" s="69" t="s">
        <v>435</v>
      </c>
      <c r="B37" s="3"/>
      <c r="C37" s="3"/>
      <c r="D37" s="3"/>
      <c r="E37" s="3"/>
      <c r="F37" s="3"/>
      <c r="G37" s="3"/>
      <c r="H37" s="3"/>
      <c r="I37" s="3"/>
      <c r="J37" s="3"/>
      <c r="K37" s="3"/>
      <c r="L37" s="3"/>
      <c r="M37" s="3"/>
      <c r="N37" s="3"/>
      <c r="O37" s="4"/>
    </row>
    <row r="38" ht="57.75" customHeight="1">
      <c r="A38" s="81" t="s">
        <v>2341</v>
      </c>
      <c r="B38" s="25" t="s">
        <v>92</v>
      </c>
      <c r="C38" s="25" t="s">
        <v>86</v>
      </c>
      <c r="D38" s="38" t="s">
        <v>13</v>
      </c>
      <c r="E38" s="31" t="s">
        <v>2342</v>
      </c>
      <c r="F38" s="31">
        <v>353.0</v>
      </c>
      <c r="G38" s="31">
        <v>533.0</v>
      </c>
      <c r="H38" s="31">
        <v>540.0</v>
      </c>
      <c r="I38" s="31">
        <v>713.0</v>
      </c>
      <c r="J38" s="31">
        <v>720.0</v>
      </c>
      <c r="K38" s="36" t="s">
        <v>66</v>
      </c>
      <c r="L38" s="31" t="s">
        <v>2343</v>
      </c>
      <c r="M38" s="76" t="s">
        <v>1420</v>
      </c>
      <c r="N38" s="25"/>
      <c r="O38" s="25"/>
    </row>
    <row r="39" ht="57.75" customHeight="1">
      <c r="A39" s="81" t="s">
        <v>2344</v>
      </c>
      <c r="B39" s="35" t="s">
        <v>92</v>
      </c>
      <c r="C39" s="35" t="s">
        <v>86</v>
      </c>
      <c r="D39" s="38" t="s">
        <v>13</v>
      </c>
      <c r="E39" s="40" t="s">
        <v>2345</v>
      </c>
      <c r="F39" s="40">
        <v>12.0</v>
      </c>
      <c r="G39" s="40">
        <v>15.0</v>
      </c>
      <c r="H39" s="40">
        <v>18.0</v>
      </c>
      <c r="I39" s="40">
        <v>21.0</v>
      </c>
      <c r="J39" s="40">
        <v>24.0</v>
      </c>
      <c r="K39" s="42" t="s">
        <v>66</v>
      </c>
      <c r="L39" s="40" t="s">
        <v>2346</v>
      </c>
      <c r="M39" s="76" t="s">
        <v>1420</v>
      </c>
      <c r="N39" s="35"/>
      <c r="O39" s="35"/>
    </row>
    <row r="40" ht="57.75" customHeight="1">
      <c r="A40" s="81" t="s">
        <v>2347</v>
      </c>
      <c r="B40" s="25" t="s">
        <v>92</v>
      </c>
      <c r="C40" s="25" t="s">
        <v>86</v>
      </c>
      <c r="D40" s="38" t="s">
        <v>13</v>
      </c>
      <c r="E40" s="31" t="s">
        <v>2348</v>
      </c>
      <c r="F40" s="31">
        <v>1063.0</v>
      </c>
      <c r="G40" s="31">
        <v>1423.0</v>
      </c>
      <c r="H40" s="31">
        <v>1783.0</v>
      </c>
      <c r="I40" s="31">
        <v>1813.0</v>
      </c>
      <c r="J40" s="31">
        <v>1983.0</v>
      </c>
      <c r="K40" s="36" t="s">
        <v>108</v>
      </c>
      <c r="L40" s="31" t="s">
        <v>2349</v>
      </c>
      <c r="M40" s="76" t="s">
        <v>1420</v>
      </c>
      <c r="N40" s="25"/>
      <c r="O40" s="25"/>
    </row>
    <row r="41" ht="57.75" customHeight="1">
      <c r="A41" s="81" t="s">
        <v>2350</v>
      </c>
      <c r="B41" s="35" t="s">
        <v>92</v>
      </c>
      <c r="C41" s="35" t="s">
        <v>86</v>
      </c>
      <c r="D41" s="38" t="s">
        <v>13</v>
      </c>
      <c r="E41" s="40" t="s">
        <v>2351</v>
      </c>
      <c r="F41" s="40">
        <v>27.0</v>
      </c>
      <c r="G41" s="40">
        <v>31.0</v>
      </c>
      <c r="H41" s="40">
        <v>33.0</v>
      </c>
      <c r="I41" s="40">
        <v>39.0</v>
      </c>
      <c r="J41" s="40">
        <v>45.0</v>
      </c>
      <c r="K41" s="42" t="s">
        <v>108</v>
      </c>
      <c r="L41" s="40" t="s">
        <v>2352</v>
      </c>
      <c r="M41" s="76" t="s">
        <v>1420</v>
      </c>
      <c r="N41" s="35"/>
      <c r="O41" s="35"/>
    </row>
    <row r="42" ht="57.75" customHeight="1">
      <c r="A42" s="81" t="s">
        <v>2353</v>
      </c>
      <c r="B42" s="25" t="s">
        <v>92</v>
      </c>
      <c r="C42" s="25" t="s">
        <v>86</v>
      </c>
      <c r="D42" s="38" t="s">
        <v>13</v>
      </c>
      <c r="E42" s="31" t="s">
        <v>2354</v>
      </c>
      <c r="F42" s="31">
        <v>10.0</v>
      </c>
      <c r="G42" s="31">
        <v>12.0</v>
      </c>
      <c r="H42" s="31">
        <v>13.0</v>
      </c>
      <c r="I42" s="31">
        <v>15.0</v>
      </c>
      <c r="J42" s="31">
        <v>16.0</v>
      </c>
      <c r="K42" s="36" t="s">
        <v>108</v>
      </c>
      <c r="L42" s="31" t="s">
        <v>2355</v>
      </c>
      <c r="M42" s="76" t="s">
        <v>1420</v>
      </c>
      <c r="N42" s="25"/>
      <c r="O42" s="25"/>
    </row>
    <row r="43" ht="57.75" customHeight="1">
      <c r="A43" s="81" t="s">
        <v>2356</v>
      </c>
      <c r="B43" s="35" t="s">
        <v>92</v>
      </c>
      <c r="C43" s="35" t="s">
        <v>86</v>
      </c>
      <c r="D43" s="38" t="s">
        <v>13</v>
      </c>
      <c r="E43" s="40" t="s">
        <v>2357</v>
      </c>
      <c r="F43" s="40" t="s">
        <v>2358</v>
      </c>
      <c r="G43" s="40" t="s">
        <v>2359</v>
      </c>
      <c r="H43" s="40" t="s">
        <v>2360</v>
      </c>
      <c r="I43" s="40" t="s">
        <v>2361</v>
      </c>
      <c r="J43" s="40" t="s">
        <v>2362</v>
      </c>
      <c r="K43" s="42" t="s">
        <v>136</v>
      </c>
      <c r="L43" s="40" t="s">
        <v>2363</v>
      </c>
      <c r="M43" s="76" t="s">
        <v>1420</v>
      </c>
      <c r="N43" s="35"/>
      <c r="O43" s="35"/>
    </row>
    <row r="44" ht="57.75" customHeight="1">
      <c r="A44" s="81" t="s">
        <v>2364</v>
      </c>
      <c r="B44" s="25" t="s">
        <v>92</v>
      </c>
      <c r="C44" s="25" t="s">
        <v>86</v>
      </c>
      <c r="D44" s="38" t="s">
        <v>13</v>
      </c>
      <c r="E44" s="31" t="s">
        <v>2365</v>
      </c>
      <c r="F44" s="31" t="s">
        <v>2366</v>
      </c>
      <c r="G44" s="31" t="s">
        <v>398</v>
      </c>
      <c r="H44" s="31" t="s">
        <v>852</v>
      </c>
      <c r="I44" s="31" t="s">
        <v>2367</v>
      </c>
      <c r="J44" s="31" t="s">
        <v>854</v>
      </c>
      <c r="K44" s="36" t="s">
        <v>136</v>
      </c>
      <c r="L44" s="31" t="s">
        <v>2368</v>
      </c>
      <c r="M44" s="76" t="s">
        <v>1420</v>
      </c>
      <c r="N44" s="25"/>
      <c r="O44" s="25"/>
    </row>
    <row r="45" ht="57.75" customHeight="1">
      <c r="A45" s="81" t="s">
        <v>2369</v>
      </c>
      <c r="B45" s="35" t="s">
        <v>92</v>
      </c>
      <c r="C45" s="35" t="s">
        <v>86</v>
      </c>
      <c r="D45" s="38" t="s">
        <v>13</v>
      </c>
      <c r="E45" s="40" t="s">
        <v>2370</v>
      </c>
      <c r="F45" s="40" t="s">
        <v>175</v>
      </c>
      <c r="G45" s="40" t="s">
        <v>963</v>
      </c>
      <c r="H45" s="40" t="s">
        <v>964</v>
      </c>
      <c r="I45" s="40" t="s">
        <v>965</v>
      </c>
      <c r="J45" s="40" t="s">
        <v>962</v>
      </c>
      <c r="K45" s="42" t="s">
        <v>136</v>
      </c>
      <c r="L45" s="40" t="s">
        <v>2371</v>
      </c>
      <c r="M45" s="76" t="s">
        <v>1420</v>
      </c>
      <c r="N45" s="35"/>
      <c r="O45" s="35"/>
    </row>
    <row r="46" ht="57.75" customHeight="1">
      <c r="A46" s="81" t="s">
        <v>2372</v>
      </c>
      <c r="B46" s="25" t="s">
        <v>92</v>
      </c>
      <c r="C46" s="25" t="s">
        <v>86</v>
      </c>
      <c r="D46" s="38" t="s">
        <v>13</v>
      </c>
      <c r="E46" s="31" t="s">
        <v>2373</v>
      </c>
      <c r="F46" s="31" t="s">
        <v>2374</v>
      </c>
      <c r="G46" s="31" t="s">
        <v>2375</v>
      </c>
      <c r="H46" s="31" t="s">
        <v>2376</v>
      </c>
      <c r="I46" s="31" t="s">
        <v>2377</v>
      </c>
      <c r="J46" s="31" t="s">
        <v>2378</v>
      </c>
      <c r="K46" s="36" t="s">
        <v>136</v>
      </c>
      <c r="L46" s="31" t="s">
        <v>2379</v>
      </c>
      <c r="M46" s="76" t="s">
        <v>1420</v>
      </c>
      <c r="N46" s="25"/>
      <c r="O46" s="25"/>
    </row>
    <row r="47" ht="57.75" customHeight="1">
      <c r="A47" s="81" t="s">
        <v>2380</v>
      </c>
      <c r="B47" s="35" t="s">
        <v>92</v>
      </c>
      <c r="C47" s="35" t="s">
        <v>86</v>
      </c>
      <c r="D47" s="38" t="s">
        <v>13</v>
      </c>
      <c r="E47" s="40" t="s">
        <v>2381</v>
      </c>
      <c r="F47" s="40" t="s">
        <v>2382</v>
      </c>
      <c r="G47" s="40" t="s">
        <v>2383</v>
      </c>
      <c r="H47" s="40" t="s">
        <v>2384</v>
      </c>
      <c r="I47" s="40" t="s">
        <v>2385</v>
      </c>
      <c r="J47" s="40" t="s">
        <v>2386</v>
      </c>
      <c r="K47" s="42" t="s">
        <v>136</v>
      </c>
      <c r="L47" s="40" t="s">
        <v>2387</v>
      </c>
      <c r="M47" s="76" t="s">
        <v>1420</v>
      </c>
      <c r="N47" s="35"/>
      <c r="O47" s="35"/>
    </row>
    <row r="48" ht="57.75" customHeight="1">
      <c r="A48" s="81" t="s">
        <v>2388</v>
      </c>
      <c r="B48" s="25" t="s">
        <v>92</v>
      </c>
      <c r="C48" s="25" t="s">
        <v>86</v>
      </c>
      <c r="D48" s="38" t="s">
        <v>13</v>
      </c>
      <c r="E48" s="31" t="s">
        <v>2389</v>
      </c>
      <c r="F48" s="31" t="s">
        <v>2390</v>
      </c>
      <c r="G48" s="31" t="s">
        <v>2391</v>
      </c>
      <c r="H48" s="31" t="s">
        <v>934</v>
      </c>
      <c r="I48" s="31" t="s">
        <v>2392</v>
      </c>
      <c r="J48" s="31" t="s">
        <v>2393</v>
      </c>
      <c r="K48" s="36" t="s">
        <v>136</v>
      </c>
      <c r="L48" s="31" t="s">
        <v>2394</v>
      </c>
      <c r="M48" s="76" t="s">
        <v>1420</v>
      </c>
      <c r="N48" s="25"/>
      <c r="O48" s="25"/>
    </row>
    <row r="49" ht="57.75" customHeight="1">
      <c r="A49" s="81" t="s">
        <v>2395</v>
      </c>
      <c r="B49" s="35" t="s">
        <v>92</v>
      </c>
      <c r="C49" s="35" t="s">
        <v>86</v>
      </c>
      <c r="D49" s="38" t="s">
        <v>13</v>
      </c>
      <c r="E49" s="40" t="s">
        <v>2396</v>
      </c>
      <c r="F49" s="40" t="s">
        <v>852</v>
      </c>
      <c r="G49" s="40" t="s">
        <v>397</v>
      </c>
      <c r="H49" s="40" t="s">
        <v>853</v>
      </c>
      <c r="I49" s="40" t="s">
        <v>398</v>
      </c>
      <c r="J49" s="40" t="s">
        <v>854</v>
      </c>
      <c r="K49" s="42" t="s">
        <v>136</v>
      </c>
      <c r="L49" s="40" t="s">
        <v>2397</v>
      </c>
      <c r="M49" s="76" t="s">
        <v>1420</v>
      </c>
      <c r="N49" s="35"/>
      <c r="O49" s="35"/>
    </row>
    <row r="50" ht="57.75" customHeight="1">
      <c r="A50" s="81" t="s">
        <v>2398</v>
      </c>
      <c r="B50" s="25" t="s">
        <v>92</v>
      </c>
      <c r="C50" s="25" t="s">
        <v>86</v>
      </c>
      <c r="D50" s="38" t="s">
        <v>13</v>
      </c>
      <c r="E50" s="31" t="s">
        <v>2399</v>
      </c>
      <c r="F50" s="31" t="s">
        <v>1164</v>
      </c>
      <c r="G50" s="31" t="s">
        <v>177</v>
      </c>
      <c r="H50" s="31" t="s">
        <v>1308</v>
      </c>
      <c r="I50" s="31" t="s">
        <v>965</v>
      </c>
      <c r="J50" s="31" t="s">
        <v>1042</v>
      </c>
      <c r="K50" s="36" t="s">
        <v>136</v>
      </c>
      <c r="L50" s="31" t="s">
        <v>2400</v>
      </c>
      <c r="M50" s="76" t="s">
        <v>1420</v>
      </c>
      <c r="N50" s="25"/>
      <c r="O50" s="25"/>
    </row>
    <row r="51" ht="57.75" customHeight="1">
      <c r="A51" s="81" t="s">
        <v>2401</v>
      </c>
      <c r="B51" s="35" t="s">
        <v>92</v>
      </c>
      <c r="C51" s="35" t="s">
        <v>86</v>
      </c>
      <c r="D51" s="38" t="s">
        <v>13</v>
      </c>
      <c r="E51" s="40" t="s">
        <v>2402</v>
      </c>
      <c r="F51" s="40" t="s">
        <v>2403</v>
      </c>
      <c r="G51" s="40" t="s">
        <v>2404</v>
      </c>
      <c r="H51" s="40" t="s">
        <v>2405</v>
      </c>
      <c r="I51" s="40" t="s">
        <v>2406</v>
      </c>
      <c r="J51" s="40" t="s">
        <v>2407</v>
      </c>
      <c r="K51" s="42" t="s">
        <v>136</v>
      </c>
      <c r="L51" s="40" t="s">
        <v>2408</v>
      </c>
      <c r="M51" s="76" t="s">
        <v>1420</v>
      </c>
      <c r="N51" s="35"/>
      <c r="O51" s="35"/>
    </row>
    <row r="52" ht="57.75" customHeight="1">
      <c r="A52" s="81" t="s">
        <v>2409</v>
      </c>
      <c r="B52" s="25" t="s">
        <v>92</v>
      </c>
      <c r="C52" s="25" t="s">
        <v>86</v>
      </c>
      <c r="D52" s="38" t="s">
        <v>13</v>
      </c>
      <c r="E52" s="31" t="s">
        <v>2410</v>
      </c>
      <c r="F52" s="31" t="s">
        <v>2411</v>
      </c>
      <c r="G52" s="31" t="s">
        <v>2412</v>
      </c>
      <c r="H52" s="31" t="s">
        <v>2413</v>
      </c>
      <c r="I52" s="31" t="s">
        <v>2414</v>
      </c>
      <c r="J52" s="31" t="s">
        <v>2415</v>
      </c>
      <c r="K52" s="36" t="s">
        <v>136</v>
      </c>
      <c r="L52" s="31" t="s">
        <v>2416</v>
      </c>
      <c r="M52" s="76" t="s">
        <v>1420</v>
      </c>
      <c r="N52" s="25"/>
      <c r="O52" s="25"/>
    </row>
    <row r="53" ht="25.5" customHeight="1">
      <c r="A53" s="49" t="s">
        <v>2417</v>
      </c>
      <c r="B53" s="50"/>
      <c r="C53" s="50"/>
      <c r="D53" s="50"/>
      <c r="E53" s="50"/>
      <c r="F53" s="50"/>
      <c r="G53" s="50"/>
      <c r="H53" s="50"/>
      <c r="I53" s="50"/>
      <c r="J53" s="52"/>
      <c r="M53" s="82">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79" t="s">
        <v>2418</v>
      </c>
      <c r="B1" s="3"/>
      <c r="C1" s="3"/>
      <c r="D1" s="3"/>
      <c r="E1" s="3"/>
      <c r="F1" s="3"/>
      <c r="G1" s="3"/>
      <c r="H1" s="3"/>
      <c r="I1" s="3"/>
      <c r="J1" s="3"/>
      <c r="K1" s="3"/>
      <c r="L1" s="3"/>
      <c r="M1" s="3"/>
      <c r="N1" s="3"/>
      <c r="O1" s="4"/>
    </row>
    <row r="2" ht="30.0" customHeight="1">
      <c r="A2" s="80" t="s">
        <v>2420</v>
      </c>
      <c r="B2" s="3"/>
      <c r="C2" s="3"/>
      <c r="D2" s="3"/>
      <c r="E2" s="3"/>
      <c r="F2" s="3"/>
      <c r="G2" s="3"/>
      <c r="H2" s="3"/>
      <c r="I2" s="3"/>
      <c r="J2" s="3"/>
      <c r="K2" s="3"/>
      <c r="L2" s="3"/>
      <c r="M2" s="3"/>
      <c r="N2" s="3"/>
      <c r="O2" s="4"/>
    </row>
    <row r="3" ht="19.5" customHeight="1">
      <c r="A3" s="10" t="s">
        <v>11</v>
      </c>
      <c r="B3" s="3"/>
      <c r="C3" s="3"/>
      <c r="D3" s="3"/>
      <c r="E3" s="3"/>
      <c r="F3" s="3"/>
      <c r="G3" s="3"/>
      <c r="H3" s="3"/>
      <c r="I3" s="3"/>
      <c r="J3" s="3"/>
      <c r="K3" s="3"/>
      <c r="L3" s="3"/>
      <c r="M3" s="3"/>
      <c r="N3" s="3"/>
      <c r="O3" s="4"/>
    </row>
    <row r="4" ht="24.75" customHeight="1">
      <c r="A4" s="9" t="s">
        <v>22</v>
      </c>
      <c r="B4" s="9" t="s">
        <v>8</v>
      </c>
      <c r="C4" s="9" t="s">
        <v>14</v>
      </c>
      <c r="D4" s="9" t="s">
        <v>24</v>
      </c>
      <c r="E4" s="9" t="s">
        <v>25</v>
      </c>
      <c r="F4" s="9" t="s">
        <v>26</v>
      </c>
      <c r="G4" s="9" t="s">
        <v>27</v>
      </c>
      <c r="H4" s="9" t="s">
        <v>28</v>
      </c>
      <c r="I4" s="9" t="s">
        <v>29</v>
      </c>
      <c r="J4" s="9" t="s">
        <v>31</v>
      </c>
      <c r="K4" s="9" t="s">
        <v>32</v>
      </c>
      <c r="L4" s="9" t="s">
        <v>33</v>
      </c>
      <c r="M4" s="9" t="s">
        <v>17</v>
      </c>
      <c r="N4" s="9" t="s">
        <v>35</v>
      </c>
      <c r="O4" s="9" t="s">
        <v>36</v>
      </c>
    </row>
    <row r="5" ht="19.5" customHeight="1">
      <c r="A5" s="18" t="s">
        <v>37</v>
      </c>
      <c r="B5" s="3"/>
      <c r="C5" s="3"/>
      <c r="D5" s="3"/>
      <c r="E5" s="3"/>
      <c r="F5" s="3"/>
      <c r="G5" s="3"/>
      <c r="H5" s="3"/>
      <c r="I5" s="3"/>
      <c r="J5" s="3"/>
      <c r="K5" s="3"/>
      <c r="L5" s="3"/>
      <c r="M5" s="3"/>
      <c r="N5" s="3"/>
      <c r="O5" s="4"/>
    </row>
    <row r="6" ht="57.75" customHeight="1">
      <c r="A6" s="81" t="s">
        <v>2423</v>
      </c>
      <c r="B6" s="25" t="s">
        <v>104</v>
      </c>
      <c r="C6" s="25" t="s">
        <v>86</v>
      </c>
      <c r="D6" s="27" t="s">
        <v>10</v>
      </c>
      <c r="E6" s="31" t="s">
        <v>2427</v>
      </c>
      <c r="F6" s="31" t="s">
        <v>2428</v>
      </c>
      <c r="G6" s="31" t="s">
        <v>2429</v>
      </c>
      <c r="H6" s="31" t="s">
        <v>2431</v>
      </c>
      <c r="I6" s="31" t="s">
        <v>2432</v>
      </c>
      <c r="J6" s="31" t="s">
        <v>2433</v>
      </c>
      <c r="K6" s="36" t="s">
        <v>136</v>
      </c>
      <c r="L6" s="31" t="s">
        <v>2435</v>
      </c>
      <c r="M6" s="76" t="s">
        <v>1420</v>
      </c>
      <c r="N6" s="25"/>
      <c r="O6" s="25"/>
    </row>
    <row r="7" ht="57.75" customHeight="1">
      <c r="A7" s="81" t="s">
        <v>2436</v>
      </c>
      <c r="B7" s="35" t="s">
        <v>104</v>
      </c>
      <c r="C7" s="35" t="s">
        <v>86</v>
      </c>
      <c r="D7" s="27" t="s">
        <v>10</v>
      </c>
      <c r="E7" s="40" t="s">
        <v>2440</v>
      </c>
      <c r="F7" s="40" t="s">
        <v>2441</v>
      </c>
      <c r="G7" s="40" t="s">
        <v>2442</v>
      </c>
      <c r="H7" s="40" t="s">
        <v>2444</v>
      </c>
      <c r="I7" s="40" t="s">
        <v>2445</v>
      </c>
      <c r="J7" s="40" t="s">
        <v>2446</v>
      </c>
      <c r="K7" s="42" t="s">
        <v>66</v>
      </c>
      <c r="L7" s="40" t="s">
        <v>2448</v>
      </c>
      <c r="M7" s="76" t="s">
        <v>1420</v>
      </c>
      <c r="N7" s="35"/>
      <c r="O7" s="35"/>
    </row>
    <row r="8" ht="57.75" customHeight="1">
      <c r="A8" s="81" t="s">
        <v>2450</v>
      </c>
      <c r="B8" s="25" t="s">
        <v>104</v>
      </c>
      <c r="C8" s="25" t="s">
        <v>86</v>
      </c>
      <c r="D8" s="27" t="s">
        <v>10</v>
      </c>
      <c r="E8" s="31" t="s">
        <v>2454</v>
      </c>
      <c r="F8" s="31" t="s">
        <v>2456</v>
      </c>
      <c r="G8" s="31" t="s">
        <v>2457</v>
      </c>
      <c r="H8" s="31" t="s">
        <v>2459</v>
      </c>
      <c r="I8" s="31" t="s">
        <v>2460</v>
      </c>
      <c r="J8" s="31" t="s">
        <v>2461</v>
      </c>
      <c r="K8" s="36" t="s">
        <v>108</v>
      </c>
      <c r="L8" s="31" t="s">
        <v>2462</v>
      </c>
      <c r="M8" s="76" t="s">
        <v>1420</v>
      </c>
      <c r="N8" s="25"/>
      <c r="O8" s="25"/>
    </row>
    <row r="9" ht="57.75" customHeight="1">
      <c r="A9" s="81" t="s">
        <v>2466</v>
      </c>
      <c r="B9" s="35" t="s">
        <v>104</v>
      </c>
      <c r="C9" s="35" t="s">
        <v>86</v>
      </c>
      <c r="D9" s="27" t="s">
        <v>10</v>
      </c>
      <c r="E9" s="40" t="s">
        <v>2470</v>
      </c>
      <c r="F9" s="40" t="s">
        <v>2472</v>
      </c>
      <c r="G9" s="40" t="s">
        <v>2473</v>
      </c>
      <c r="H9" s="40" t="s">
        <v>2474</v>
      </c>
      <c r="I9" s="40" t="s">
        <v>2475</v>
      </c>
      <c r="J9" s="40" t="s">
        <v>2477</v>
      </c>
      <c r="K9" s="42" t="s">
        <v>136</v>
      </c>
      <c r="L9" s="40" t="s">
        <v>2478</v>
      </c>
      <c r="M9" s="76" t="s">
        <v>1420</v>
      </c>
      <c r="N9" s="35"/>
      <c r="O9" s="35"/>
    </row>
    <row r="10" ht="57.75" customHeight="1">
      <c r="A10" s="81" t="s">
        <v>2481</v>
      </c>
      <c r="B10" s="25" t="s">
        <v>104</v>
      </c>
      <c r="C10" s="25" t="s">
        <v>86</v>
      </c>
      <c r="D10" s="27" t="s">
        <v>10</v>
      </c>
      <c r="E10" s="31" t="s">
        <v>2482</v>
      </c>
      <c r="F10" s="31" t="s">
        <v>2483</v>
      </c>
      <c r="G10" s="31" t="s">
        <v>2484</v>
      </c>
      <c r="H10" s="31" t="s">
        <v>2486</v>
      </c>
      <c r="I10" s="31" t="s">
        <v>2487</v>
      </c>
      <c r="J10" s="31" t="s">
        <v>2488</v>
      </c>
      <c r="K10" s="36" t="s">
        <v>66</v>
      </c>
      <c r="L10" s="31" t="s">
        <v>2490</v>
      </c>
      <c r="M10" s="76" t="s">
        <v>1420</v>
      </c>
      <c r="N10" s="25"/>
      <c r="O10" s="25"/>
    </row>
    <row r="11" ht="57.75" customHeight="1">
      <c r="A11" s="81" t="s">
        <v>2492</v>
      </c>
      <c r="B11" s="35" t="s">
        <v>104</v>
      </c>
      <c r="C11" s="35" t="s">
        <v>86</v>
      </c>
      <c r="D11" s="27" t="s">
        <v>10</v>
      </c>
      <c r="E11" s="40" t="s">
        <v>2493</v>
      </c>
      <c r="F11" s="40" t="s">
        <v>2495</v>
      </c>
      <c r="G11" s="40" t="s">
        <v>2496</v>
      </c>
      <c r="H11" s="40" t="s">
        <v>2497</v>
      </c>
      <c r="I11" s="40" t="s">
        <v>2499</v>
      </c>
      <c r="J11" s="40" t="s">
        <v>2500</v>
      </c>
      <c r="K11" s="42" t="s">
        <v>108</v>
      </c>
      <c r="L11" s="40" t="s">
        <v>2502</v>
      </c>
      <c r="M11" s="76" t="s">
        <v>1420</v>
      </c>
      <c r="N11" s="35"/>
      <c r="O11" s="35"/>
    </row>
    <row r="12" ht="57.75" customHeight="1">
      <c r="A12" s="81" t="s">
        <v>2503</v>
      </c>
      <c r="B12" s="25" t="s">
        <v>104</v>
      </c>
      <c r="C12" s="25" t="s">
        <v>86</v>
      </c>
      <c r="D12" s="27" t="s">
        <v>10</v>
      </c>
      <c r="E12" s="31" t="s">
        <v>2505</v>
      </c>
      <c r="F12" s="31" t="s">
        <v>2506</v>
      </c>
      <c r="G12" s="31" t="s">
        <v>2507</v>
      </c>
      <c r="H12" s="31" t="s">
        <v>2508</v>
      </c>
      <c r="I12" s="31" t="s">
        <v>2509</v>
      </c>
      <c r="J12" s="31" t="s">
        <v>2510</v>
      </c>
      <c r="K12" s="36" t="s">
        <v>66</v>
      </c>
      <c r="L12" s="31" t="s">
        <v>2511</v>
      </c>
      <c r="M12" s="76" t="s">
        <v>1420</v>
      </c>
      <c r="N12" s="25"/>
      <c r="O12" s="25"/>
    </row>
    <row r="13" ht="57.75" customHeight="1">
      <c r="A13" s="81" t="s">
        <v>2513</v>
      </c>
      <c r="B13" s="35" t="s">
        <v>104</v>
      </c>
      <c r="C13" s="35" t="s">
        <v>86</v>
      </c>
      <c r="D13" s="27" t="s">
        <v>10</v>
      </c>
      <c r="E13" s="40" t="s">
        <v>2515</v>
      </c>
      <c r="F13" s="40" t="s">
        <v>2516</v>
      </c>
      <c r="G13" s="40" t="s">
        <v>2518</v>
      </c>
      <c r="H13" s="40" t="s">
        <v>2445</v>
      </c>
      <c r="I13" s="40" t="s">
        <v>2442</v>
      </c>
      <c r="J13" s="40" t="s">
        <v>2522</v>
      </c>
      <c r="K13" s="42" t="s">
        <v>136</v>
      </c>
      <c r="L13" s="40" t="s">
        <v>2525</v>
      </c>
      <c r="M13" s="76" t="s">
        <v>1420</v>
      </c>
      <c r="N13" s="35"/>
      <c r="O13" s="35"/>
    </row>
    <row r="14" ht="57.75" customHeight="1">
      <c r="A14" s="81" t="s">
        <v>2526</v>
      </c>
      <c r="B14" s="25" t="s">
        <v>104</v>
      </c>
      <c r="C14" s="25" t="s">
        <v>86</v>
      </c>
      <c r="D14" s="27" t="s">
        <v>10</v>
      </c>
      <c r="E14" s="31" t="s">
        <v>2528</v>
      </c>
      <c r="F14" s="31" t="s">
        <v>2529</v>
      </c>
      <c r="G14" s="31" t="s">
        <v>2530</v>
      </c>
      <c r="H14" s="31" t="s">
        <v>2532</v>
      </c>
      <c r="I14" s="31" t="s">
        <v>2533</v>
      </c>
      <c r="J14" s="31" t="s">
        <v>2534</v>
      </c>
      <c r="K14" s="36" t="s">
        <v>136</v>
      </c>
      <c r="L14" s="31" t="s">
        <v>2536</v>
      </c>
      <c r="M14" s="76" t="s">
        <v>1420</v>
      </c>
      <c r="N14" s="25"/>
      <c r="O14" s="25"/>
    </row>
    <row r="15" ht="57.75" customHeight="1">
      <c r="A15" s="81" t="s">
        <v>2538</v>
      </c>
      <c r="B15" s="35" t="s">
        <v>104</v>
      </c>
      <c r="C15" s="35" t="s">
        <v>86</v>
      </c>
      <c r="D15" s="27" t="s">
        <v>10</v>
      </c>
      <c r="E15" s="40" t="s">
        <v>2541</v>
      </c>
      <c r="F15" s="40" t="s">
        <v>2542</v>
      </c>
      <c r="G15" s="40" t="s">
        <v>2543</v>
      </c>
      <c r="H15" s="40" t="s">
        <v>2544</v>
      </c>
      <c r="I15" s="40" t="s">
        <v>2546</v>
      </c>
      <c r="J15" s="40" t="s">
        <v>2547</v>
      </c>
      <c r="K15" s="42" t="s">
        <v>108</v>
      </c>
      <c r="L15" s="40" t="s">
        <v>2548</v>
      </c>
      <c r="M15" s="76" t="s">
        <v>1420</v>
      </c>
      <c r="N15" s="35"/>
      <c r="O15" s="35"/>
    </row>
    <row r="16" ht="57.75" customHeight="1">
      <c r="A16" s="81" t="s">
        <v>2550</v>
      </c>
      <c r="B16" s="25" t="s">
        <v>104</v>
      </c>
      <c r="C16" s="25" t="s">
        <v>86</v>
      </c>
      <c r="D16" s="27" t="s">
        <v>10</v>
      </c>
      <c r="E16" s="31" t="s">
        <v>2551</v>
      </c>
      <c r="F16" s="31" t="s">
        <v>2552</v>
      </c>
      <c r="G16" s="31" t="s">
        <v>2553</v>
      </c>
      <c r="H16" s="31" t="s">
        <v>2555</v>
      </c>
      <c r="I16" s="31" t="s">
        <v>2556</v>
      </c>
      <c r="J16" s="31" t="s">
        <v>2557</v>
      </c>
      <c r="K16" s="36" t="s">
        <v>136</v>
      </c>
      <c r="L16" s="31" t="s">
        <v>2558</v>
      </c>
      <c r="M16" s="76" t="s">
        <v>1420</v>
      </c>
      <c r="N16" s="25"/>
      <c r="O16" s="25"/>
    </row>
    <row r="17" ht="57.75" customHeight="1">
      <c r="A17" s="81" t="s">
        <v>2559</v>
      </c>
      <c r="B17" s="35" t="s">
        <v>104</v>
      </c>
      <c r="C17" s="35" t="s">
        <v>86</v>
      </c>
      <c r="D17" s="27" t="s">
        <v>10</v>
      </c>
      <c r="E17" s="40" t="s">
        <v>2560</v>
      </c>
      <c r="F17" s="40" t="s">
        <v>2561</v>
      </c>
      <c r="G17" s="40" t="s">
        <v>2562</v>
      </c>
      <c r="H17" s="40" t="s">
        <v>2563</v>
      </c>
      <c r="I17" s="40" t="s">
        <v>2564</v>
      </c>
      <c r="J17" s="40" t="s">
        <v>2565</v>
      </c>
      <c r="K17" s="42" t="s">
        <v>136</v>
      </c>
      <c r="L17" s="40" t="s">
        <v>2566</v>
      </c>
      <c r="M17" s="76" t="s">
        <v>1420</v>
      </c>
      <c r="N17" s="35"/>
      <c r="O17" s="35"/>
    </row>
    <row r="18" ht="57.75" customHeight="1">
      <c r="A18" s="81" t="s">
        <v>2567</v>
      </c>
      <c r="B18" s="25" t="s">
        <v>104</v>
      </c>
      <c r="C18" s="25" t="s">
        <v>86</v>
      </c>
      <c r="D18" s="27" t="s">
        <v>10</v>
      </c>
      <c r="E18" s="31" t="s">
        <v>2568</v>
      </c>
      <c r="F18" s="31" t="s">
        <v>2569</v>
      </c>
      <c r="G18" s="31" t="s">
        <v>2570</v>
      </c>
      <c r="H18" s="31" t="s">
        <v>2571</v>
      </c>
      <c r="I18" s="31" t="s">
        <v>2572</v>
      </c>
      <c r="J18" s="31" t="s">
        <v>2573</v>
      </c>
      <c r="K18" s="36" t="s">
        <v>136</v>
      </c>
      <c r="L18" s="31" t="s">
        <v>2574</v>
      </c>
      <c r="M18" s="76" t="s">
        <v>1420</v>
      </c>
      <c r="N18" s="25"/>
      <c r="O18" s="25"/>
    </row>
    <row r="19" ht="57.75" customHeight="1">
      <c r="A19" s="81" t="s">
        <v>2575</v>
      </c>
      <c r="B19" s="35" t="s">
        <v>104</v>
      </c>
      <c r="C19" s="35" t="s">
        <v>86</v>
      </c>
      <c r="D19" s="27" t="s">
        <v>10</v>
      </c>
      <c r="E19" s="40" t="s">
        <v>2576</v>
      </c>
      <c r="F19" s="40" t="s">
        <v>1381</v>
      </c>
      <c r="G19" s="40" t="s">
        <v>808</v>
      </c>
      <c r="H19" s="40" t="s">
        <v>2577</v>
      </c>
      <c r="I19" s="40" t="s">
        <v>805</v>
      </c>
      <c r="J19" s="40" t="s">
        <v>1380</v>
      </c>
      <c r="K19" s="42" t="s">
        <v>66</v>
      </c>
      <c r="L19" s="40" t="s">
        <v>2579</v>
      </c>
      <c r="M19" s="76" t="s">
        <v>1420</v>
      </c>
      <c r="N19" s="35"/>
      <c r="O19" s="35"/>
    </row>
    <row r="20" ht="57.75" customHeight="1">
      <c r="A20" s="81" t="s">
        <v>2580</v>
      </c>
      <c r="B20" s="25" t="s">
        <v>104</v>
      </c>
      <c r="C20" s="25" t="s">
        <v>86</v>
      </c>
      <c r="D20" s="27" t="s">
        <v>10</v>
      </c>
      <c r="E20" s="31" t="s">
        <v>2582</v>
      </c>
      <c r="F20" s="31" t="s">
        <v>808</v>
      </c>
      <c r="G20" s="31" t="s">
        <v>1381</v>
      </c>
      <c r="H20" s="31" t="s">
        <v>806</v>
      </c>
      <c r="I20" s="31" t="s">
        <v>1380</v>
      </c>
      <c r="J20" s="31" t="s">
        <v>2584</v>
      </c>
      <c r="K20" s="36" t="s">
        <v>136</v>
      </c>
      <c r="L20" s="31" t="s">
        <v>2585</v>
      </c>
      <c r="M20" s="76" t="s">
        <v>1420</v>
      </c>
      <c r="N20" s="25"/>
      <c r="O20" s="25"/>
    </row>
    <row r="21" ht="19.5" customHeight="1">
      <c r="A21" s="61" t="s">
        <v>255</v>
      </c>
      <c r="B21" s="3"/>
      <c r="C21" s="3"/>
      <c r="D21" s="3"/>
      <c r="E21" s="3"/>
      <c r="F21" s="3"/>
      <c r="G21" s="3"/>
      <c r="H21" s="3"/>
      <c r="I21" s="3"/>
      <c r="J21" s="3"/>
      <c r="K21" s="3"/>
      <c r="L21" s="3"/>
      <c r="M21" s="3"/>
      <c r="N21" s="3"/>
      <c r="O21" s="4"/>
    </row>
    <row r="22" ht="57.75" customHeight="1">
      <c r="A22" s="81" t="s">
        <v>2590</v>
      </c>
      <c r="B22" s="35" t="s">
        <v>104</v>
      </c>
      <c r="C22" s="35" t="s">
        <v>86</v>
      </c>
      <c r="D22" s="17" t="s">
        <v>12</v>
      </c>
      <c r="E22" s="40" t="s">
        <v>2595</v>
      </c>
      <c r="F22" s="40" t="s">
        <v>2597</v>
      </c>
      <c r="G22" s="40" t="s">
        <v>2598</v>
      </c>
      <c r="H22" s="40" t="s">
        <v>2599</v>
      </c>
      <c r="I22" s="40" t="s">
        <v>2486</v>
      </c>
      <c r="J22" s="40" t="s">
        <v>2601</v>
      </c>
      <c r="K22" s="42" t="s">
        <v>136</v>
      </c>
      <c r="L22" s="40" t="s">
        <v>2602</v>
      </c>
      <c r="M22" s="76" t="s">
        <v>1420</v>
      </c>
      <c r="N22" s="35"/>
      <c r="O22" s="35"/>
    </row>
    <row r="23" ht="57.75" customHeight="1">
      <c r="A23" s="81" t="s">
        <v>2605</v>
      </c>
      <c r="B23" s="25" t="s">
        <v>104</v>
      </c>
      <c r="C23" s="25" t="s">
        <v>86</v>
      </c>
      <c r="D23" s="17" t="s">
        <v>12</v>
      </c>
      <c r="E23" s="31" t="s">
        <v>2609</v>
      </c>
      <c r="F23" s="31" t="s">
        <v>2610</v>
      </c>
      <c r="G23" s="31" t="s">
        <v>2611</v>
      </c>
      <c r="H23" s="31" t="s">
        <v>2516</v>
      </c>
      <c r="I23" s="31" t="s">
        <v>2613</v>
      </c>
      <c r="J23" s="31" t="s">
        <v>2614</v>
      </c>
      <c r="K23" s="36" t="s">
        <v>136</v>
      </c>
      <c r="L23" s="31" t="s">
        <v>2616</v>
      </c>
      <c r="M23" s="76" t="s">
        <v>1420</v>
      </c>
      <c r="N23" s="25"/>
      <c r="O23" s="25"/>
    </row>
    <row r="24" ht="57.75" customHeight="1">
      <c r="A24" s="81" t="s">
        <v>2618</v>
      </c>
      <c r="B24" s="35" t="s">
        <v>104</v>
      </c>
      <c r="C24" s="35" t="s">
        <v>86</v>
      </c>
      <c r="D24" s="17" t="s">
        <v>12</v>
      </c>
      <c r="E24" s="40" t="s">
        <v>2619</v>
      </c>
      <c r="F24" s="40" t="s">
        <v>2620</v>
      </c>
      <c r="G24" s="40" t="s">
        <v>2621</v>
      </c>
      <c r="H24" s="40" t="s">
        <v>2610</v>
      </c>
      <c r="I24" s="40" t="s">
        <v>2611</v>
      </c>
      <c r="J24" s="40" t="s">
        <v>2623</v>
      </c>
      <c r="K24" s="42" t="s">
        <v>136</v>
      </c>
      <c r="L24" s="40" t="s">
        <v>2625</v>
      </c>
      <c r="M24" s="76" t="s">
        <v>1420</v>
      </c>
      <c r="N24" s="35"/>
      <c r="O24" s="35"/>
    </row>
    <row r="25" ht="57.75" customHeight="1">
      <c r="A25" s="81" t="s">
        <v>2627</v>
      </c>
      <c r="B25" s="25" t="s">
        <v>104</v>
      </c>
      <c r="C25" s="25" t="s">
        <v>86</v>
      </c>
      <c r="D25" s="17" t="s">
        <v>12</v>
      </c>
      <c r="E25" s="31" t="s">
        <v>2631</v>
      </c>
      <c r="F25" s="31" t="s">
        <v>2632</v>
      </c>
      <c r="G25" s="31" t="s">
        <v>2633</v>
      </c>
      <c r="H25" s="31" t="s">
        <v>2634</v>
      </c>
      <c r="I25" s="31" t="s">
        <v>2635</v>
      </c>
      <c r="J25" s="31" t="s">
        <v>2610</v>
      </c>
      <c r="K25" s="36" t="s">
        <v>136</v>
      </c>
      <c r="L25" s="31" t="s">
        <v>2636</v>
      </c>
      <c r="M25" s="76" t="s">
        <v>1420</v>
      </c>
      <c r="N25" s="25"/>
      <c r="O25" s="25"/>
    </row>
    <row r="26" ht="57.75" customHeight="1">
      <c r="A26" s="81" t="s">
        <v>2637</v>
      </c>
      <c r="B26" s="35" t="s">
        <v>104</v>
      </c>
      <c r="C26" s="35" t="s">
        <v>86</v>
      </c>
      <c r="D26" s="17" t="s">
        <v>12</v>
      </c>
      <c r="E26" s="40" t="s">
        <v>2639</v>
      </c>
      <c r="F26" s="40" t="s">
        <v>2640</v>
      </c>
      <c r="G26" s="40" t="s">
        <v>2642</v>
      </c>
      <c r="H26" s="40" t="s">
        <v>2643</v>
      </c>
      <c r="I26" s="40" t="s">
        <v>2507</v>
      </c>
      <c r="J26" s="40" t="s">
        <v>2509</v>
      </c>
      <c r="K26" s="42" t="s">
        <v>136</v>
      </c>
      <c r="L26" s="40" t="s">
        <v>2647</v>
      </c>
      <c r="M26" s="76" t="s">
        <v>1420</v>
      </c>
      <c r="N26" s="35"/>
      <c r="O26" s="35"/>
    </row>
    <row r="27" ht="57.75" customHeight="1">
      <c r="A27" s="81" t="s">
        <v>2650</v>
      </c>
      <c r="B27" s="25" t="s">
        <v>104</v>
      </c>
      <c r="C27" s="25" t="s">
        <v>86</v>
      </c>
      <c r="D27" s="17" t="s">
        <v>12</v>
      </c>
      <c r="E27" s="31" t="s">
        <v>2652</v>
      </c>
      <c r="F27" s="31" t="s">
        <v>2653</v>
      </c>
      <c r="G27" s="31" t="s">
        <v>2633</v>
      </c>
      <c r="H27" s="31" t="s">
        <v>2655</v>
      </c>
      <c r="I27" s="31" t="s">
        <v>2656</v>
      </c>
      <c r="J27" s="31" t="s">
        <v>2658</v>
      </c>
      <c r="K27" s="36" t="s">
        <v>136</v>
      </c>
      <c r="L27" s="31" t="s">
        <v>2659</v>
      </c>
      <c r="M27" s="76" t="s">
        <v>1420</v>
      </c>
      <c r="N27" s="25"/>
      <c r="O27" s="25"/>
    </row>
    <row r="28" ht="57.75" customHeight="1">
      <c r="A28" s="81" t="s">
        <v>2661</v>
      </c>
      <c r="B28" s="35" t="s">
        <v>104</v>
      </c>
      <c r="C28" s="35" t="s">
        <v>86</v>
      </c>
      <c r="D28" s="17" t="s">
        <v>12</v>
      </c>
      <c r="E28" s="40" t="s">
        <v>2663</v>
      </c>
      <c r="F28" s="40" t="s">
        <v>1435</v>
      </c>
      <c r="G28" s="40" t="s">
        <v>1431</v>
      </c>
      <c r="H28" s="40" t="s">
        <v>1432</v>
      </c>
      <c r="I28" s="40" t="s">
        <v>2666</v>
      </c>
      <c r="J28" s="40" t="s">
        <v>1436</v>
      </c>
      <c r="K28" s="42" t="s">
        <v>136</v>
      </c>
      <c r="L28" s="40" t="s">
        <v>2668</v>
      </c>
      <c r="M28" s="76" t="s">
        <v>1420</v>
      </c>
      <c r="N28" s="35"/>
      <c r="O28" s="35"/>
    </row>
    <row r="29" ht="57.75" customHeight="1">
      <c r="A29" s="81" t="s">
        <v>2669</v>
      </c>
      <c r="B29" s="25" t="s">
        <v>104</v>
      </c>
      <c r="C29" s="25" t="s">
        <v>86</v>
      </c>
      <c r="D29" s="17" t="s">
        <v>12</v>
      </c>
      <c r="E29" s="31" t="s">
        <v>2671</v>
      </c>
      <c r="F29" s="31" t="s">
        <v>2640</v>
      </c>
      <c r="G29" s="31" t="s">
        <v>2673</v>
      </c>
      <c r="H29" s="31" t="s">
        <v>2643</v>
      </c>
      <c r="I29" s="31" t="s">
        <v>2642</v>
      </c>
      <c r="J29" s="31" t="s">
        <v>2674</v>
      </c>
      <c r="K29" s="36" t="s">
        <v>136</v>
      </c>
      <c r="L29" s="31" t="s">
        <v>2677</v>
      </c>
      <c r="M29" s="76" t="s">
        <v>1420</v>
      </c>
      <c r="N29" s="25"/>
      <c r="O29" s="25"/>
    </row>
    <row r="30" ht="57.75" customHeight="1">
      <c r="A30" s="81" t="s">
        <v>2682</v>
      </c>
      <c r="B30" s="35" t="s">
        <v>104</v>
      </c>
      <c r="C30" s="35" t="s">
        <v>86</v>
      </c>
      <c r="D30" s="17" t="s">
        <v>12</v>
      </c>
      <c r="E30" s="40" t="s">
        <v>2684</v>
      </c>
      <c r="F30" s="40" t="s">
        <v>2685</v>
      </c>
      <c r="G30" s="40" t="s">
        <v>2686</v>
      </c>
      <c r="H30" s="40" t="s">
        <v>2687</v>
      </c>
      <c r="I30" s="40" t="s">
        <v>2689</v>
      </c>
      <c r="J30" s="40" t="s">
        <v>2563</v>
      </c>
      <c r="K30" s="42" t="s">
        <v>136</v>
      </c>
      <c r="L30" s="40" t="s">
        <v>2690</v>
      </c>
      <c r="M30" s="76" t="s">
        <v>1420</v>
      </c>
      <c r="N30" s="35"/>
      <c r="O30" s="35"/>
    </row>
    <row r="31" ht="57.75" customHeight="1">
      <c r="A31" s="81" t="s">
        <v>2694</v>
      </c>
      <c r="B31" s="25" t="s">
        <v>104</v>
      </c>
      <c r="C31" s="25" t="s">
        <v>86</v>
      </c>
      <c r="D31" s="17" t="s">
        <v>12</v>
      </c>
      <c r="E31" s="31" t="s">
        <v>2698</v>
      </c>
      <c r="F31" s="31" t="s">
        <v>2699</v>
      </c>
      <c r="G31" s="31" t="s">
        <v>2701</v>
      </c>
      <c r="H31" s="31" t="s">
        <v>2702</v>
      </c>
      <c r="I31" s="31" t="s">
        <v>2704</v>
      </c>
      <c r="J31" s="31" t="s">
        <v>2705</v>
      </c>
      <c r="K31" s="36" t="s">
        <v>66</v>
      </c>
      <c r="L31" s="31" t="s">
        <v>2707</v>
      </c>
      <c r="M31" s="76" t="s">
        <v>1420</v>
      </c>
      <c r="N31" s="25"/>
      <c r="O31" s="25"/>
    </row>
    <row r="32" ht="57.75" customHeight="1">
      <c r="A32" s="81" t="s">
        <v>2708</v>
      </c>
      <c r="B32" s="35" t="s">
        <v>104</v>
      </c>
      <c r="C32" s="35" t="s">
        <v>86</v>
      </c>
      <c r="D32" s="17" t="s">
        <v>12</v>
      </c>
      <c r="E32" s="40" t="s">
        <v>2711</v>
      </c>
      <c r="F32" s="40" t="s">
        <v>2712</v>
      </c>
      <c r="G32" s="40" t="s">
        <v>805</v>
      </c>
      <c r="H32" s="40" t="s">
        <v>1549</v>
      </c>
      <c r="I32" s="40" t="s">
        <v>2714</v>
      </c>
      <c r="J32" s="40" t="s">
        <v>1380</v>
      </c>
      <c r="K32" s="42" t="s">
        <v>136</v>
      </c>
      <c r="L32" s="40" t="s">
        <v>2717</v>
      </c>
      <c r="M32" s="76" t="s">
        <v>1420</v>
      </c>
      <c r="N32" s="35"/>
      <c r="O32" s="35"/>
    </row>
    <row r="33" ht="57.75" customHeight="1">
      <c r="A33" s="81" t="s">
        <v>2720</v>
      </c>
      <c r="B33" s="25" t="s">
        <v>104</v>
      </c>
      <c r="C33" s="25" t="s">
        <v>86</v>
      </c>
      <c r="D33" s="17" t="s">
        <v>12</v>
      </c>
      <c r="E33" s="31" t="s">
        <v>2723</v>
      </c>
      <c r="F33" s="31" t="s">
        <v>808</v>
      </c>
      <c r="G33" s="31" t="s">
        <v>806</v>
      </c>
      <c r="H33" s="31" t="s">
        <v>1380</v>
      </c>
      <c r="I33" s="31" t="s">
        <v>1381</v>
      </c>
      <c r="J33" s="31" t="s">
        <v>1670</v>
      </c>
      <c r="K33" s="36" t="s">
        <v>136</v>
      </c>
      <c r="L33" s="31" t="s">
        <v>2727</v>
      </c>
      <c r="M33" s="76" t="s">
        <v>1420</v>
      </c>
      <c r="N33" s="25"/>
      <c r="O33" s="25"/>
    </row>
    <row r="34" ht="57.75" customHeight="1">
      <c r="A34" s="81" t="s">
        <v>2729</v>
      </c>
      <c r="B34" s="35" t="s">
        <v>104</v>
      </c>
      <c r="C34" s="35" t="s">
        <v>86</v>
      </c>
      <c r="D34" s="17" t="s">
        <v>12</v>
      </c>
      <c r="E34" s="40" t="s">
        <v>2734</v>
      </c>
      <c r="F34" s="40" t="s">
        <v>2712</v>
      </c>
      <c r="G34" s="40" t="s">
        <v>2736</v>
      </c>
      <c r="H34" s="40" t="s">
        <v>2738</v>
      </c>
      <c r="I34" s="40" t="s">
        <v>1549</v>
      </c>
      <c r="J34" s="40" t="s">
        <v>2740</v>
      </c>
      <c r="K34" s="42" t="s">
        <v>136</v>
      </c>
      <c r="L34" s="40" t="s">
        <v>2742</v>
      </c>
      <c r="M34" s="76" t="s">
        <v>1420</v>
      </c>
      <c r="N34" s="35"/>
      <c r="O34" s="35"/>
    </row>
    <row r="35" ht="57.75" customHeight="1">
      <c r="A35" s="81" t="s">
        <v>2743</v>
      </c>
      <c r="B35" s="25" t="s">
        <v>104</v>
      </c>
      <c r="C35" s="25" t="s">
        <v>86</v>
      </c>
      <c r="D35" s="17" t="s">
        <v>12</v>
      </c>
      <c r="E35" s="31" t="s">
        <v>2748</v>
      </c>
      <c r="F35" s="31" t="s">
        <v>2750</v>
      </c>
      <c r="G35" s="31" t="s">
        <v>804</v>
      </c>
      <c r="H35" s="31" t="s">
        <v>2752</v>
      </c>
      <c r="I35" s="31" t="s">
        <v>2738</v>
      </c>
      <c r="J35" s="31" t="s">
        <v>2712</v>
      </c>
      <c r="K35" s="36" t="s">
        <v>136</v>
      </c>
      <c r="L35" s="31" t="s">
        <v>2756</v>
      </c>
      <c r="M35" s="76" t="s">
        <v>1420</v>
      </c>
      <c r="N35" s="25"/>
      <c r="O35" s="25"/>
    </row>
    <row r="36" ht="57.75" customHeight="1">
      <c r="A36" s="81" t="s">
        <v>2758</v>
      </c>
      <c r="B36" s="35" t="s">
        <v>104</v>
      </c>
      <c r="C36" s="35" t="s">
        <v>86</v>
      </c>
      <c r="D36" s="17" t="s">
        <v>12</v>
      </c>
      <c r="E36" s="40" t="s">
        <v>2760</v>
      </c>
      <c r="F36" s="40" t="s">
        <v>808</v>
      </c>
      <c r="G36" s="40" t="s">
        <v>807</v>
      </c>
      <c r="H36" s="40" t="s">
        <v>1380</v>
      </c>
      <c r="I36" s="40" t="s">
        <v>1381</v>
      </c>
      <c r="J36" s="40" t="s">
        <v>2763</v>
      </c>
      <c r="K36" s="42" t="s">
        <v>136</v>
      </c>
      <c r="L36" s="40" t="s">
        <v>2765</v>
      </c>
      <c r="M36" s="76" t="s">
        <v>1420</v>
      </c>
      <c r="N36" s="35"/>
      <c r="O36" s="35"/>
    </row>
    <row r="37" ht="19.5" customHeight="1">
      <c r="A37" s="69" t="s">
        <v>435</v>
      </c>
      <c r="B37" s="3"/>
      <c r="C37" s="3"/>
      <c r="D37" s="3"/>
      <c r="E37" s="3"/>
      <c r="F37" s="3"/>
      <c r="G37" s="3"/>
      <c r="H37" s="3"/>
      <c r="I37" s="3"/>
      <c r="J37" s="3"/>
      <c r="K37" s="3"/>
      <c r="L37" s="3"/>
      <c r="M37" s="3"/>
      <c r="N37" s="3"/>
      <c r="O37" s="4"/>
    </row>
    <row r="38" ht="57.75" customHeight="1">
      <c r="A38" s="81" t="s">
        <v>2777</v>
      </c>
      <c r="B38" s="25" t="s">
        <v>104</v>
      </c>
      <c r="C38" s="25" t="s">
        <v>86</v>
      </c>
      <c r="D38" s="38" t="s">
        <v>13</v>
      </c>
      <c r="E38" s="31" t="s">
        <v>2784</v>
      </c>
      <c r="F38" s="31" t="s">
        <v>808</v>
      </c>
      <c r="G38" s="31" t="s">
        <v>1380</v>
      </c>
      <c r="H38" s="31" t="s">
        <v>2785</v>
      </c>
      <c r="I38" s="31" t="s">
        <v>1670</v>
      </c>
      <c r="J38" s="31" t="s">
        <v>2787</v>
      </c>
      <c r="K38" s="36" t="s">
        <v>108</v>
      </c>
      <c r="L38" s="31" t="s">
        <v>2789</v>
      </c>
      <c r="M38" s="76" t="s">
        <v>1420</v>
      </c>
      <c r="N38" s="25"/>
      <c r="O38" s="25"/>
    </row>
    <row r="39" ht="57.75" customHeight="1">
      <c r="A39" s="81" t="s">
        <v>2793</v>
      </c>
      <c r="B39" s="35" t="s">
        <v>104</v>
      </c>
      <c r="C39" s="35" t="s">
        <v>86</v>
      </c>
      <c r="D39" s="38" t="s">
        <v>13</v>
      </c>
      <c r="E39" s="40" t="s">
        <v>2797</v>
      </c>
      <c r="F39" s="40" t="s">
        <v>806</v>
      </c>
      <c r="G39" s="40" t="s">
        <v>808</v>
      </c>
      <c r="H39" s="40" t="s">
        <v>1380</v>
      </c>
      <c r="I39" s="40" t="s">
        <v>2785</v>
      </c>
      <c r="J39" s="40" t="s">
        <v>1670</v>
      </c>
      <c r="K39" s="42" t="s">
        <v>66</v>
      </c>
      <c r="L39" s="40" t="s">
        <v>2814</v>
      </c>
      <c r="M39" s="76" t="s">
        <v>1420</v>
      </c>
      <c r="N39" s="35"/>
      <c r="O39" s="35"/>
    </row>
    <row r="40" ht="57.75" customHeight="1">
      <c r="A40" s="81" t="s">
        <v>2818</v>
      </c>
      <c r="B40" s="25" t="s">
        <v>104</v>
      </c>
      <c r="C40" s="25" t="s">
        <v>86</v>
      </c>
      <c r="D40" s="38" t="s">
        <v>13</v>
      </c>
      <c r="E40" s="31" t="s">
        <v>2822</v>
      </c>
      <c r="F40" s="31" t="s">
        <v>2785</v>
      </c>
      <c r="G40" s="31" t="s">
        <v>1670</v>
      </c>
      <c r="H40" s="31" t="s">
        <v>2787</v>
      </c>
      <c r="I40" s="31" t="s">
        <v>1342</v>
      </c>
      <c r="J40" s="31" t="s">
        <v>1549</v>
      </c>
      <c r="K40" s="36" t="s">
        <v>108</v>
      </c>
      <c r="L40" s="31" t="s">
        <v>2830</v>
      </c>
      <c r="M40" s="76" t="s">
        <v>1420</v>
      </c>
      <c r="N40" s="25"/>
      <c r="O40" s="25"/>
    </row>
    <row r="41" ht="57.75" customHeight="1">
      <c r="A41" s="81" t="s">
        <v>2834</v>
      </c>
      <c r="B41" s="35" t="s">
        <v>104</v>
      </c>
      <c r="C41" s="35" t="s">
        <v>86</v>
      </c>
      <c r="D41" s="38" t="s">
        <v>13</v>
      </c>
      <c r="E41" s="40" t="s">
        <v>2837</v>
      </c>
      <c r="F41" s="40" t="s">
        <v>806</v>
      </c>
      <c r="G41" s="40" t="s">
        <v>808</v>
      </c>
      <c r="H41" s="40" t="s">
        <v>1380</v>
      </c>
      <c r="I41" s="40" t="s">
        <v>2785</v>
      </c>
      <c r="J41" s="40" t="s">
        <v>1670</v>
      </c>
      <c r="K41" s="42" t="s">
        <v>66</v>
      </c>
      <c r="L41" s="40" t="s">
        <v>2846</v>
      </c>
      <c r="M41" s="76" t="s">
        <v>1420</v>
      </c>
      <c r="N41" s="35"/>
      <c r="O41" s="35"/>
    </row>
    <row r="42" ht="57.75" customHeight="1">
      <c r="A42" s="81" t="s">
        <v>2851</v>
      </c>
      <c r="B42" s="25" t="s">
        <v>104</v>
      </c>
      <c r="C42" s="25" t="s">
        <v>86</v>
      </c>
      <c r="D42" s="38" t="s">
        <v>13</v>
      </c>
      <c r="E42" s="31" t="s">
        <v>2855</v>
      </c>
      <c r="F42" s="31" t="s">
        <v>808</v>
      </c>
      <c r="G42" s="31" t="s">
        <v>1380</v>
      </c>
      <c r="H42" s="31" t="s">
        <v>2785</v>
      </c>
      <c r="I42" s="31" t="s">
        <v>1670</v>
      </c>
      <c r="J42" s="31" t="s">
        <v>2787</v>
      </c>
      <c r="K42" s="36" t="s">
        <v>108</v>
      </c>
      <c r="L42" s="31" t="s">
        <v>2861</v>
      </c>
      <c r="M42" s="76" t="s">
        <v>1420</v>
      </c>
      <c r="N42" s="25"/>
      <c r="O42" s="25"/>
    </row>
    <row r="43" ht="57.75" customHeight="1">
      <c r="A43" s="81" t="s">
        <v>2864</v>
      </c>
      <c r="B43" s="35" t="s">
        <v>104</v>
      </c>
      <c r="C43" s="35" t="s">
        <v>86</v>
      </c>
      <c r="D43" s="38" t="s">
        <v>13</v>
      </c>
      <c r="E43" s="40" t="s">
        <v>2866</v>
      </c>
      <c r="F43" s="40" t="s">
        <v>806</v>
      </c>
      <c r="G43" s="40" t="s">
        <v>808</v>
      </c>
      <c r="H43" s="40" t="s">
        <v>1380</v>
      </c>
      <c r="I43" s="40" t="s">
        <v>1670</v>
      </c>
      <c r="J43" s="40" t="s">
        <v>2787</v>
      </c>
      <c r="K43" s="42" t="s">
        <v>66</v>
      </c>
      <c r="L43" s="40" t="s">
        <v>2872</v>
      </c>
      <c r="M43" s="76" t="s">
        <v>1420</v>
      </c>
      <c r="N43" s="35"/>
      <c r="O43" s="35"/>
    </row>
    <row r="44" ht="57.75" customHeight="1">
      <c r="A44" s="81" t="s">
        <v>2876</v>
      </c>
      <c r="B44" s="25" t="s">
        <v>104</v>
      </c>
      <c r="C44" s="25" t="s">
        <v>86</v>
      </c>
      <c r="D44" s="38" t="s">
        <v>13</v>
      </c>
      <c r="E44" s="31" t="s">
        <v>2881</v>
      </c>
      <c r="F44" s="31" t="s">
        <v>1380</v>
      </c>
      <c r="G44" s="31" t="s">
        <v>2785</v>
      </c>
      <c r="H44" s="31" t="s">
        <v>1670</v>
      </c>
      <c r="I44" s="31" t="s">
        <v>2787</v>
      </c>
      <c r="J44" s="31" t="s">
        <v>1342</v>
      </c>
      <c r="K44" s="36" t="s">
        <v>108</v>
      </c>
      <c r="L44" s="31" t="s">
        <v>2886</v>
      </c>
      <c r="M44" s="76" t="s">
        <v>1420</v>
      </c>
      <c r="N44" s="25"/>
      <c r="O44" s="25"/>
    </row>
    <row r="45" ht="57.75" customHeight="1">
      <c r="A45" s="81" t="s">
        <v>2889</v>
      </c>
      <c r="B45" s="35" t="s">
        <v>104</v>
      </c>
      <c r="C45" s="35" t="s">
        <v>86</v>
      </c>
      <c r="D45" s="38" t="s">
        <v>13</v>
      </c>
      <c r="E45" s="40" t="s">
        <v>2892</v>
      </c>
      <c r="F45" s="40" t="s">
        <v>2785</v>
      </c>
      <c r="G45" s="40" t="s">
        <v>1670</v>
      </c>
      <c r="H45" s="40" t="s">
        <v>2787</v>
      </c>
      <c r="I45" s="40" t="s">
        <v>1342</v>
      </c>
      <c r="J45" s="40" t="s">
        <v>1549</v>
      </c>
      <c r="K45" s="42" t="s">
        <v>108</v>
      </c>
      <c r="L45" s="40" t="s">
        <v>2899</v>
      </c>
      <c r="M45" s="76" t="s">
        <v>1420</v>
      </c>
      <c r="N45" s="35"/>
      <c r="O45" s="35"/>
    </row>
    <row r="46" ht="57.75" customHeight="1">
      <c r="A46" s="81" t="s">
        <v>2903</v>
      </c>
      <c r="B46" s="25" t="s">
        <v>104</v>
      </c>
      <c r="C46" s="25" t="s">
        <v>86</v>
      </c>
      <c r="D46" s="38" t="s">
        <v>13</v>
      </c>
      <c r="E46" s="31" t="s">
        <v>2906</v>
      </c>
      <c r="F46" s="31" t="s">
        <v>1670</v>
      </c>
      <c r="G46" s="31" t="s">
        <v>2787</v>
      </c>
      <c r="H46" s="31" t="s">
        <v>1342</v>
      </c>
      <c r="I46" s="31" t="s">
        <v>1344</v>
      </c>
      <c r="J46" s="31" t="s">
        <v>1549</v>
      </c>
      <c r="K46" s="36" t="s">
        <v>108</v>
      </c>
      <c r="L46" s="31" t="s">
        <v>2910</v>
      </c>
      <c r="M46" s="76" t="s">
        <v>1420</v>
      </c>
      <c r="N46" s="25"/>
      <c r="O46" s="25"/>
    </row>
    <row r="47" ht="57.75" customHeight="1">
      <c r="A47" s="81" t="s">
        <v>2913</v>
      </c>
      <c r="B47" s="35" t="s">
        <v>104</v>
      </c>
      <c r="C47" s="35" t="s">
        <v>86</v>
      </c>
      <c r="D47" s="38" t="s">
        <v>13</v>
      </c>
      <c r="E47" s="40" t="s">
        <v>2916</v>
      </c>
      <c r="F47" s="40" t="s">
        <v>2785</v>
      </c>
      <c r="G47" s="40" t="s">
        <v>1670</v>
      </c>
      <c r="H47" s="40" t="s">
        <v>2787</v>
      </c>
      <c r="I47" s="40" t="s">
        <v>1342</v>
      </c>
      <c r="J47" s="40" t="s">
        <v>1549</v>
      </c>
      <c r="K47" s="42" t="s">
        <v>108</v>
      </c>
      <c r="L47" s="40" t="s">
        <v>2923</v>
      </c>
      <c r="M47" s="76" t="s">
        <v>1420</v>
      </c>
      <c r="N47" s="35"/>
      <c r="O47" s="35"/>
    </row>
    <row r="48" ht="57.75" customHeight="1">
      <c r="A48" s="81" t="s">
        <v>2926</v>
      </c>
      <c r="B48" s="25" t="s">
        <v>104</v>
      </c>
      <c r="C48" s="25" t="s">
        <v>86</v>
      </c>
      <c r="D48" s="38" t="s">
        <v>13</v>
      </c>
      <c r="E48" s="31" t="s">
        <v>2928</v>
      </c>
      <c r="F48" s="31" t="s">
        <v>808</v>
      </c>
      <c r="G48" s="31" t="s">
        <v>1380</v>
      </c>
      <c r="H48" s="31" t="s">
        <v>2785</v>
      </c>
      <c r="I48" s="31" t="s">
        <v>1670</v>
      </c>
      <c r="J48" s="31" t="s">
        <v>2787</v>
      </c>
      <c r="K48" s="36" t="s">
        <v>201</v>
      </c>
      <c r="L48" s="31" t="s">
        <v>2932</v>
      </c>
      <c r="M48" s="76" t="s">
        <v>1420</v>
      </c>
      <c r="N48" s="25"/>
      <c r="O48" s="25"/>
    </row>
    <row r="49" ht="57.75" customHeight="1">
      <c r="A49" s="81" t="s">
        <v>2934</v>
      </c>
      <c r="B49" s="35" t="s">
        <v>104</v>
      </c>
      <c r="C49" s="35" t="s">
        <v>86</v>
      </c>
      <c r="D49" s="38" t="s">
        <v>13</v>
      </c>
      <c r="E49" s="40" t="s">
        <v>2937</v>
      </c>
      <c r="F49" s="40" t="s">
        <v>808</v>
      </c>
      <c r="G49" s="40" t="s">
        <v>1380</v>
      </c>
      <c r="H49" s="40" t="s">
        <v>2785</v>
      </c>
      <c r="I49" s="40" t="s">
        <v>1670</v>
      </c>
      <c r="J49" s="40" t="s">
        <v>2787</v>
      </c>
      <c r="K49" s="42" t="s">
        <v>108</v>
      </c>
      <c r="L49" s="40" t="s">
        <v>2942</v>
      </c>
      <c r="M49" s="76" t="s">
        <v>1420</v>
      </c>
      <c r="N49" s="35"/>
      <c r="O49" s="35"/>
    </row>
    <row r="50" ht="57.75" customHeight="1">
      <c r="A50" s="81" t="s">
        <v>2945</v>
      </c>
      <c r="B50" s="25" t="s">
        <v>104</v>
      </c>
      <c r="C50" s="25" t="s">
        <v>86</v>
      </c>
      <c r="D50" s="38" t="s">
        <v>13</v>
      </c>
      <c r="E50" s="31" t="s">
        <v>2949</v>
      </c>
      <c r="F50" s="31" t="s">
        <v>2785</v>
      </c>
      <c r="G50" s="31" t="s">
        <v>1670</v>
      </c>
      <c r="H50" s="31" t="s">
        <v>2787</v>
      </c>
      <c r="I50" s="31" t="s">
        <v>1342</v>
      </c>
      <c r="J50" s="31" t="s">
        <v>1549</v>
      </c>
      <c r="K50" s="36" t="s">
        <v>108</v>
      </c>
      <c r="L50" s="31" t="s">
        <v>2957</v>
      </c>
      <c r="M50" s="76" t="s">
        <v>1420</v>
      </c>
      <c r="N50" s="25"/>
      <c r="O50" s="25"/>
    </row>
    <row r="51" ht="57.75" customHeight="1">
      <c r="A51" s="81" t="s">
        <v>2961</v>
      </c>
      <c r="B51" s="35" t="s">
        <v>104</v>
      </c>
      <c r="C51" s="35" t="s">
        <v>86</v>
      </c>
      <c r="D51" s="38" t="s">
        <v>13</v>
      </c>
      <c r="E51" s="40" t="s">
        <v>2965</v>
      </c>
      <c r="F51" s="40" t="s">
        <v>1380</v>
      </c>
      <c r="G51" s="40" t="s">
        <v>2785</v>
      </c>
      <c r="H51" s="40" t="s">
        <v>1670</v>
      </c>
      <c r="I51" s="40" t="s">
        <v>2787</v>
      </c>
      <c r="J51" s="40" t="s">
        <v>1342</v>
      </c>
      <c r="K51" s="42" t="s">
        <v>108</v>
      </c>
      <c r="L51" s="40" t="s">
        <v>2972</v>
      </c>
      <c r="M51" s="76" t="s">
        <v>1420</v>
      </c>
      <c r="N51" s="35"/>
      <c r="O51" s="35"/>
    </row>
    <row r="52" ht="57.75" customHeight="1">
      <c r="A52" s="81" t="s">
        <v>2974</v>
      </c>
      <c r="B52" s="25" t="s">
        <v>104</v>
      </c>
      <c r="C52" s="25" t="s">
        <v>86</v>
      </c>
      <c r="D52" s="38" t="s">
        <v>13</v>
      </c>
      <c r="E52" s="31" t="s">
        <v>2976</v>
      </c>
      <c r="F52" s="31" t="s">
        <v>806</v>
      </c>
      <c r="G52" s="31" t="s">
        <v>808</v>
      </c>
      <c r="H52" s="31" t="s">
        <v>1380</v>
      </c>
      <c r="I52" s="31" t="s">
        <v>2785</v>
      </c>
      <c r="J52" s="31" t="s">
        <v>1670</v>
      </c>
      <c r="K52" s="36" t="s">
        <v>66</v>
      </c>
      <c r="L52" s="31" t="s">
        <v>2983</v>
      </c>
      <c r="M52" s="76" t="s">
        <v>1420</v>
      </c>
      <c r="N52" s="25"/>
      <c r="O52" s="25"/>
    </row>
    <row r="53" ht="25.5" customHeight="1">
      <c r="A53" s="49" t="s">
        <v>2987</v>
      </c>
      <c r="B53" s="50"/>
      <c r="C53" s="50"/>
      <c r="D53" s="50"/>
      <c r="E53" s="50"/>
      <c r="F53" s="50"/>
      <c r="G53" s="50"/>
      <c r="H53" s="50"/>
      <c r="I53" s="50"/>
      <c r="J53" s="52"/>
      <c r="M53" s="82">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79" t="s">
        <v>2419</v>
      </c>
      <c r="B1" s="3"/>
      <c r="C1" s="3"/>
      <c r="D1" s="3"/>
      <c r="E1" s="3"/>
      <c r="F1" s="3"/>
      <c r="G1" s="3"/>
      <c r="H1" s="3"/>
      <c r="I1" s="3"/>
      <c r="J1" s="3"/>
      <c r="K1" s="3"/>
      <c r="L1" s="3"/>
      <c r="M1" s="3"/>
      <c r="N1" s="3"/>
      <c r="O1" s="4"/>
    </row>
    <row r="2" ht="30.0" customHeight="1">
      <c r="A2" s="80" t="s">
        <v>2421</v>
      </c>
      <c r="B2" s="3"/>
      <c r="C2" s="3"/>
      <c r="D2" s="3"/>
      <c r="E2" s="3"/>
      <c r="F2" s="3"/>
      <c r="G2" s="3"/>
      <c r="H2" s="3"/>
      <c r="I2" s="3"/>
      <c r="J2" s="3"/>
      <c r="K2" s="3"/>
      <c r="L2" s="3"/>
      <c r="M2" s="3"/>
      <c r="N2" s="3"/>
      <c r="O2" s="4"/>
    </row>
    <row r="3" ht="19.5" customHeight="1">
      <c r="A3" s="10" t="s">
        <v>11</v>
      </c>
      <c r="B3" s="3"/>
      <c r="C3" s="3"/>
      <c r="D3" s="3"/>
      <c r="E3" s="3"/>
      <c r="F3" s="3"/>
      <c r="G3" s="3"/>
      <c r="H3" s="3"/>
      <c r="I3" s="3"/>
      <c r="J3" s="3"/>
      <c r="K3" s="3"/>
      <c r="L3" s="3"/>
      <c r="M3" s="3"/>
      <c r="N3" s="3"/>
      <c r="O3" s="4"/>
    </row>
    <row r="4" ht="24.75" customHeight="1">
      <c r="A4" s="9" t="s">
        <v>22</v>
      </c>
      <c r="B4" s="9" t="s">
        <v>8</v>
      </c>
      <c r="C4" s="9" t="s">
        <v>14</v>
      </c>
      <c r="D4" s="9" t="s">
        <v>24</v>
      </c>
      <c r="E4" s="9" t="s">
        <v>25</v>
      </c>
      <c r="F4" s="9" t="s">
        <v>26</v>
      </c>
      <c r="G4" s="9" t="s">
        <v>27</v>
      </c>
      <c r="H4" s="9" t="s">
        <v>28</v>
      </c>
      <c r="I4" s="9" t="s">
        <v>29</v>
      </c>
      <c r="J4" s="9" t="s">
        <v>31</v>
      </c>
      <c r="K4" s="9" t="s">
        <v>32</v>
      </c>
      <c r="L4" s="9" t="s">
        <v>33</v>
      </c>
      <c r="M4" s="9" t="s">
        <v>17</v>
      </c>
      <c r="N4" s="9" t="s">
        <v>35</v>
      </c>
      <c r="O4" s="9" t="s">
        <v>36</v>
      </c>
    </row>
    <row r="5" ht="19.5" customHeight="1">
      <c r="A5" s="18" t="s">
        <v>37</v>
      </c>
      <c r="B5" s="3"/>
      <c r="C5" s="3"/>
      <c r="D5" s="3"/>
      <c r="E5" s="3"/>
      <c r="F5" s="3"/>
      <c r="G5" s="3"/>
      <c r="H5" s="3"/>
      <c r="I5" s="3"/>
      <c r="J5" s="3"/>
      <c r="K5" s="3"/>
      <c r="L5" s="3"/>
      <c r="M5" s="3"/>
      <c r="N5" s="3"/>
      <c r="O5" s="4"/>
    </row>
    <row r="6" ht="57.75" customHeight="1">
      <c r="A6" s="81" t="s">
        <v>2422</v>
      </c>
      <c r="B6" s="25" t="s">
        <v>111</v>
      </c>
      <c r="C6" s="25" t="s">
        <v>86</v>
      </c>
      <c r="D6" s="27" t="s">
        <v>10</v>
      </c>
      <c r="E6" s="31" t="s">
        <v>2424</v>
      </c>
      <c r="F6" s="31" t="s">
        <v>2211</v>
      </c>
      <c r="G6" s="31" t="s">
        <v>2425</v>
      </c>
      <c r="H6" s="31" t="s">
        <v>1363</v>
      </c>
      <c r="I6" s="31" t="s">
        <v>2426</v>
      </c>
      <c r="J6" s="31" t="s">
        <v>1331</v>
      </c>
      <c r="K6" s="36" t="s">
        <v>108</v>
      </c>
      <c r="L6" s="31" t="s">
        <v>2430</v>
      </c>
      <c r="M6" s="76" t="s">
        <v>1420</v>
      </c>
      <c r="N6" s="25"/>
      <c r="O6" s="25"/>
    </row>
    <row r="7" ht="57.75" customHeight="1">
      <c r="A7" s="81" t="s">
        <v>2434</v>
      </c>
      <c r="B7" s="35" t="s">
        <v>111</v>
      </c>
      <c r="C7" s="35" t="s">
        <v>86</v>
      </c>
      <c r="D7" s="27" t="s">
        <v>10</v>
      </c>
      <c r="E7" s="40" t="s">
        <v>2437</v>
      </c>
      <c r="F7" s="40" t="s">
        <v>1331</v>
      </c>
      <c r="G7" s="40" t="s">
        <v>1334</v>
      </c>
      <c r="H7" s="40" t="s">
        <v>2438</v>
      </c>
      <c r="I7" s="40" t="s">
        <v>2439</v>
      </c>
      <c r="J7" s="40" t="s">
        <v>1752</v>
      </c>
      <c r="K7" s="42" t="s">
        <v>66</v>
      </c>
      <c r="L7" s="40" t="s">
        <v>2443</v>
      </c>
      <c r="M7" s="76" t="s">
        <v>1420</v>
      </c>
      <c r="N7" s="35"/>
      <c r="O7" s="35"/>
    </row>
    <row r="8" ht="57.75" customHeight="1">
      <c r="A8" s="81" t="s">
        <v>2447</v>
      </c>
      <c r="B8" s="25" t="s">
        <v>111</v>
      </c>
      <c r="C8" s="25" t="s">
        <v>86</v>
      </c>
      <c r="D8" s="27" t="s">
        <v>10</v>
      </c>
      <c r="E8" s="31" t="s">
        <v>2449</v>
      </c>
      <c r="F8" s="31" t="s">
        <v>727</v>
      </c>
      <c r="G8" s="31" t="s">
        <v>1170</v>
      </c>
      <c r="H8" s="31" t="s">
        <v>2451</v>
      </c>
      <c r="I8" s="31" t="s">
        <v>2452</v>
      </c>
      <c r="J8" s="31" t="s">
        <v>2453</v>
      </c>
      <c r="K8" s="36" t="s">
        <v>136</v>
      </c>
      <c r="L8" s="31" t="s">
        <v>2455</v>
      </c>
      <c r="M8" s="76" t="s">
        <v>1420</v>
      </c>
      <c r="N8" s="25"/>
      <c r="O8" s="25"/>
    </row>
    <row r="9" ht="57.75" customHeight="1">
      <c r="A9" s="81" t="s">
        <v>2458</v>
      </c>
      <c r="B9" s="35" t="s">
        <v>111</v>
      </c>
      <c r="C9" s="35" t="s">
        <v>86</v>
      </c>
      <c r="D9" s="27" t="s">
        <v>10</v>
      </c>
      <c r="E9" s="40" t="s">
        <v>2463</v>
      </c>
      <c r="F9" s="40" t="s">
        <v>2464</v>
      </c>
      <c r="G9" s="40" t="s">
        <v>2465</v>
      </c>
      <c r="H9" s="40" t="s">
        <v>2467</v>
      </c>
      <c r="I9" s="40" t="s">
        <v>2468</v>
      </c>
      <c r="J9" s="40" t="s">
        <v>2469</v>
      </c>
      <c r="K9" s="42" t="s">
        <v>136</v>
      </c>
      <c r="L9" s="40" t="s">
        <v>2471</v>
      </c>
      <c r="M9" s="76" t="s">
        <v>1420</v>
      </c>
      <c r="N9" s="35"/>
      <c r="O9" s="35"/>
    </row>
    <row r="10" ht="57.75" customHeight="1">
      <c r="A10" s="81" t="s">
        <v>2476</v>
      </c>
      <c r="B10" s="25" t="s">
        <v>111</v>
      </c>
      <c r="C10" s="25" t="s">
        <v>86</v>
      </c>
      <c r="D10" s="27" t="s">
        <v>10</v>
      </c>
      <c r="E10" s="31" t="s">
        <v>2479</v>
      </c>
      <c r="F10" s="31" t="s">
        <v>2480</v>
      </c>
      <c r="G10" s="31" t="s">
        <v>2284</v>
      </c>
      <c r="H10" s="31" t="s">
        <v>348</v>
      </c>
      <c r="I10" s="31" t="s">
        <v>669</v>
      </c>
      <c r="J10" s="31" t="s">
        <v>2311</v>
      </c>
      <c r="K10" s="36" t="s">
        <v>108</v>
      </c>
      <c r="L10" s="31" t="s">
        <v>2485</v>
      </c>
      <c r="M10" s="76" t="s">
        <v>1420</v>
      </c>
      <c r="N10" s="25"/>
      <c r="O10" s="25"/>
    </row>
    <row r="11" ht="57.75" customHeight="1">
      <c r="A11" s="81" t="s">
        <v>2489</v>
      </c>
      <c r="B11" s="35" t="s">
        <v>111</v>
      </c>
      <c r="C11" s="35" t="s">
        <v>86</v>
      </c>
      <c r="D11" s="27" t="s">
        <v>10</v>
      </c>
      <c r="E11" s="40" t="s">
        <v>2491</v>
      </c>
      <c r="F11" s="40" t="s">
        <v>1364</v>
      </c>
      <c r="G11" s="40" t="s">
        <v>1333</v>
      </c>
      <c r="H11" s="40" t="s">
        <v>1335</v>
      </c>
      <c r="I11" s="40" t="s">
        <v>1773</v>
      </c>
      <c r="J11" s="40" t="s">
        <v>2494</v>
      </c>
      <c r="K11" s="42" t="s">
        <v>201</v>
      </c>
      <c r="L11" s="40" t="s">
        <v>2498</v>
      </c>
      <c r="M11" s="76" t="s">
        <v>1420</v>
      </c>
      <c r="N11" s="35"/>
      <c r="O11" s="35"/>
    </row>
    <row r="12" ht="57.75" customHeight="1">
      <c r="A12" s="81" t="s">
        <v>2501</v>
      </c>
      <c r="B12" s="25" t="s">
        <v>111</v>
      </c>
      <c r="C12" s="25" t="s">
        <v>86</v>
      </c>
      <c r="D12" s="27" t="s">
        <v>10</v>
      </c>
      <c r="E12" s="31" t="s">
        <v>2504</v>
      </c>
      <c r="F12" s="78">
        <v>46086.0</v>
      </c>
      <c r="G12" s="78">
        <v>46085.0</v>
      </c>
      <c r="H12" s="78">
        <v>46115.0</v>
      </c>
      <c r="I12" s="78">
        <v>46146.0</v>
      </c>
      <c r="J12" s="78">
        <v>46145.0</v>
      </c>
      <c r="K12" s="36" t="s">
        <v>66</v>
      </c>
      <c r="L12" s="31" t="s">
        <v>2512</v>
      </c>
      <c r="M12" s="76" t="s">
        <v>1420</v>
      </c>
      <c r="N12" s="25"/>
      <c r="O12" s="25"/>
    </row>
    <row r="13" ht="57.75" customHeight="1">
      <c r="A13" s="81" t="s">
        <v>2514</v>
      </c>
      <c r="B13" s="35" t="s">
        <v>111</v>
      </c>
      <c r="C13" s="35" t="s">
        <v>86</v>
      </c>
      <c r="D13" s="27" t="s">
        <v>10</v>
      </c>
      <c r="E13" s="40" t="s">
        <v>2517</v>
      </c>
      <c r="F13" s="40" t="s">
        <v>2519</v>
      </c>
      <c r="G13" s="40" t="s">
        <v>2520</v>
      </c>
      <c r="H13" s="40" t="s">
        <v>2521</v>
      </c>
      <c r="I13" s="40" t="s">
        <v>2523</v>
      </c>
      <c r="J13" s="40" t="s">
        <v>2524</v>
      </c>
      <c r="K13" s="42" t="s">
        <v>66</v>
      </c>
      <c r="L13" s="40" t="s">
        <v>2527</v>
      </c>
      <c r="M13" s="76" t="s">
        <v>1420</v>
      </c>
      <c r="N13" s="35"/>
      <c r="O13" s="35"/>
    </row>
    <row r="14" ht="57.75" customHeight="1">
      <c r="A14" s="81" t="s">
        <v>2531</v>
      </c>
      <c r="B14" s="25" t="s">
        <v>111</v>
      </c>
      <c r="C14" s="25" t="s">
        <v>86</v>
      </c>
      <c r="D14" s="27" t="s">
        <v>10</v>
      </c>
      <c r="E14" s="31" t="s">
        <v>2535</v>
      </c>
      <c r="F14" s="31" t="s">
        <v>2537</v>
      </c>
      <c r="G14" s="31" t="s">
        <v>409</v>
      </c>
      <c r="H14" s="31" t="s">
        <v>2539</v>
      </c>
      <c r="I14" s="31" t="s">
        <v>2540</v>
      </c>
      <c r="J14" s="31" t="s">
        <v>1875</v>
      </c>
      <c r="K14" s="36" t="s">
        <v>66</v>
      </c>
      <c r="L14" s="31" t="s">
        <v>2545</v>
      </c>
      <c r="M14" s="76" t="s">
        <v>1420</v>
      </c>
      <c r="N14" s="25"/>
      <c r="O14" s="25"/>
    </row>
    <row r="15" ht="57.75" customHeight="1">
      <c r="A15" s="81" t="s">
        <v>2549</v>
      </c>
      <c r="B15" s="35" t="s">
        <v>111</v>
      </c>
      <c r="C15" s="35" t="s">
        <v>86</v>
      </c>
      <c r="D15" s="27" t="s">
        <v>10</v>
      </c>
      <c r="E15" s="40" t="s">
        <v>2554</v>
      </c>
      <c r="F15" s="83">
        <v>38780.0</v>
      </c>
      <c r="G15" s="84">
        <v>41406.0</v>
      </c>
      <c r="H15" s="84">
        <v>40702.0</v>
      </c>
      <c r="I15" s="84">
        <v>46227.0</v>
      </c>
      <c r="J15" s="84">
        <v>42625.0</v>
      </c>
      <c r="K15" s="42" t="s">
        <v>66</v>
      </c>
      <c r="L15" s="40" t="s">
        <v>2578</v>
      </c>
      <c r="M15" s="76" t="s">
        <v>1420</v>
      </c>
      <c r="N15" s="35"/>
      <c r="O15" s="35"/>
    </row>
    <row r="16" ht="57.75" customHeight="1">
      <c r="A16" s="81" t="s">
        <v>2581</v>
      </c>
      <c r="B16" s="25" t="s">
        <v>111</v>
      </c>
      <c r="C16" s="25" t="s">
        <v>86</v>
      </c>
      <c r="D16" s="27" t="s">
        <v>10</v>
      </c>
      <c r="E16" s="31" t="s">
        <v>2583</v>
      </c>
      <c r="F16" s="31" t="s">
        <v>2425</v>
      </c>
      <c r="G16" s="31" t="s">
        <v>1363</v>
      </c>
      <c r="H16" s="31" t="s">
        <v>1364</v>
      </c>
      <c r="I16" s="31" t="s">
        <v>1331</v>
      </c>
      <c r="J16" s="31" t="s">
        <v>2586</v>
      </c>
      <c r="K16" s="36" t="s">
        <v>108</v>
      </c>
      <c r="L16" s="31" t="s">
        <v>2587</v>
      </c>
      <c r="M16" s="76" t="s">
        <v>1420</v>
      </c>
      <c r="N16" s="25"/>
      <c r="O16" s="25"/>
    </row>
    <row r="17" ht="57.75" customHeight="1">
      <c r="A17" s="81" t="s">
        <v>2588</v>
      </c>
      <c r="B17" s="35" t="s">
        <v>111</v>
      </c>
      <c r="C17" s="35" t="s">
        <v>86</v>
      </c>
      <c r="D17" s="27" t="s">
        <v>10</v>
      </c>
      <c r="E17" s="40" t="s">
        <v>2589</v>
      </c>
      <c r="F17" s="40" t="s">
        <v>2591</v>
      </c>
      <c r="G17" s="40" t="s">
        <v>2592</v>
      </c>
      <c r="H17" s="40" t="s">
        <v>2593</v>
      </c>
      <c r="I17" s="40" t="s">
        <v>2594</v>
      </c>
      <c r="J17" s="40" t="s">
        <v>2596</v>
      </c>
      <c r="K17" s="42" t="s">
        <v>108</v>
      </c>
      <c r="L17" s="40" t="s">
        <v>2600</v>
      </c>
      <c r="M17" s="76" t="s">
        <v>1420</v>
      </c>
      <c r="N17" s="35"/>
      <c r="O17" s="35"/>
    </row>
    <row r="18" ht="57.75" customHeight="1">
      <c r="A18" s="81" t="s">
        <v>2603</v>
      </c>
      <c r="B18" s="25" t="s">
        <v>111</v>
      </c>
      <c r="C18" s="25" t="s">
        <v>86</v>
      </c>
      <c r="D18" s="27" t="s">
        <v>10</v>
      </c>
      <c r="E18" s="31" t="s">
        <v>2604</v>
      </c>
      <c r="F18" s="31" t="s">
        <v>1364</v>
      </c>
      <c r="G18" s="31" t="s">
        <v>2606</v>
      </c>
      <c r="H18" s="31" t="s">
        <v>2607</v>
      </c>
      <c r="I18" s="31" t="s">
        <v>2608</v>
      </c>
      <c r="J18" s="31" t="s">
        <v>1333</v>
      </c>
      <c r="K18" s="36" t="s">
        <v>136</v>
      </c>
      <c r="L18" s="31" t="s">
        <v>2612</v>
      </c>
      <c r="M18" s="76" t="s">
        <v>1420</v>
      </c>
      <c r="N18" s="25"/>
      <c r="O18" s="25"/>
    </row>
    <row r="19" ht="57.75" customHeight="1">
      <c r="A19" s="81" t="s">
        <v>2615</v>
      </c>
      <c r="B19" s="35" t="s">
        <v>111</v>
      </c>
      <c r="C19" s="35" t="s">
        <v>86</v>
      </c>
      <c r="D19" s="27" t="s">
        <v>10</v>
      </c>
      <c r="E19" s="40" t="s">
        <v>2617</v>
      </c>
      <c r="F19" s="40" t="s">
        <v>625</v>
      </c>
      <c r="G19" s="40" t="s">
        <v>627</v>
      </c>
      <c r="H19" s="40" t="s">
        <v>628</v>
      </c>
      <c r="I19" s="40" t="s">
        <v>345</v>
      </c>
      <c r="J19" s="40" t="s">
        <v>348</v>
      </c>
      <c r="K19" s="42" t="s">
        <v>66</v>
      </c>
      <c r="L19" s="40" t="s">
        <v>2622</v>
      </c>
      <c r="M19" s="76" t="s">
        <v>1420</v>
      </c>
      <c r="N19" s="35"/>
      <c r="O19" s="35"/>
    </row>
    <row r="20" ht="57.75" customHeight="1">
      <c r="A20" s="81" t="s">
        <v>2624</v>
      </c>
      <c r="B20" s="25" t="s">
        <v>111</v>
      </c>
      <c r="C20" s="25" t="s">
        <v>86</v>
      </c>
      <c r="D20" s="27" t="s">
        <v>10</v>
      </c>
      <c r="E20" s="31" t="s">
        <v>2626</v>
      </c>
      <c r="F20" s="31" t="s">
        <v>1333</v>
      </c>
      <c r="G20" s="31" t="s">
        <v>2628</v>
      </c>
      <c r="H20" s="31" t="s">
        <v>1335</v>
      </c>
      <c r="I20" s="31" t="s">
        <v>2537</v>
      </c>
      <c r="J20" s="31" t="s">
        <v>2629</v>
      </c>
      <c r="K20" s="36" t="s">
        <v>66</v>
      </c>
      <c r="L20" s="31" t="s">
        <v>2630</v>
      </c>
      <c r="M20" s="76" t="s">
        <v>1420</v>
      </c>
      <c r="N20" s="25"/>
      <c r="O20" s="25"/>
    </row>
    <row r="21" ht="19.5" customHeight="1">
      <c r="A21" s="61" t="s">
        <v>255</v>
      </c>
      <c r="B21" s="3"/>
      <c r="C21" s="3"/>
      <c r="D21" s="3"/>
      <c r="E21" s="3"/>
      <c r="F21" s="3"/>
      <c r="G21" s="3"/>
      <c r="H21" s="3"/>
      <c r="I21" s="3"/>
      <c r="J21" s="3"/>
      <c r="K21" s="3"/>
      <c r="L21" s="3"/>
      <c r="M21" s="3"/>
      <c r="N21" s="3"/>
      <c r="O21" s="4"/>
    </row>
    <row r="22" ht="57.75" customHeight="1">
      <c r="A22" s="81" t="s">
        <v>2638</v>
      </c>
      <c r="B22" s="35" t="s">
        <v>111</v>
      </c>
      <c r="C22" s="35" t="s">
        <v>86</v>
      </c>
      <c r="D22" s="17" t="s">
        <v>12</v>
      </c>
      <c r="E22" s="40" t="s">
        <v>2641</v>
      </c>
      <c r="F22" s="40" t="s">
        <v>726</v>
      </c>
      <c r="G22" s="40" t="s">
        <v>2644</v>
      </c>
      <c r="H22" s="40" t="s">
        <v>2645</v>
      </c>
      <c r="I22" s="40" t="s">
        <v>727</v>
      </c>
      <c r="J22" s="40" t="s">
        <v>2646</v>
      </c>
      <c r="K22" s="42" t="s">
        <v>136</v>
      </c>
      <c r="L22" s="40" t="s">
        <v>2648</v>
      </c>
      <c r="M22" s="76" t="s">
        <v>1420</v>
      </c>
      <c r="N22" s="35"/>
      <c r="O22" s="35"/>
    </row>
    <row r="23" ht="57.75" customHeight="1">
      <c r="A23" s="81" t="s">
        <v>2651</v>
      </c>
      <c r="B23" s="25" t="s">
        <v>111</v>
      </c>
      <c r="C23" s="25" t="s">
        <v>86</v>
      </c>
      <c r="D23" s="17" t="s">
        <v>12</v>
      </c>
      <c r="E23" s="31" t="s">
        <v>2654</v>
      </c>
      <c r="F23" s="31" t="s">
        <v>1331</v>
      </c>
      <c r="G23" s="31" t="s">
        <v>2657</v>
      </c>
      <c r="H23" s="31" t="s">
        <v>1334</v>
      </c>
      <c r="I23" s="31" t="s">
        <v>2439</v>
      </c>
      <c r="J23" s="31" t="s">
        <v>2660</v>
      </c>
      <c r="K23" s="36" t="s">
        <v>66</v>
      </c>
      <c r="L23" s="31" t="s">
        <v>2662</v>
      </c>
      <c r="M23" s="76" t="s">
        <v>1420</v>
      </c>
      <c r="N23" s="25"/>
      <c r="O23" s="25"/>
    </row>
    <row r="24" ht="57.75" customHeight="1">
      <c r="A24" s="81" t="s">
        <v>2664</v>
      </c>
      <c r="B24" s="35" t="s">
        <v>111</v>
      </c>
      <c r="C24" s="35" t="s">
        <v>86</v>
      </c>
      <c r="D24" s="17" t="s">
        <v>12</v>
      </c>
      <c r="E24" s="40" t="s">
        <v>2667</v>
      </c>
      <c r="F24" s="40" t="s">
        <v>1362</v>
      </c>
      <c r="G24" s="40" t="s">
        <v>1363</v>
      </c>
      <c r="H24" s="40" t="s">
        <v>1364</v>
      </c>
      <c r="I24" s="40" t="s">
        <v>2586</v>
      </c>
      <c r="J24" s="40" t="s">
        <v>1334</v>
      </c>
      <c r="K24" s="42" t="s">
        <v>201</v>
      </c>
      <c r="L24" s="40" t="s">
        <v>2670</v>
      </c>
      <c r="M24" s="76" t="s">
        <v>1420</v>
      </c>
      <c r="N24" s="35"/>
      <c r="O24" s="35"/>
    </row>
    <row r="25" ht="57.75" customHeight="1">
      <c r="A25" s="81" t="s">
        <v>2672</v>
      </c>
      <c r="B25" s="25" t="s">
        <v>111</v>
      </c>
      <c r="C25" s="25" t="s">
        <v>86</v>
      </c>
      <c r="D25" s="17" t="s">
        <v>12</v>
      </c>
      <c r="E25" s="31" t="s">
        <v>2675</v>
      </c>
      <c r="F25" s="31" t="s">
        <v>2676</v>
      </c>
      <c r="G25" s="31" t="s">
        <v>2678</v>
      </c>
      <c r="H25" s="31" t="s">
        <v>2679</v>
      </c>
      <c r="I25" s="31" t="s">
        <v>2680</v>
      </c>
      <c r="J25" s="31" t="s">
        <v>2681</v>
      </c>
      <c r="K25" s="36" t="s">
        <v>108</v>
      </c>
      <c r="L25" s="31" t="s">
        <v>2683</v>
      </c>
      <c r="M25" s="76" t="s">
        <v>1420</v>
      </c>
      <c r="N25" s="25"/>
      <c r="O25" s="25"/>
    </row>
    <row r="26" ht="57.75" customHeight="1">
      <c r="A26" s="81" t="s">
        <v>2688</v>
      </c>
      <c r="B26" s="35" t="s">
        <v>111</v>
      </c>
      <c r="C26" s="35" t="s">
        <v>86</v>
      </c>
      <c r="D26" s="17" t="s">
        <v>12</v>
      </c>
      <c r="E26" s="40" t="s">
        <v>2691</v>
      </c>
      <c r="F26" s="40" t="s">
        <v>2692</v>
      </c>
      <c r="G26" s="40" t="s">
        <v>2693</v>
      </c>
      <c r="H26" s="40" t="s">
        <v>2695</v>
      </c>
      <c r="I26" s="40" t="s">
        <v>2696</v>
      </c>
      <c r="J26" s="40" t="s">
        <v>2697</v>
      </c>
      <c r="K26" s="42" t="s">
        <v>108</v>
      </c>
      <c r="L26" s="40" t="s">
        <v>2700</v>
      </c>
      <c r="M26" s="76" t="s">
        <v>1420</v>
      </c>
      <c r="N26" s="35"/>
      <c r="O26" s="35"/>
    </row>
    <row r="27" ht="57.75" customHeight="1">
      <c r="A27" s="81" t="s">
        <v>2703</v>
      </c>
      <c r="B27" s="25" t="s">
        <v>111</v>
      </c>
      <c r="C27" s="25" t="s">
        <v>86</v>
      </c>
      <c r="D27" s="17" t="s">
        <v>12</v>
      </c>
      <c r="E27" s="31" t="s">
        <v>2706</v>
      </c>
      <c r="F27" s="31" t="s">
        <v>627</v>
      </c>
      <c r="G27" s="31" t="s">
        <v>345</v>
      </c>
      <c r="H27" s="31" t="s">
        <v>348</v>
      </c>
      <c r="I27" s="31" t="s">
        <v>349</v>
      </c>
      <c r="J27" s="31" t="s">
        <v>2709</v>
      </c>
      <c r="K27" s="36" t="s">
        <v>108</v>
      </c>
      <c r="L27" s="31" t="s">
        <v>2710</v>
      </c>
      <c r="M27" s="76" t="s">
        <v>1420</v>
      </c>
      <c r="N27" s="25"/>
      <c r="O27" s="25"/>
    </row>
    <row r="28" ht="57.75" customHeight="1">
      <c r="A28" s="81" t="s">
        <v>2713</v>
      </c>
      <c r="B28" s="35" t="s">
        <v>111</v>
      </c>
      <c r="C28" s="35" t="s">
        <v>86</v>
      </c>
      <c r="D28" s="17" t="s">
        <v>12</v>
      </c>
      <c r="E28" s="40" t="s">
        <v>2715</v>
      </c>
      <c r="F28" s="40" t="s">
        <v>2716</v>
      </c>
      <c r="G28" s="40" t="s">
        <v>2718</v>
      </c>
      <c r="H28" s="40" t="s">
        <v>2719</v>
      </c>
      <c r="I28" s="40" t="s">
        <v>2721</v>
      </c>
      <c r="J28" s="40" t="s">
        <v>2722</v>
      </c>
      <c r="K28" s="42" t="s">
        <v>108</v>
      </c>
      <c r="L28" s="40" t="s">
        <v>2725</v>
      </c>
      <c r="M28" s="76" t="s">
        <v>1420</v>
      </c>
      <c r="N28" s="35"/>
      <c r="O28" s="35"/>
    </row>
    <row r="29" ht="57.75" customHeight="1">
      <c r="A29" s="81" t="s">
        <v>2726</v>
      </c>
      <c r="B29" s="25" t="s">
        <v>111</v>
      </c>
      <c r="C29" s="25" t="s">
        <v>86</v>
      </c>
      <c r="D29" s="17" t="s">
        <v>12</v>
      </c>
      <c r="E29" s="31" t="s">
        <v>2728</v>
      </c>
      <c r="F29" s="31" t="s">
        <v>1833</v>
      </c>
      <c r="G29" s="31" t="s">
        <v>2730</v>
      </c>
      <c r="H29" s="31" t="s">
        <v>1704</v>
      </c>
      <c r="I29" s="31" t="s">
        <v>2732</v>
      </c>
      <c r="J29" s="31" t="s">
        <v>1837</v>
      </c>
      <c r="K29" s="36" t="s">
        <v>136</v>
      </c>
      <c r="L29" s="31" t="s">
        <v>2737</v>
      </c>
      <c r="M29" s="76" t="s">
        <v>1420</v>
      </c>
      <c r="N29" s="25"/>
      <c r="O29" s="25"/>
    </row>
    <row r="30" ht="57.75" customHeight="1">
      <c r="A30" s="81" t="s">
        <v>2739</v>
      </c>
      <c r="B30" s="35" t="s">
        <v>111</v>
      </c>
      <c r="C30" s="35" t="s">
        <v>86</v>
      </c>
      <c r="D30" s="17" t="s">
        <v>12</v>
      </c>
      <c r="E30" s="40" t="s">
        <v>2744</v>
      </c>
      <c r="F30" s="40" t="s">
        <v>2746</v>
      </c>
      <c r="G30" s="40" t="s">
        <v>2747</v>
      </c>
      <c r="H30" s="40" t="s">
        <v>2749</v>
      </c>
      <c r="I30" s="40" t="s">
        <v>2751</v>
      </c>
      <c r="J30" s="40" t="s">
        <v>2753</v>
      </c>
      <c r="K30" s="42" t="s">
        <v>108</v>
      </c>
      <c r="L30" s="40" t="s">
        <v>2755</v>
      </c>
      <c r="M30" s="76" t="s">
        <v>1420</v>
      </c>
      <c r="N30" s="35"/>
      <c r="O30" s="35"/>
    </row>
    <row r="31" ht="57.75" customHeight="1">
      <c r="A31" s="81" t="s">
        <v>2757</v>
      </c>
      <c r="B31" s="25" t="s">
        <v>111</v>
      </c>
      <c r="C31" s="25" t="s">
        <v>86</v>
      </c>
      <c r="D31" s="17" t="s">
        <v>12</v>
      </c>
      <c r="E31" s="31" t="s">
        <v>2764</v>
      </c>
      <c r="F31" s="31" t="s">
        <v>2766</v>
      </c>
      <c r="G31" s="31" t="s">
        <v>2767</v>
      </c>
      <c r="H31" s="31" t="s">
        <v>2768</v>
      </c>
      <c r="I31" s="31" t="s">
        <v>2769</v>
      </c>
      <c r="J31" s="31" t="s">
        <v>2770</v>
      </c>
      <c r="K31" s="36" t="s">
        <v>108</v>
      </c>
      <c r="L31" s="31" t="s">
        <v>2772</v>
      </c>
      <c r="M31" s="76" t="s">
        <v>1420</v>
      </c>
      <c r="N31" s="25"/>
      <c r="O31" s="25"/>
    </row>
    <row r="32" ht="57.75" customHeight="1">
      <c r="A32" s="81" t="s">
        <v>2774</v>
      </c>
      <c r="B32" s="35" t="s">
        <v>111</v>
      </c>
      <c r="C32" s="35" t="s">
        <v>86</v>
      </c>
      <c r="D32" s="17" t="s">
        <v>12</v>
      </c>
      <c r="E32" s="40" t="s">
        <v>2780</v>
      </c>
      <c r="F32" s="40" t="s">
        <v>2781</v>
      </c>
      <c r="G32" s="40" t="s">
        <v>2783</v>
      </c>
      <c r="H32" s="40" t="s">
        <v>2049</v>
      </c>
      <c r="I32" s="40" t="s">
        <v>1278</v>
      </c>
      <c r="J32" s="40" t="s">
        <v>624</v>
      </c>
      <c r="K32" s="42" t="s">
        <v>66</v>
      </c>
      <c r="L32" s="40" t="s">
        <v>2788</v>
      </c>
      <c r="M32" s="76" t="s">
        <v>1420</v>
      </c>
      <c r="N32" s="35"/>
      <c r="O32" s="35"/>
    </row>
    <row r="33" ht="57.75" customHeight="1">
      <c r="A33" s="81" t="s">
        <v>2791</v>
      </c>
      <c r="B33" s="25" t="s">
        <v>111</v>
      </c>
      <c r="C33" s="25" t="s">
        <v>86</v>
      </c>
      <c r="D33" s="17" t="s">
        <v>12</v>
      </c>
      <c r="E33" s="31" t="s">
        <v>2794</v>
      </c>
      <c r="F33" s="78">
        <v>46035.0</v>
      </c>
      <c r="G33" s="78">
        <v>46216.0</v>
      </c>
      <c r="H33" s="78">
        <v>46369.0</v>
      </c>
      <c r="I33" s="31" t="s">
        <v>2796</v>
      </c>
      <c r="J33" s="78">
        <v>46056.0</v>
      </c>
      <c r="K33" s="36" t="s">
        <v>66</v>
      </c>
      <c r="L33" s="31" t="s">
        <v>2801</v>
      </c>
      <c r="M33" s="76" t="s">
        <v>1420</v>
      </c>
      <c r="N33" s="25"/>
      <c r="O33" s="25"/>
    </row>
    <row r="34" ht="57.75" customHeight="1">
      <c r="A34" s="81" t="s">
        <v>2803</v>
      </c>
      <c r="B34" s="35" t="s">
        <v>111</v>
      </c>
      <c r="C34" s="35" t="s">
        <v>86</v>
      </c>
      <c r="D34" s="17" t="s">
        <v>12</v>
      </c>
      <c r="E34" s="40" t="s">
        <v>2806</v>
      </c>
      <c r="F34" s="40" t="s">
        <v>2808</v>
      </c>
      <c r="G34" s="40" t="s">
        <v>2810</v>
      </c>
      <c r="H34" s="40" t="s">
        <v>2747</v>
      </c>
      <c r="I34" s="40" t="s">
        <v>2813</v>
      </c>
      <c r="J34" s="40" t="s">
        <v>2815</v>
      </c>
      <c r="K34" s="42" t="s">
        <v>66</v>
      </c>
      <c r="L34" s="40" t="s">
        <v>2817</v>
      </c>
      <c r="M34" s="76" t="s">
        <v>1420</v>
      </c>
      <c r="N34" s="35"/>
      <c r="O34" s="35"/>
    </row>
    <row r="35" ht="57.75" customHeight="1">
      <c r="A35" s="81" t="s">
        <v>2820</v>
      </c>
      <c r="B35" s="25" t="s">
        <v>111</v>
      </c>
      <c r="C35" s="25" t="s">
        <v>86</v>
      </c>
      <c r="D35" s="17" t="s">
        <v>12</v>
      </c>
      <c r="E35" s="31" t="s">
        <v>2824</v>
      </c>
      <c r="F35" s="31" t="s">
        <v>2826</v>
      </c>
      <c r="G35" s="31" t="s">
        <v>1875</v>
      </c>
      <c r="H35" s="31" t="s">
        <v>1682</v>
      </c>
      <c r="I35" s="31" t="s">
        <v>2828</v>
      </c>
      <c r="J35" s="31" t="s">
        <v>2831</v>
      </c>
      <c r="K35" s="36" t="s">
        <v>108</v>
      </c>
      <c r="L35" s="31" t="s">
        <v>2833</v>
      </c>
      <c r="M35" s="76" t="s">
        <v>1420</v>
      </c>
      <c r="N35" s="25"/>
      <c r="O35" s="25"/>
    </row>
    <row r="36" ht="57.75" customHeight="1">
      <c r="A36" s="81" t="s">
        <v>2835</v>
      </c>
      <c r="B36" s="35" t="s">
        <v>111</v>
      </c>
      <c r="C36" s="35" t="s">
        <v>86</v>
      </c>
      <c r="D36" s="17" t="s">
        <v>12</v>
      </c>
      <c r="E36" s="40" t="s">
        <v>2838</v>
      </c>
      <c r="F36" s="40" t="s">
        <v>2839</v>
      </c>
      <c r="G36" s="40" t="s">
        <v>2841</v>
      </c>
      <c r="H36" s="40" t="s">
        <v>2842</v>
      </c>
      <c r="I36" s="40" t="s">
        <v>2843</v>
      </c>
      <c r="J36" s="40" t="s">
        <v>2844</v>
      </c>
      <c r="K36" s="42" t="s">
        <v>201</v>
      </c>
      <c r="L36" s="40" t="s">
        <v>2854</v>
      </c>
      <c r="M36" s="76" t="s">
        <v>1420</v>
      </c>
      <c r="N36" s="35"/>
      <c r="O36" s="35"/>
    </row>
    <row r="37" ht="19.5" customHeight="1">
      <c r="A37" s="69" t="s">
        <v>435</v>
      </c>
      <c r="B37" s="3"/>
      <c r="C37" s="3"/>
      <c r="D37" s="3"/>
      <c r="E37" s="3"/>
      <c r="F37" s="3"/>
      <c r="G37" s="3"/>
      <c r="H37" s="3"/>
      <c r="I37" s="3"/>
      <c r="J37" s="3"/>
      <c r="K37" s="3"/>
      <c r="L37" s="3"/>
      <c r="M37" s="3"/>
      <c r="N37" s="3"/>
      <c r="O37" s="4"/>
    </row>
    <row r="38" ht="57.75" customHeight="1">
      <c r="A38" s="81" t="s">
        <v>2863</v>
      </c>
      <c r="B38" s="25" t="s">
        <v>111</v>
      </c>
      <c r="C38" s="25" t="s">
        <v>86</v>
      </c>
      <c r="D38" s="38" t="s">
        <v>13</v>
      </c>
      <c r="E38" s="31" t="s">
        <v>2867</v>
      </c>
      <c r="F38" s="31" t="s">
        <v>2869</v>
      </c>
      <c r="G38" s="31" t="s">
        <v>727</v>
      </c>
      <c r="H38" s="31" t="s">
        <v>2646</v>
      </c>
      <c r="I38" s="31" t="s">
        <v>2871</v>
      </c>
      <c r="J38" s="31" t="s">
        <v>630</v>
      </c>
      <c r="K38" s="36" t="s">
        <v>108</v>
      </c>
      <c r="L38" s="31" t="s">
        <v>2875</v>
      </c>
      <c r="M38" s="76" t="s">
        <v>1420</v>
      </c>
      <c r="N38" s="25"/>
      <c r="O38" s="25"/>
    </row>
    <row r="39" ht="57.75" customHeight="1">
      <c r="A39" s="81" t="s">
        <v>2880</v>
      </c>
      <c r="B39" s="35" t="s">
        <v>111</v>
      </c>
      <c r="C39" s="35" t="s">
        <v>86</v>
      </c>
      <c r="D39" s="38" t="s">
        <v>13</v>
      </c>
      <c r="E39" s="40" t="s">
        <v>2884</v>
      </c>
      <c r="F39" s="40" t="s">
        <v>1332</v>
      </c>
      <c r="G39" s="40" t="s">
        <v>1333</v>
      </c>
      <c r="H39" s="40" t="s">
        <v>1334</v>
      </c>
      <c r="I39" s="40" t="s">
        <v>2888</v>
      </c>
      <c r="J39" s="40" t="s">
        <v>1335</v>
      </c>
      <c r="K39" s="42" t="s">
        <v>201</v>
      </c>
      <c r="L39" s="40" t="s">
        <v>2890</v>
      </c>
      <c r="M39" s="76" t="s">
        <v>1420</v>
      </c>
      <c r="N39" s="35"/>
      <c r="O39" s="35"/>
    </row>
    <row r="40" ht="57.75" customHeight="1">
      <c r="A40" s="81" t="s">
        <v>2894</v>
      </c>
      <c r="B40" s="25" t="s">
        <v>111</v>
      </c>
      <c r="C40" s="25" t="s">
        <v>86</v>
      </c>
      <c r="D40" s="38" t="s">
        <v>13</v>
      </c>
      <c r="E40" s="31" t="s">
        <v>2896</v>
      </c>
      <c r="F40" s="31" t="s">
        <v>2897</v>
      </c>
      <c r="G40" s="31" t="s">
        <v>409</v>
      </c>
      <c r="H40" s="31" t="s">
        <v>2898</v>
      </c>
      <c r="I40" s="31" t="s">
        <v>2900</v>
      </c>
      <c r="J40" s="31" t="s">
        <v>2902</v>
      </c>
      <c r="K40" s="36" t="s">
        <v>66</v>
      </c>
      <c r="L40" s="31" t="s">
        <v>2904</v>
      </c>
      <c r="M40" s="76" t="s">
        <v>1420</v>
      </c>
      <c r="N40" s="25"/>
      <c r="O40" s="25"/>
    </row>
    <row r="41" ht="57.75" customHeight="1">
      <c r="A41" s="81" t="s">
        <v>2905</v>
      </c>
      <c r="B41" s="35" t="s">
        <v>111</v>
      </c>
      <c r="C41" s="35" t="s">
        <v>86</v>
      </c>
      <c r="D41" s="38" t="s">
        <v>13</v>
      </c>
      <c r="E41" s="40" t="s">
        <v>2907</v>
      </c>
      <c r="F41" s="40" t="s">
        <v>1335</v>
      </c>
      <c r="G41" s="40" t="s">
        <v>2908</v>
      </c>
      <c r="H41" s="40" t="s">
        <v>1773</v>
      </c>
      <c r="I41" s="40" t="s">
        <v>2909</v>
      </c>
      <c r="J41" s="40" t="s">
        <v>2494</v>
      </c>
      <c r="K41" s="42" t="s">
        <v>66</v>
      </c>
      <c r="L41" s="40" t="s">
        <v>2912</v>
      </c>
      <c r="M41" s="76" t="s">
        <v>1420</v>
      </c>
      <c r="N41" s="35"/>
      <c r="O41" s="35"/>
    </row>
    <row r="42" ht="57.75" customHeight="1">
      <c r="A42" s="81" t="s">
        <v>2914</v>
      </c>
      <c r="B42" s="25" t="s">
        <v>111</v>
      </c>
      <c r="C42" s="25" t="s">
        <v>86</v>
      </c>
      <c r="D42" s="38" t="s">
        <v>13</v>
      </c>
      <c r="E42" s="31" t="s">
        <v>2917</v>
      </c>
      <c r="F42" s="31" t="s">
        <v>323</v>
      </c>
      <c r="G42" s="31" t="s">
        <v>325</v>
      </c>
      <c r="H42" s="31" t="s">
        <v>2919</v>
      </c>
      <c r="I42" s="31" t="s">
        <v>2920</v>
      </c>
      <c r="J42" s="31" t="s">
        <v>2921</v>
      </c>
      <c r="K42" s="36" t="s">
        <v>201</v>
      </c>
      <c r="L42" s="31" t="s">
        <v>2924</v>
      </c>
      <c r="M42" s="76" t="s">
        <v>1420</v>
      </c>
      <c r="N42" s="25"/>
      <c r="O42" s="25"/>
    </row>
    <row r="43" ht="57.75" customHeight="1">
      <c r="A43" s="81" t="s">
        <v>2927</v>
      </c>
      <c r="B43" s="35" t="s">
        <v>111</v>
      </c>
      <c r="C43" s="35" t="s">
        <v>86</v>
      </c>
      <c r="D43" s="38" t="s">
        <v>13</v>
      </c>
      <c r="E43" s="40" t="s">
        <v>2931</v>
      </c>
      <c r="F43" s="40" t="s">
        <v>1362</v>
      </c>
      <c r="G43" s="40" t="s">
        <v>1363</v>
      </c>
      <c r="H43" s="40" t="s">
        <v>1364</v>
      </c>
      <c r="I43" s="40" t="s">
        <v>1331</v>
      </c>
      <c r="J43" s="40" t="s">
        <v>2586</v>
      </c>
      <c r="K43" s="42" t="s">
        <v>108</v>
      </c>
      <c r="L43" s="40" t="s">
        <v>2935</v>
      </c>
      <c r="M43" s="76" t="s">
        <v>1420</v>
      </c>
      <c r="N43" s="35"/>
      <c r="O43" s="35"/>
    </row>
    <row r="44" ht="57.75" customHeight="1">
      <c r="A44" s="81" t="s">
        <v>2938</v>
      </c>
      <c r="B44" s="25" t="s">
        <v>111</v>
      </c>
      <c r="C44" s="25" t="s">
        <v>86</v>
      </c>
      <c r="D44" s="38" t="s">
        <v>13</v>
      </c>
      <c r="E44" s="31" t="s">
        <v>2940</v>
      </c>
      <c r="F44" s="31" t="s">
        <v>624</v>
      </c>
      <c r="G44" s="31" t="s">
        <v>2943</v>
      </c>
      <c r="H44" s="31" t="s">
        <v>2944</v>
      </c>
      <c r="I44" s="31" t="s">
        <v>1280</v>
      </c>
      <c r="J44" s="31" t="s">
        <v>2946</v>
      </c>
      <c r="K44" s="36" t="s">
        <v>66</v>
      </c>
      <c r="L44" s="31" t="s">
        <v>2950</v>
      </c>
      <c r="M44" s="76" t="s">
        <v>1420</v>
      </c>
      <c r="N44" s="25"/>
      <c r="O44" s="25"/>
    </row>
    <row r="45" ht="57.75" customHeight="1">
      <c r="A45" s="81" t="s">
        <v>2954</v>
      </c>
      <c r="B45" s="35" t="s">
        <v>111</v>
      </c>
      <c r="C45" s="35" t="s">
        <v>86</v>
      </c>
      <c r="D45" s="38" t="s">
        <v>13</v>
      </c>
      <c r="E45" s="40" t="s">
        <v>2958</v>
      </c>
      <c r="F45" s="40" t="s">
        <v>2959</v>
      </c>
      <c r="G45" s="40" t="s">
        <v>634</v>
      </c>
      <c r="H45" s="40" t="s">
        <v>2962</v>
      </c>
      <c r="I45" s="40" t="s">
        <v>635</v>
      </c>
      <c r="J45" s="40" t="s">
        <v>2964</v>
      </c>
      <c r="K45" s="42" t="s">
        <v>108</v>
      </c>
      <c r="L45" s="40" t="s">
        <v>2967</v>
      </c>
      <c r="M45" s="76" t="s">
        <v>1420</v>
      </c>
      <c r="N45" s="35"/>
      <c r="O45" s="35"/>
    </row>
    <row r="46" ht="57.75" customHeight="1">
      <c r="A46" s="81" t="s">
        <v>2968</v>
      </c>
      <c r="B46" s="25" t="s">
        <v>111</v>
      </c>
      <c r="C46" s="25" t="s">
        <v>86</v>
      </c>
      <c r="D46" s="38" t="s">
        <v>13</v>
      </c>
      <c r="E46" s="31" t="s">
        <v>2971</v>
      </c>
      <c r="F46" s="31" t="s">
        <v>408</v>
      </c>
      <c r="G46" s="31" t="s">
        <v>2897</v>
      </c>
      <c r="H46" s="31" t="s">
        <v>409</v>
      </c>
      <c r="I46" s="31" t="s">
        <v>2898</v>
      </c>
      <c r="J46" s="31" t="s">
        <v>411</v>
      </c>
      <c r="K46" s="36" t="s">
        <v>201</v>
      </c>
      <c r="L46" s="31" t="s">
        <v>2975</v>
      </c>
      <c r="M46" s="76" t="s">
        <v>1420</v>
      </c>
      <c r="N46" s="25"/>
      <c r="O46" s="25"/>
    </row>
    <row r="47" ht="57.75" customHeight="1">
      <c r="A47" s="81" t="s">
        <v>2978</v>
      </c>
      <c r="B47" s="35" t="s">
        <v>111</v>
      </c>
      <c r="C47" s="35" t="s">
        <v>86</v>
      </c>
      <c r="D47" s="38" t="s">
        <v>13</v>
      </c>
      <c r="E47" s="40" t="s">
        <v>2980</v>
      </c>
      <c r="F47" s="40" t="s">
        <v>1335</v>
      </c>
      <c r="G47" s="40" t="s">
        <v>1772</v>
      </c>
      <c r="H47" s="40" t="s">
        <v>2660</v>
      </c>
      <c r="I47" s="40" t="s">
        <v>1773</v>
      </c>
      <c r="J47" s="40" t="s">
        <v>2494</v>
      </c>
      <c r="K47" s="42" t="s">
        <v>201</v>
      </c>
      <c r="L47" s="40" t="s">
        <v>2984</v>
      </c>
      <c r="M47" s="76" t="s">
        <v>1420</v>
      </c>
      <c r="N47" s="35"/>
      <c r="O47" s="35"/>
    </row>
    <row r="48" ht="57.75" customHeight="1">
      <c r="A48" s="81" t="s">
        <v>2986</v>
      </c>
      <c r="B48" s="25" t="s">
        <v>111</v>
      </c>
      <c r="C48" s="25" t="s">
        <v>86</v>
      </c>
      <c r="D48" s="38" t="s">
        <v>13</v>
      </c>
      <c r="E48" s="31" t="s">
        <v>2988</v>
      </c>
      <c r="F48" s="31" t="s">
        <v>633</v>
      </c>
      <c r="G48" s="31" t="s">
        <v>2990</v>
      </c>
      <c r="H48" s="31" t="s">
        <v>2959</v>
      </c>
      <c r="I48" s="31" t="s">
        <v>2962</v>
      </c>
      <c r="J48" s="31" t="s">
        <v>635</v>
      </c>
      <c r="K48" s="36" t="s">
        <v>108</v>
      </c>
      <c r="L48" s="31" t="s">
        <v>2993</v>
      </c>
      <c r="M48" s="76" t="s">
        <v>1420</v>
      </c>
      <c r="N48" s="25"/>
      <c r="O48" s="25"/>
    </row>
    <row r="49" ht="57.75" customHeight="1">
      <c r="A49" s="81" t="s">
        <v>2995</v>
      </c>
      <c r="B49" s="35" t="s">
        <v>111</v>
      </c>
      <c r="C49" s="35" t="s">
        <v>86</v>
      </c>
      <c r="D49" s="38" t="s">
        <v>13</v>
      </c>
      <c r="E49" s="40" t="s">
        <v>2997</v>
      </c>
      <c r="F49" s="40" t="s">
        <v>1364</v>
      </c>
      <c r="G49" s="40" t="s">
        <v>1331</v>
      </c>
      <c r="H49" s="40" t="s">
        <v>2586</v>
      </c>
      <c r="I49" s="40" t="s">
        <v>1332</v>
      </c>
      <c r="J49" s="40" t="s">
        <v>3002</v>
      </c>
      <c r="K49" s="42" t="s">
        <v>108</v>
      </c>
      <c r="L49" s="40" t="s">
        <v>3006</v>
      </c>
      <c r="M49" s="76" t="s">
        <v>1420</v>
      </c>
      <c r="N49" s="35"/>
      <c r="O49" s="35"/>
    </row>
    <row r="50" ht="57.75" customHeight="1">
      <c r="A50" s="81" t="s">
        <v>3009</v>
      </c>
      <c r="B50" s="25" t="s">
        <v>111</v>
      </c>
      <c r="C50" s="25" t="s">
        <v>86</v>
      </c>
      <c r="D50" s="38" t="s">
        <v>13</v>
      </c>
      <c r="E50" s="31" t="s">
        <v>3012</v>
      </c>
      <c r="F50" s="31" t="s">
        <v>1772</v>
      </c>
      <c r="G50" s="31" t="s">
        <v>2660</v>
      </c>
      <c r="H50" s="31" t="s">
        <v>1773</v>
      </c>
      <c r="I50" s="31" t="s">
        <v>1752</v>
      </c>
      <c r="J50" s="31" t="s">
        <v>3014</v>
      </c>
      <c r="K50" s="36" t="s">
        <v>66</v>
      </c>
      <c r="L50" s="31" t="s">
        <v>3016</v>
      </c>
      <c r="M50" s="76" t="s">
        <v>1420</v>
      </c>
      <c r="N50" s="25"/>
      <c r="O50" s="25"/>
    </row>
    <row r="51" ht="57.75" customHeight="1">
      <c r="A51" s="81" t="s">
        <v>3018</v>
      </c>
      <c r="B51" s="35" t="s">
        <v>111</v>
      </c>
      <c r="C51" s="35" t="s">
        <v>86</v>
      </c>
      <c r="D51" s="38" t="s">
        <v>13</v>
      </c>
      <c r="E51" s="40" t="s">
        <v>3019</v>
      </c>
      <c r="F51" s="40" t="s">
        <v>1773</v>
      </c>
      <c r="G51" s="40" t="s">
        <v>1736</v>
      </c>
      <c r="H51" s="40" t="s">
        <v>2494</v>
      </c>
      <c r="I51" s="40" t="s">
        <v>3020</v>
      </c>
      <c r="J51" s="40" t="s">
        <v>2537</v>
      </c>
      <c r="K51" s="42" t="s">
        <v>108</v>
      </c>
      <c r="L51" s="40" t="s">
        <v>3022</v>
      </c>
      <c r="M51" s="76" t="s">
        <v>1420</v>
      </c>
      <c r="N51" s="35"/>
      <c r="O51" s="35"/>
    </row>
    <row r="52" ht="57.75" customHeight="1">
      <c r="A52" s="81" t="s">
        <v>3024</v>
      </c>
      <c r="B52" s="25" t="s">
        <v>111</v>
      </c>
      <c r="C52" s="25" t="s">
        <v>86</v>
      </c>
      <c r="D52" s="38" t="s">
        <v>13</v>
      </c>
      <c r="E52" s="31" t="s">
        <v>3029</v>
      </c>
      <c r="F52" s="31" t="s">
        <v>320</v>
      </c>
      <c r="G52" s="31" t="s">
        <v>3032</v>
      </c>
      <c r="H52" s="31" t="s">
        <v>3033</v>
      </c>
      <c r="I52" s="31" t="s">
        <v>3035</v>
      </c>
      <c r="J52" s="31" t="s">
        <v>321</v>
      </c>
      <c r="K52" s="36" t="s">
        <v>108</v>
      </c>
      <c r="L52" s="31" t="s">
        <v>3037</v>
      </c>
      <c r="M52" s="76" t="s">
        <v>1420</v>
      </c>
      <c r="N52" s="25"/>
      <c r="O52" s="25"/>
    </row>
    <row r="53" ht="25.5" customHeight="1">
      <c r="A53" s="49" t="s">
        <v>3039</v>
      </c>
      <c r="B53" s="50"/>
      <c r="C53" s="50"/>
      <c r="D53" s="50"/>
      <c r="E53" s="50"/>
      <c r="F53" s="50"/>
      <c r="G53" s="50"/>
      <c r="H53" s="50"/>
      <c r="I53" s="50"/>
      <c r="J53" s="52"/>
      <c r="M53" s="82">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85" t="s">
        <v>2649</v>
      </c>
      <c r="B1" s="3"/>
      <c r="C1" s="3"/>
      <c r="D1" s="3"/>
      <c r="E1" s="3"/>
      <c r="F1" s="3"/>
      <c r="G1" s="3"/>
      <c r="H1" s="3"/>
      <c r="I1" s="3"/>
      <c r="J1" s="3"/>
      <c r="K1" s="3"/>
      <c r="L1" s="3"/>
      <c r="M1" s="3"/>
      <c r="N1" s="3"/>
      <c r="O1" s="4"/>
    </row>
    <row r="2" ht="30.0" customHeight="1">
      <c r="A2" s="86" t="s">
        <v>2665</v>
      </c>
      <c r="B2" s="3"/>
      <c r="C2" s="3"/>
      <c r="D2" s="3"/>
      <c r="E2" s="3"/>
      <c r="F2" s="3"/>
      <c r="G2" s="3"/>
      <c r="H2" s="3"/>
      <c r="I2" s="3"/>
      <c r="J2" s="3"/>
      <c r="K2" s="3"/>
      <c r="L2" s="3"/>
      <c r="M2" s="3"/>
      <c r="N2" s="3"/>
      <c r="O2" s="4"/>
    </row>
    <row r="3" ht="19.5" customHeight="1">
      <c r="A3" s="10" t="s">
        <v>11</v>
      </c>
      <c r="B3" s="3"/>
      <c r="C3" s="3"/>
      <c r="D3" s="3"/>
      <c r="E3" s="3"/>
      <c r="F3" s="3"/>
      <c r="G3" s="3"/>
      <c r="H3" s="3"/>
      <c r="I3" s="3"/>
      <c r="J3" s="3"/>
      <c r="K3" s="3"/>
      <c r="L3" s="3"/>
      <c r="M3" s="3"/>
      <c r="N3" s="3"/>
      <c r="O3" s="4"/>
    </row>
    <row r="4" ht="24.75" customHeight="1">
      <c r="A4" s="9" t="s">
        <v>22</v>
      </c>
      <c r="B4" s="9" t="s">
        <v>8</v>
      </c>
      <c r="C4" s="9" t="s">
        <v>14</v>
      </c>
      <c r="D4" s="9" t="s">
        <v>24</v>
      </c>
      <c r="E4" s="9" t="s">
        <v>25</v>
      </c>
      <c r="F4" s="9" t="s">
        <v>26</v>
      </c>
      <c r="G4" s="9" t="s">
        <v>27</v>
      </c>
      <c r="H4" s="9" t="s">
        <v>28</v>
      </c>
      <c r="I4" s="9" t="s">
        <v>29</v>
      </c>
      <c r="J4" s="9" t="s">
        <v>31</v>
      </c>
      <c r="K4" s="9" t="s">
        <v>32</v>
      </c>
      <c r="L4" s="9" t="s">
        <v>33</v>
      </c>
      <c r="M4" s="9" t="s">
        <v>17</v>
      </c>
      <c r="N4" s="9" t="s">
        <v>35</v>
      </c>
      <c r="O4" s="9" t="s">
        <v>36</v>
      </c>
    </row>
    <row r="5" ht="19.5" customHeight="1">
      <c r="A5" s="18" t="s">
        <v>37</v>
      </c>
      <c r="B5" s="3"/>
      <c r="C5" s="3"/>
      <c r="D5" s="3"/>
      <c r="E5" s="3"/>
      <c r="F5" s="3"/>
      <c r="G5" s="3"/>
      <c r="H5" s="3"/>
      <c r="I5" s="3"/>
      <c r="J5" s="3"/>
      <c r="K5" s="3"/>
      <c r="L5" s="3"/>
      <c r="M5" s="3"/>
      <c r="N5" s="3"/>
      <c r="O5" s="4"/>
    </row>
    <row r="6" ht="57.75" customHeight="1">
      <c r="A6" s="87" t="s">
        <v>2724</v>
      </c>
      <c r="B6" s="25" t="s">
        <v>130</v>
      </c>
      <c r="C6" s="25" t="s">
        <v>124</v>
      </c>
      <c r="D6" s="27" t="s">
        <v>10</v>
      </c>
      <c r="E6" s="31" t="s">
        <v>2731</v>
      </c>
      <c r="F6" s="31" t="s">
        <v>2733</v>
      </c>
      <c r="G6" s="31" t="s">
        <v>2735</v>
      </c>
      <c r="H6" s="31" t="s">
        <v>870</v>
      </c>
      <c r="I6" s="31" t="s">
        <v>872</v>
      </c>
      <c r="J6" s="31" t="s">
        <v>873</v>
      </c>
      <c r="K6" s="36" t="s">
        <v>108</v>
      </c>
      <c r="L6" s="31" t="s">
        <v>2741</v>
      </c>
      <c r="M6" s="76" t="s">
        <v>1420</v>
      </c>
      <c r="N6" s="25"/>
      <c r="O6" s="25"/>
    </row>
    <row r="7" ht="57.75" customHeight="1">
      <c r="A7" s="87" t="s">
        <v>2745</v>
      </c>
      <c r="B7" s="35" t="s">
        <v>130</v>
      </c>
      <c r="C7" s="35" t="s">
        <v>124</v>
      </c>
      <c r="D7" s="27" t="s">
        <v>10</v>
      </c>
      <c r="E7" s="40" t="s">
        <v>2754</v>
      </c>
      <c r="F7" s="40">
        <v>70.0</v>
      </c>
      <c r="G7" s="40">
        <v>75.0</v>
      </c>
      <c r="H7" s="40">
        <v>80.0</v>
      </c>
      <c r="I7" s="40">
        <v>85.0</v>
      </c>
      <c r="J7" s="40">
        <v>90.0</v>
      </c>
      <c r="K7" s="42" t="s">
        <v>66</v>
      </c>
      <c r="L7" s="40" t="s">
        <v>2759</v>
      </c>
      <c r="M7" s="76" t="s">
        <v>1420</v>
      </c>
      <c r="N7" s="35"/>
      <c r="O7" s="35"/>
    </row>
    <row r="8" ht="57.75" customHeight="1">
      <c r="A8" s="87" t="s">
        <v>2761</v>
      </c>
      <c r="B8" s="25" t="s">
        <v>130</v>
      </c>
      <c r="C8" s="25" t="s">
        <v>124</v>
      </c>
      <c r="D8" s="27" t="s">
        <v>10</v>
      </c>
      <c r="E8" s="31" t="s">
        <v>2762</v>
      </c>
      <c r="F8" s="31">
        <v>38.0</v>
      </c>
      <c r="G8" s="31">
        <v>39.0</v>
      </c>
      <c r="H8" s="31">
        <v>40.0</v>
      </c>
      <c r="I8" s="31">
        <v>41.0</v>
      </c>
      <c r="J8" s="31">
        <v>42.0</v>
      </c>
      <c r="K8" s="36" t="s">
        <v>108</v>
      </c>
      <c r="L8" s="31" t="s">
        <v>2771</v>
      </c>
      <c r="M8" s="76" t="s">
        <v>1420</v>
      </c>
      <c r="N8" s="25"/>
      <c r="O8" s="25"/>
    </row>
    <row r="9" ht="57.75" customHeight="1">
      <c r="A9" s="87" t="s">
        <v>2773</v>
      </c>
      <c r="B9" s="35" t="s">
        <v>130</v>
      </c>
      <c r="C9" s="35" t="s">
        <v>124</v>
      </c>
      <c r="D9" s="27" t="s">
        <v>10</v>
      </c>
      <c r="E9" s="40" t="s">
        <v>2775</v>
      </c>
      <c r="F9" s="40" t="s">
        <v>1280</v>
      </c>
      <c r="G9" s="40" t="s">
        <v>627</v>
      </c>
      <c r="H9" s="40" t="s">
        <v>2776</v>
      </c>
      <c r="I9" s="40" t="s">
        <v>2284</v>
      </c>
      <c r="J9" s="40" t="s">
        <v>2778</v>
      </c>
      <c r="K9" s="42" t="s">
        <v>66</v>
      </c>
      <c r="L9" s="40" t="s">
        <v>2779</v>
      </c>
      <c r="M9" s="76" t="s">
        <v>1420</v>
      </c>
      <c r="N9" s="35"/>
      <c r="O9" s="35"/>
    </row>
    <row r="10" ht="57.75" customHeight="1">
      <c r="A10" s="87" t="s">
        <v>2782</v>
      </c>
      <c r="B10" s="25" t="s">
        <v>130</v>
      </c>
      <c r="C10" s="25" t="s">
        <v>124</v>
      </c>
      <c r="D10" s="27" t="s">
        <v>10</v>
      </c>
      <c r="E10" s="31" t="s">
        <v>2786</v>
      </c>
      <c r="F10" s="31">
        <v>76.0</v>
      </c>
      <c r="G10" s="31">
        <v>77.0</v>
      </c>
      <c r="H10" s="31">
        <v>78.0</v>
      </c>
      <c r="I10" s="31">
        <v>79.0</v>
      </c>
      <c r="J10" s="31">
        <v>80.0</v>
      </c>
      <c r="K10" s="36" t="s">
        <v>108</v>
      </c>
      <c r="L10" s="31" t="s">
        <v>2790</v>
      </c>
      <c r="M10" s="76" t="s">
        <v>1420</v>
      </c>
      <c r="N10" s="25"/>
      <c r="O10" s="25"/>
    </row>
    <row r="11" ht="57.75" customHeight="1">
      <c r="A11" s="87" t="s">
        <v>2792</v>
      </c>
      <c r="B11" s="35" t="s">
        <v>130</v>
      </c>
      <c r="C11" s="35" t="s">
        <v>124</v>
      </c>
      <c r="D11" s="27" t="s">
        <v>10</v>
      </c>
      <c r="E11" s="40" t="s">
        <v>2795</v>
      </c>
      <c r="F11" s="40" t="s">
        <v>475</v>
      </c>
      <c r="G11" s="40" t="s">
        <v>192</v>
      </c>
      <c r="H11" s="40">
        <v>2.0</v>
      </c>
      <c r="I11" s="40" t="s">
        <v>2798</v>
      </c>
      <c r="J11" s="40" t="s">
        <v>2799</v>
      </c>
      <c r="K11" s="42" t="s">
        <v>201</v>
      </c>
      <c r="L11" s="40" t="s">
        <v>2800</v>
      </c>
      <c r="M11" s="76" t="s">
        <v>1420</v>
      </c>
      <c r="N11" s="35"/>
      <c r="O11" s="35"/>
    </row>
    <row r="12" ht="57.75" customHeight="1">
      <c r="A12" s="87" t="s">
        <v>2802</v>
      </c>
      <c r="B12" s="25" t="s">
        <v>130</v>
      </c>
      <c r="C12" s="25" t="s">
        <v>124</v>
      </c>
      <c r="D12" s="27" t="s">
        <v>10</v>
      </c>
      <c r="E12" s="31" t="s">
        <v>2804</v>
      </c>
      <c r="F12" s="31" t="s">
        <v>2805</v>
      </c>
      <c r="G12" s="31" t="s">
        <v>2807</v>
      </c>
      <c r="H12" s="31" t="s">
        <v>2809</v>
      </c>
      <c r="I12" s="31" t="s">
        <v>2811</v>
      </c>
      <c r="J12" s="31" t="s">
        <v>2812</v>
      </c>
      <c r="K12" s="36" t="s">
        <v>108</v>
      </c>
      <c r="L12" s="31" t="s">
        <v>2816</v>
      </c>
      <c r="M12" s="76" t="s">
        <v>1420</v>
      </c>
      <c r="N12" s="25"/>
      <c r="O12" s="25"/>
    </row>
    <row r="13" ht="57.75" customHeight="1">
      <c r="A13" s="87" t="s">
        <v>2819</v>
      </c>
      <c r="B13" s="35" t="s">
        <v>130</v>
      </c>
      <c r="C13" s="35" t="s">
        <v>124</v>
      </c>
      <c r="D13" s="27" t="s">
        <v>10</v>
      </c>
      <c r="E13" s="40" t="s">
        <v>2821</v>
      </c>
      <c r="F13" s="40">
        <v>29.0</v>
      </c>
      <c r="G13" s="40" t="s">
        <v>2823</v>
      </c>
      <c r="H13" s="40">
        <v>30.0</v>
      </c>
      <c r="I13" s="40" t="s">
        <v>2825</v>
      </c>
      <c r="J13" s="40">
        <v>31.0</v>
      </c>
      <c r="K13" s="42" t="s">
        <v>108</v>
      </c>
      <c r="L13" s="40" t="s">
        <v>2827</v>
      </c>
      <c r="M13" s="76" t="s">
        <v>1420</v>
      </c>
      <c r="N13" s="35"/>
      <c r="O13" s="35"/>
    </row>
    <row r="14" ht="57.75" customHeight="1">
      <c r="A14" s="87" t="s">
        <v>2829</v>
      </c>
      <c r="B14" s="25" t="s">
        <v>130</v>
      </c>
      <c r="C14" s="25" t="s">
        <v>124</v>
      </c>
      <c r="D14" s="27" t="s">
        <v>10</v>
      </c>
      <c r="E14" s="31" t="s">
        <v>2832</v>
      </c>
      <c r="F14" s="31">
        <v>36.0</v>
      </c>
      <c r="G14" s="31">
        <v>38.0</v>
      </c>
      <c r="H14" s="31">
        <v>40.0</v>
      </c>
      <c r="I14" s="31">
        <v>42.0</v>
      </c>
      <c r="J14" s="31">
        <v>44.0</v>
      </c>
      <c r="K14" s="36" t="s">
        <v>108</v>
      </c>
      <c r="L14" s="31" t="s">
        <v>2836</v>
      </c>
      <c r="M14" s="76" t="s">
        <v>1420</v>
      </c>
      <c r="N14" s="25"/>
      <c r="O14" s="25"/>
    </row>
    <row r="15" ht="57.75" customHeight="1">
      <c r="A15" s="87" t="s">
        <v>2840</v>
      </c>
      <c r="B15" s="35" t="s">
        <v>130</v>
      </c>
      <c r="C15" s="35" t="s">
        <v>124</v>
      </c>
      <c r="D15" s="27" t="s">
        <v>10</v>
      </c>
      <c r="E15" s="40" t="s">
        <v>2845</v>
      </c>
      <c r="F15" s="40" t="s">
        <v>2847</v>
      </c>
      <c r="G15" s="40" t="s">
        <v>2848</v>
      </c>
      <c r="H15" s="40" t="s">
        <v>2849</v>
      </c>
      <c r="I15" s="40" t="s">
        <v>2850</v>
      </c>
      <c r="J15" s="40" t="s">
        <v>2852</v>
      </c>
      <c r="K15" s="42" t="s">
        <v>66</v>
      </c>
      <c r="L15" s="40" t="s">
        <v>2853</v>
      </c>
      <c r="M15" s="76" t="s">
        <v>1420</v>
      </c>
      <c r="N15" s="35"/>
      <c r="O15" s="35"/>
    </row>
    <row r="16" ht="57.75" customHeight="1">
      <c r="A16" s="87" t="s">
        <v>2856</v>
      </c>
      <c r="B16" s="25" t="s">
        <v>130</v>
      </c>
      <c r="C16" s="25" t="s">
        <v>124</v>
      </c>
      <c r="D16" s="27" t="s">
        <v>10</v>
      </c>
      <c r="E16" s="31" t="s">
        <v>2857</v>
      </c>
      <c r="F16" s="31">
        <v>12.0</v>
      </c>
      <c r="G16" s="31" t="s">
        <v>2858</v>
      </c>
      <c r="H16" s="31">
        <v>15.0</v>
      </c>
      <c r="I16" s="31" t="s">
        <v>2859</v>
      </c>
      <c r="J16" s="31">
        <v>18.0</v>
      </c>
      <c r="K16" s="36" t="s">
        <v>66</v>
      </c>
      <c r="L16" s="31" t="s">
        <v>2860</v>
      </c>
      <c r="M16" s="76" t="s">
        <v>1420</v>
      </c>
      <c r="N16" s="25"/>
      <c r="O16" s="25"/>
    </row>
    <row r="17" ht="57.75" customHeight="1">
      <c r="A17" s="87" t="s">
        <v>2862</v>
      </c>
      <c r="B17" s="35" t="s">
        <v>130</v>
      </c>
      <c r="C17" s="35" t="s">
        <v>124</v>
      </c>
      <c r="D17" s="27" t="s">
        <v>10</v>
      </c>
      <c r="E17" s="40" t="s">
        <v>2865</v>
      </c>
      <c r="F17" s="40">
        <v>100.0</v>
      </c>
      <c r="G17" s="40">
        <v>150.0</v>
      </c>
      <c r="H17" s="40">
        <v>200.0</v>
      </c>
      <c r="I17" s="40">
        <v>250.0</v>
      </c>
      <c r="J17" s="40">
        <v>300.0</v>
      </c>
      <c r="K17" s="42" t="s">
        <v>108</v>
      </c>
      <c r="L17" s="40" t="s">
        <v>2868</v>
      </c>
      <c r="M17" s="76" t="s">
        <v>1420</v>
      </c>
      <c r="N17" s="35"/>
      <c r="O17" s="35"/>
    </row>
    <row r="18" ht="57.75" customHeight="1">
      <c r="A18" s="87" t="s">
        <v>2870</v>
      </c>
      <c r="B18" s="25" t="s">
        <v>130</v>
      </c>
      <c r="C18" s="25" t="s">
        <v>124</v>
      </c>
      <c r="D18" s="27" t="s">
        <v>10</v>
      </c>
      <c r="E18" s="31" t="s">
        <v>2873</v>
      </c>
      <c r="F18" s="31" t="s">
        <v>2874</v>
      </c>
      <c r="G18" s="31" t="s">
        <v>2877</v>
      </c>
      <c r="H18" s="31" t="s">
        <v>2878</v>
      </c>
      <c r="I18" s="31" t="s">
        <v>2879</v>
      </c>
      <c r="J18" s="31" t="s">
        <v>2882</v>
      </c>
      <c r="K18" s="36" t="s">
        <v>66</v>
      </c>
      <c r="L18" s="31" t="s">
        <v>2883</v>
      </c>
      <c r="M18" s="76" t="s">
        <v>1420</v>
      </c>
      <c r="N18" s="25"/>
      <c r="O18" s="25"/>
    </row>
    <row r="19" ht="57.75" customHeight="1">
      <c r="A19" s="87" t="s">
        <v>2885</v>
      </c>
      <c r="B19" s="35" t="s">
        <v>130</v>
      </c>
      <c r="C19" s="35" t="s">
        <v>124</v>
      </c>
      <c r="D19" s="27" t="s">
        <v>10</v>
      </c>
      <c r="E19" s="40" t="s">
        <v>2887</v>
      </c>
      <c r="F19" s="40">
        <v>30.0</v>
      </c>
      <c r="G19" s="40">
        <v>40.0</v>
      </c>
      <c r="H19" s="40">
        <v>50.0</v>
      </c>
      <c r="I19" s="40">
        <v>60.0</v>
      </c>
      <c r="J19" s="40">
        <v>130.0</v>
      </c>
      <c r="K19" s="42" t="s">
        <v>66</v>
      </c>
      <c r="L19" s="40" t="s">
        <v>2891</v>
      </c>
      <c r="M19" s="76" t="s">
        <v>1420</v>
      </c>
      <c r="N19" s="35"/>
      <c r="O19" s="35"/>
    </row>
    <row r="20" ht="57.75" customHeight="1">
      <c r="A20" s="87" t="s">
        <v>2893</v>
      </c>
      <c r="B20" s="25" t="s">
        <v>130</v>
      </c>
      <c r="C20" s="25" t="s">
        <v>124</v>
      </c>
      <c r="D20" s="27" t="s">
        <v>10</v>
      </c>
      <c r="E20" s="31" t="s">
        <v>2895</v>
      </c>
      <c r="F20" s="31">
        <v>5.0</v>
      </c>
      <c r="G20" s="31">
        <v>15.0</v>
      </c>
      <c r="H20" s="31">
        <v>25.0</v>
      </c>
      <c r="I20" s="31">
        <v>30.0</v>
      </c>
      <c r="J20" s="31">
        <v>150.0</v>
      </c>
      <c r="K20" s="36" t="s">
        <v>66</v>
      </c>
      <c r="L20" s="31" t="s">
        <v>2901</v>
      </c>
      <c r="M20" s="76" t="s">
        <v>1420</v>
      </c>
      <c r="N20" s="25"/>
      <c r="O20" s="25"/>
    </row>
    <row r="21" ht="19.5" customHeight="1">
      <c r="A21" s="61" t="s">
        <v>255</v>
      </c>
      <c r="B21" s="3"/>
      <c r="C21" s="3"/>
      <c r="D21" s="3"/>
      <c r="E21" s="3"/>
      <c r="F21" s="3"/>
      <c r="G21" s="3"/>
      <c r="H21" s="3"/>
      <c r="I21" s="3"/>
      <c r="J21" s="3"/>
      <c r="K21" s="3"/>
      <c r="L21" s="3"/>
      <c r="M21" s="3"/>
      <c r="N21" s="3"/>
      <c r="O21" s="4"/>
    </row>
    <row r="22" ht="57.75" customHeight="1">
      <c r="A22" s="87" t="s">
        <v>2911</v>
      </c>
      <c r="B22" s="35" t="s">
        <v>130</v>
      </c>
      <c r="C22" s="35" t="s">
        <v>124</v>
      </c>
      <c r="D22" s="17" t="s">
        <v>12</v>
      </c>
      <c r="E22" s="40" t="s">
        <v>2915</v>
      </c>
      <c r="F22" s="40">
        <v>85.0</v>
      </c>
      <c r="G22" s="40">
        <v>87.0</v>
      </c>
      <c r="H22" s="40">
        <v>90.0</v>
      </c>
      <c r="I22" s="40">
        <v>93.0</v>
      </c>
      <c r="J22" s="40">
        <v>96.0</v>
      </c>
      <c r="K22" s="42" t="s">
        <v>66</v>
      </c>
      <c r="L22" s="40" t="s">
        <v>2918</v>
      </c>
      <c r="M22" s="76" t="s">
        <v>1420</v>
      </c>
      <c r="N22" s="35"/>
      <c r="O22" s="35"/>
    </row>
    <row r="23" ht="57.75" customHeight="1">
      <c r="A23" s="87" t="s">
        <v>2922</v>
      </c>
      <c r="B23" s="25" t="s">
        <v>130</v>
      </c>
      <c r="C23" s="25" t="s">
        <v>124</v>
      </c>
      <c r="D23" s="17" t="s">
        <v>12</v>
      </c>
      <c r="E23" s="31" t="s">
        <v>2925</v>
      </c>
      <c r="F23" s="31">
        <v>3.0</v>
      </c>
      <c r="G23" s="31">
        <v>4.0</v>
      </c>
      <c r="H23" s="31">
        <v>5.0</v>
      </c>
      <c r="I23" s="31">
        <v>6.0</v>
      </c>
      <c r="J23" s="31">
        <v>7.0</v>
      </c>
      <c r="K23" s="36" t="s">
        <v>108</v>
      </c>
      <c r="L23" s="31" t="s">
        <v>2929</v>
      </c>
      <c r="M23" s="76" t="s">
        <v>1420</v>
      </c>
      <c r="N23" s="25"/>
      <c r="O23" s="25"/>
    </row>
    <row r="24" ht="57.75" customHeight="1">
      <c r="A24" s="87" t="s">
        <v>2930</v>
      </c>
      <c r="B24" s="35" t="s">
        <v>130</v>
      </c>
      <c r="C24" s="35" t="s">
        <v>124</v>
      </c>
      <c r="D24" s="17" t="s">
        <v>12</v>
      </c>
      <c r="E24" s="40" t="s">
        <v>2933</v>
      </c>
      <c r="F24" s="40">
        <v>15.0</v>
      </c>
      <c r="G24" s="40">
        <v>25.0</v>
      </c>
      <c r="H24" s="40">
        <v>35.0</v>
      </c>
      <c r="I24" s="40">
        <v>95.0</v>
      </c>
      <c r="J24" s="40">
        <v>105.0</v>
      </c>
      <c r="K24" s="42" t="s">
        <v>108</v>
      </c>
      <c r="L24" s="40" t="s">
        <v>2936</v>
      </c>
      <c r="M24" s="76" t="s">
        <v>1420</v>
      </c>
      <c r="N24" s="35"/>
      <c r="O24" s="35"/>
    </row>
    <row r="25" ht="57.75" customHeight="1">
      <c r="A25" s="87" t="s">
        <v>2939</v>
      </c>
      <c r="B25" s="25" t="s">
        <v>130</v>
      </c>
      <c r="C25" s="25" t="s">
        <v>124</v>
      </c>
      <c r="D25" s="17" t="s">
        <v>12</v>
      </c>
      <c r="E25" s="31" t="s">
        <v>2941</v>
      </c>
      <c r="F25" s="31">
        <v>48.0</v>
      </c>
      <c r="G25" s="31">
        <v>53.0</v>
      </c>
      <c r="H25" s="31">
        <v>58.0</v>
      </c>
      <c r="I25" s="31">
        <v>63.0</v>
      </c>
      <c r="J25" s="31">
        <v>68.0</v>
      </c>
      <c r="K25" s="36" t="s">
        <v>108</v>
      </c>
      <c r="L25" s="31" t="s">
        <v>2947</v>
      </c>
      <c r="M25" s="76" t="s">
        <v>1420</v>
      </c>
      <c r="N25" s="25"/>
      <c r="O25" s="25"/>
    </row>
    <row r="26" ht="57.75" customHeight="1">
      <c r="A26" s="87" t="s">
        <v>2948</v>
      </c>
      <c r="B26" s="35" t="s">
        <v>130</v>
      </c>
      <c r="C26" s="35" t="s">
        <v>124</v>
      </c>
      <c r="D26" s="17" t="s">
        <v>12</v>
      </c>
      <c r="E26" s="40" t="s">
        <v>2951</v>
      </c>
      <c r="F26" s="40" t="s">
        <v>2952</v>
      </c>
      <c r="G26" s="40" t="s">
        <v>2953</v>
      </c>
      <c r="H26" s="40" t="s">
        <v>2955</v>
      </c>
      <c r="I26" s="40">
        <v>10.0</v>
      </c>
      <c r="J26" s="40" t="s">
        <v>2956</v>
      </c>
      <c r="K26" s="42" t="s">
        <v>108</v>
      </c>
      <c r="L26" s="40" t="s">
        <v>2960</v>
      </c>
      <c r="M26" s="76" t="s">
        <v>1420</v>
      </c>
      <c r="N26" s="35"/>
      <c r="O26" s="35"/>
    </row>
    <row r="27" ht="57.75" customHeight="1">
      <c r="A27" s="87" t="s">
        <v>2963</v>
      </c>
      <c r="B27" s="25" t="s">
        <v>130</v>
      </c>
      <c r="C27" s="25" t="s">
        <v>124</v>
      </c>
      <c r="D27" s="17" t="s">
        <v>12</v>
      </c>
      <c r="E27" s="31" t="s">
        <v>2966</v>
      </c>
      <c r="F27" s="31">
        <v>72.0</v>
      </c>
      <c r="G27" s="31">
        <v>74.0</v>
      </c>
      <c r="H27" s="31">
        <v>75.0</v>
      </c>
      <c r="I27" s="31">
        <v>76.0</v>
      </c>
      <c r="J27" s="31">
        <v>78.0</v>
      </c>
      <c r="K27" s="36" t="s">
        <v>66</v>
      </c>
      <c r="L27" s="31" t="s">
        <v>2969</v>
      </c>
      <c r="M27" s="76" t="s">
        <v>1420</v>
      </c>
      <c r="N27" s="25"/>
      <c r="O27" s="25"/>
    </row>
    <row r="28" ht="57.75" customHeight="1">
      <c r="A28" s="87" t="s">
        <v>2970</v>
      </c>
      <c r="B28" s="35" t="s">
        <v>130</v>
      </c>
      <c r="C28" s="35" t="s">
        <v>124</v>
      </c>
      <c r="D28" s="17" t="s">
        <v>12</v>
      </c>
      <c r="E28" s="40" t="s">
        <v>2973</v>
      </c>
      <c r="F28" s="40">
        <v>12.0</v>
      </c>
      <c r="G28" s="40">
        <v>24.0</v>
      </c>
      <c r="H28" s="40">
        <v>31.0</v>
      </c>
      <c r="I28" s="40">
        <v>36.0</v>
      </c>
      <c r="J28" s="40">
        <v>45.0</v>
      </c>
      <c r="K28" s="42" t="s">
        <v>201</v>
      </c>
      <c r="L28" s="40" t="s">
        <v>2977</v>
      </c>
      <c r="M28" s="76" t="s">
        <v>1420</v>
      </c>
      <c r="N28" s="35"/>
      <c r="O28" s="35"/>
    </row>
    <row r="29" ht="57.75" customHeight="1">
      <c r="A29" s="87" t="s">
        <v>2979</v>
      </c>
      <c r="B29" s="25" t="s">
        <v>130</v>
      </c>
      <c r="C29" s="25" t="s">
        <v>124</v>
      </c>
      <c r="D29" s="17" t="s">
        <v>12</v>
      </c>
      <c r="E29" s="31" t="s">
        <v>2981</v>
      </c>
      <c r="F29" s="31">
        <v>15.0</v>
      </c>
      <c r="G29" s="31">
        <v>18.0</v>
      </c>
      <c r="H29" s="31">
        <v>20.0</v>
      </c>
      <c r="I29" s="31">
        <v>21.0</v>
      </c>
      <c r="J29" s="31">
        <v>24.0</v>
      </c>
      <c r="K29" s="36" t="s">
        <v>66</v>
      </c>
      <c r="L29" s="31" t="s">
        <v>2985</v>
      </c>
      <c r="M29" s="76" t="s">
        <v>1420</v>
      </c>
      <c r="N29" s="25"/>
      <c r="O29" s="25"/>
    </row>
    <row r="30" ht="57.75" customHeight="1">
      <c r="A30" s="87" t="s">
        <v>2989</v>
      </c>
      <c r="B30" s="35" t="s">
        <v>130</v>
      </c>
      <c r="C30" s="35" t="s">
        <v>124</v>
      </c>
      <c r="D30" s="17" t="s">
        <v>12</v>
      </c>
      <c r="E30" s="40" t="s">
        <v>2992</v>
      </c>
      <c r="F30" s="40">
        <v>20.0</v>
      </c>
      <c r="G30" s="40">
        <v>22.0</v>
      </c>
      <c r="H30" s="40">
        <v>24.0</v>
      </c>
      <c r="I30" s="40">
        <v>26.0</v>
      </c>
      <c r="J30" s="40">
        <v>28.0</v>
      </c>
      <c r="K30" s="42" t="s">
        <v>108</v>
      </c>
      <c r="L30" s="40" t="s">
        <v>2994</v>
      </c>
      <c r="M30" s="76" t="s">
        <v>1420</v>
      </c>
      <c r="N30" s="35"/>
      <c r="O30" s="35"/>
    </row>
    <row r="31" ht="57.75" customHeight="1">
      <c r="A31" s="87" t="s">
        <v>2996</v>
      </c>
      <c r="B31" s="25" t="s">
        <v>130</v>
      </c>
      <c r="C31" s="25" t="s">
        <v>124</v>
      </c>
      <c r="D31" s="17" t="s">
        <v>12</v>
      </c>
      <c r="E31" s="31" t="s">
        <v>2998</v>
      </c>
      <c r="F31" s="31" t="s">
        <v>2999</v>
      </c>
      <c r="G31" s="31" t="s">
        <v>3000</v>
      </c>
      <c r="H31" s="31" t="s">
        <v>3001</v>
      </c>
      <c r="I31" s="31" t="s">
        <v>3003</v>
      </c>
      <c r="J31" s="31" t="s">
        <v>3004</v>
      </c>
      <c r="K31" s="36" t="s">
        <v>108</v>
      </c>
      <c r="L31" s="31" t="s">
        <v>3005</v>
      </c>
      <c r="M31" s="76" t="s">
        <v>1420</v>
      </c>
      <c r="N31" s="25"/>
      <c r="O31" s="25"/>
    </row>
    <row r="32" ht="57.75" customHeight="1">
      <c r="A32" s="87" t="s">
        <v>3007</v>
      </c>
      <c r="B32" s="35" t="s">
        <v>130</v>
      </c>
      <c r="C32" s="35" t="s">
        <v>124</v>
      </c>
      <c r="D32" s="17" t="s">
        <v>12</v>
      </c>
      <c r="E32" s="40" t="s">
        <v>3008</v>
      </c>
      <c r="F32" s="40">
        <v>71.0</v>
      </c>
      <c r="G32" s="40" t="s">
        <v>3010</v>
      </c>
      <c r="H32" s="40">
        <v>72.0</v>
      </c>
      <c r="I32" s="40" t="s">
        <v>3011</v>
      </c>
      <c r="J32" s="40">
        <v>73.0</v>
      </c>
      <c r="K32" s="42" t="s">
        <v>136</v>
      </c>
      <c r="L32" s="40" t="s">
        <v>3013</v>
      </c>
      <c r="M32" s="76" t="s">
        <v>1420</v>
      </c>
      <c r="N32" s="35"/>
      <c r="O32" s="35"/>
    </row>
    <row r="33" ht="57.75" customHeight="1">
      <c r="A33" s="87" t="s">
        <v>3015</v>
      </c>
      <c r="B33" s="25" t="s">
        <v>130</v>
      </c>
      <c r="C33" s="25" t="s">
        <v>124</v>
      </c>
      <c r="D33" s="17" t="s">
        <v>12</v>
      </c>
      <c r="E33" s="31" t="s">
        <v>3017</v>
      </c>
      <c r="F33" s="31">
        <v>2.0</v>
      </c>
      <c r="G33" s="31">
        <v>3.0</v>
      </c>
      <c r="H33" s="31">
        <v>4.0</v>
      </c>
      <c r="I33" s="31">
        <v>5.0</v>
      </c>
      <c r="J33" s="31">
        <v>6.0</v>
      </c>
      <c r="K33" s="36" t="s">
        <v>66</v>
      </c>
      <c r="L33" s="31" t="s">
        <v>3021</v>
      </c>
      <c r="M33" s="76" t="s">
        <v>1420</v>
      </c>
      <c r="N33" s="25"/>
      <c r="O33" s="25"/>
    </row>
    <row r="34" ht="57.75" customHeight="1">
      <c r="A34" s="87" t="s">
        <v>3023</v>
      </c>
      <c r="B34" s="35" t="s">
        <v>130</v>
      </c>
      <c r="C34" s="35" t="s">
        <v>124</v>
      </c>
      <c r="D34" s="17" t="s">
        <v>12</v>
      </c>
      <c r="E34" s="40" t="s">
        <v>3025</v>
      </c>
      <c r="F34" s="40" t="s">
        <v>3026</v>
      </c>
      <c r="G34" s="40" t="s">
        <v>3027</v>
      </c>
      <c r="H34" s="40" t="s">
        <v>3028</v>
      </c>
      <c r="I34" s="40" t="s">
        <v>3030</v>
      </c>
      <c r="J34" s="40" t="s">
        <v>3031</v>
      </c>
      <c r="K34" s="42" t="s">
        <v>66</v>
      </c>
      <c r="L34" s="40" t="s">
        <v>3034</v>
      </c>
      <c r="M34" s="76" t="s">
        <v>1420</v>
      </c>
      <c r="N34" s="35"/>
      <c r="O34" s="35"/>
    </row>
    <row r="35" ht="57.75" customHeight="1">
      <c r="A35" s="87" t="s">
        <v>3036</v>
      </c>
      <c r="B35" s="25" t="s">
        <v>130</v>
      </c>
      <c r="C35" s="25" t="s">
        <v>124</v>
      </c>
      <c r="D35" s="17" t="s">
        <v>12</v>
      </c>
      <c r="E35" s="31" t="s">
        <v>3038</v>
      </c>
      <c r="F35" s="31">
        <v>12.0</v>
      </c>
      <c r="G35" s="31">
        <v>13.0</v>
      </c>
      <c r="H35" s="31">
        <v>14.0</v>
      </c>
      <c r="I35" s="31">
        <v>15.0</v>
      </c>
      <c r="J35" s="31">
        <v>16.0</v>
      </c>
      <c r="K35" s="36" t="s">
        <v>66</v>
      </c>
      <c r="L35" s="31" t="s">
        <v>3040</v>
      </c>
      <c r="M35" s="76" t="s">
        <v>1420</v>
      </c>
      <c r="N35" s="25"/>
      <c r="O35" s="25"/>
    </row>
    <row r="36" ht="57.75" customHeight="1">
      <c r="A36" s="87" t="s">
        <v>3041</v>
      </c>
      <c r="B36" s="35" t="s">
        <v>130</v>
      </c>
      <c r="C36" s="35" t="s">
        <v>124</v>
      </c>
      <c r="D36" s="17" t="s">
        <v>12</v>
      </c>
      <c r="E36" s="40" t="s">
        <v>3042</v>
      </c>
      <c r="F36" s="40">
        <v>5.0</v>
      </c>
      <c r="G36" s="40" t="s">
        <v>3044</v>
      </c>
      <c r="H36" s="40" t="s">
        <v>3045</v>
      </c>
      <c r="I36" s="40">
        <v>7.0</v>
      </c>
      <c r="J36" s="40">
        <v>13.0</v>
      </c>
      <c r="K36" s="42" t="s">
        <v>108</v>
      </c>
      <c r="L36" s="40" t="s">
        <v>3046</v>
      </c>
      <c r="M36" s="76" t="s">
        <v>1420</v>
      </c>
      <c r="N36" s="35"/>
      <c r="O36" s="35"/>
    </row>
    <row r="37" ht="19.5" customHeight="1">
      <c r="A37" s="69" t="s">
        <v>435</v>
      </c>
      <c r="B37" s="3"/>
      <c r="C37" s="3"/>
      <c r="D37" s="3"/>
      <c r="E37" s="3"/>
      <c r="F37" s="3"/>
      <c r="G37" s="3"/>
      <c r="H37" s="3"/>
      <c r="I37" s="3"/>
      <c r="J37" s="3"/>
      <c r="K37" s="3"/>
      <c r="L37" s="3"/>
      <c r="M37" s="3"/>
      <c r="N37" s="3"/>
      <c r="O37" s="4"/>
    </row>
    <row r="38" ht="57.75" customHeight="1">
      <c r="A38" s="87" t="s">
        <v>3053</v>
      </c>
      <c r="B38" s="25" t="s">
        <v>130</v>
      </c>
      <c r="C38" s="25" t="s">
        <v>124</v>
      </c>
      <c r="D38" s="38" t="s">
        <v>13</v>
      </c>
      <c r="E38" s="31" t="s">
        <v>3055</v>
      </c>
      <c r="F38" s="31" t="s">
        <v>3057</v>
      </c>
      <c r="G38" s="31" t="s">
        <v>3058</v>
      </c>
      <c r="H38" s="31" t="s">
        <v>3059</v>
      </c>
      <c r="I38" s="31" t="s">
        <v>3060</v>
      </c>
      <c r="J38" s="31" t="s">
        <v>3061</v>
      </c>
      <c r="K38" s="36" t="s">
        <v>201</v>
      </c>
      <c r="L38" s="31" t="s">
        <v>3063</v>
      </c>
      <c r="M38" s="76" t="s">
        <v>1420</v>
      </c>
      <c r="N38" s="25"/>
      <c r="O38" s="25"/>
    </row>
    <row r="39" ht="57.75" customHeight="1">
      <c r="A39" s="87" t="s">
        <v>3066</v>
      </c>
      <c r="B39" s="35" t="s">
        <v>130</v>
      </c>
      <c r="C39" s="35" t="s">
        <v>124</v>
      </c>
      <c r="D39" s="38" t="s">
        <v>13</v>
      </c>
      <c r="E39" s="40" t="s">
        <v>3070</v>
      </c>
      <c r="F39" s="40">
        <v>42.0</v>
      </c>
      <c r="G39" s="40">
        <v>48.0</v>
      </c>
      <c r="H39" s="40">
        <v>56.0</v>
      </c>
      <c r="I39" s="40">
        <v>60.0</v>
      </c>
      <c r="J39" s="40">
        <v>64.0</v>
      </c>
      <c r="K39" s="42" t="s">
        <v>108</v>
      </c>
      <c r="L39" s="40" t="s">
        <v>3072</v>
      </c>
      <c r="M39" s="76" t="s">
        <v>1420</v>
      </c>
      <c r="N39" s="35"/>
      <c r="O39" s="35"/>
    </row>
    <row r="40" ht="57.75" customHeight="1">
      <c r="A40" s="87" t="s">
        <v>3073</v>
      </c>
      <c r="B40" s="25" t="s">
        <v>130</v>
      </c>
      <c r="C40" s="25" t="s">
        <v>124</v>
      </c>
      <c r="D40" s="38" t="s">
        <v>13</v>
      </c>
      <c r="E40" s="31" t="s">
        <v>3074</v>
      </c>
      <c r="F40" s="31">
        <v>24.0</v>
      </c>
      <c r="G40" s="31">
        <v>72.0</v>
      </c>
      <c r="H40" s="31">
        <v>80.0</v>
      </c>
      <c r="I40" s="31">
        <v>108.0</v>
      </c>
      <c r="J40" s="31">
        <v>216.0</v>
      </c>
      <c r="K40" s="36" t="s">
        <v>66</v>
      </c>
      <c r="L40" s="31" t="s">
        <v>3075</v>
      </c>
      <c r="M40" s="76" t="s">
        <v>1420</v>
      </c>
      <c r="N40" s="25"/>
      <c r="O40" s="25"/>
    </row>
    <row r="41" ht="57.75" customHeight="1">
      <c r="A41" s="87" t="s">
        <v>3076</v>
      </c>
      <c r="B41" s="35" t="s">
        <v>130</v>
      </c>
      <c r="C41" s="35" t="s">
        <v>124</v>
      </c>
      <c r="D41" s="38" t="s">
        <v>13</v>
      </c>
      <c r="E41" s="40" t="s">
        <v>3077</v>
      </c>
      <c r="F41" s="40">
        <v>120.0</v>
      </c>
      <c r="G41" s="40">
        <v>140.0</v>
      </c>
      <c r="H41" s="40">
        <v>160.0</v>
      </c>
      <c r="I41" s="40">
        <v>180.0</v>
      </c>
      <c r="J41" s="40">
        <v>200.0</v>
      </c>
      <c r="K41" s="42" t="s">
        <v>136</v>
      </c>
      <c r="L41" s="40" t="s">
        <v>3078</v>
      </c>
      <c r="M41" s="76" t="s">
        <v>1420</v>
      </c>
      <c r="N41" s="35"/>
      <c r="O41" s="35"/>
    </row>
    <row r="42" ht="57.75" customHeight="1">
      <c r="A42" s="87" t="s">
        <v>3079</v>
      </c>
      <c r="B42" s="25" t="s">
        <v>130</v>
      </c>
      <c r="C42" s="25" t="s">
        <v>124</v>
      </c>
      <c r="D42" s="38" t="s">
        <v>13</v>
      </c>
      <c r="E42" s="31" t="s">
        <v>3081</v>
      </c>
      <c r="F42" s="31">
        <v>42.0</v>
      </c>
      <c r="G42" s="31">
        <v>48.0</v>
      </c>
      <c r="H42" s="31">
        <v>52.0</v>
      </c>
      <c r="I42" s="31">
        <v>56.0</v>
      </c>
      <c r="J42" s="31">
        <v>60.0</v>
      </c>
      <c r="K42" s="36" t="s">
        <v>201</v>
      </c>
      <c r="L42" s="31" t="s">
        <v>3082</v>
      </c>
      <c r="M42" s="76" t="s">
        <v>1420</v>
      </c>
      <c r="N42" s="25"/>
      <c r="O42" s="25"/>
    </row>
    <row r="43" ht="57.75" customHeight="1">
      <c r="A43" s="87" t="s">
        <v>3083</v>
      </c>
      <c r="B43" s="35" t="s">
        <v>130</v>
      </c>
      <c r="C43" s="35" t="s">
        <v>124</v>
      </c>
      <c r="D43" s="38" t="s">
        <v>13</v>
      </c>
      <c r="E43" s="40" t="s">
        <v>3085</v>
      </c>
      <c r="F43" s="40">
        <v>2.0</v>
      </c>
      <c r="G43" s="40">
        <v>3.0</v>
      </c>
      <c r="H43" s="40">
        <v>4.0</v>
      </c>
      <c r="I43" s="40">
        <v>5.0</v>
      </c>
      <c r="J43" s="40">
        <v>6.0</v>
      </c>
      <c r="K43" s="42" t="s">
        <v>66</v>
      </c>
      <c r="L43" s="35"/>
      <c r="M43" s="76" t="s">
        <v>1420</v>
      </c>
      <c r="N43" s="35"/>
      <c r="O43" s="35"/>
    </row>
    <row r="44" ht="57.75" customHeight="1">
      <c r="A44" s="87" t="s">
        <v>3086</v>
      </c>
      <c r="B44" s="25" t="s">
        <v>130</v>
      </c>
      <c r="C44" s="25" t="s">
        <v>124</v>
      </c>
      <c r="D44" s="38" t="s">
        <v>13</v>
      </c>
      <c r="E44" s="31" t="s">
        <v>3087</v>
      </c>
      <c r="F44" s="31">
        <v>18.0</v>
      </c>
      <c r="G44" s="31">
        <v>21.0</v>
      </c>
      <c r="H44" s="31">
        <v>24.0</v>
      </c>
      <c r="I44" s="31">
        <v>27.0</v>
      </c>
      <c r="J44" s="31">
        <v>30.0</v>
      </c>
      <c r="K44" s="36" t="s">
        <v>108</v>
      </c>
      <c r="L44" s="25"/>
      <c r="M44" s="76" t="s">
        <v>1420</v>
      </c>
      <c r="N44" s="25"/>
      <c r="O44" s="25"/>
    </row>
    <row r="45" ht="57.75" customHeight="1">
      <c r="A45" s="87" t="s">
        <v>3088</v>
      </c>
      <c r="B45" s="35" t="s">
        <v>130</v>
      </c>
      <c r="C45" s="35" t="s">
        <v>124</v>
      </c>
      <c r="D45" s="38" t="s">
        <v>13</v>
      </c>
      <c r="E45" s="40" t="s">
        <v>3089</v>
      </c>
      <c r="F45" s="40">
        <v>8.0</v>
      </c>
      <c r="G45" s="40">
        <v>10.0</v>
      </c>
      <c r="H45" s="40">
        <v>12.0</v>
      </c>
      <c r="I45" s="40">
        <v>14.0</v>
      </c>
      <c r="J45" s="40">
        <v>16.0</v>
      </c>
      <c r="K45" s="42" t="s">
        <v>136</v>
      </c>
      <c r="L45" s="35"/>
      <c r="M45" s="76" t="s">
        <v>1420</v>
      </c>
      <c r="N45" s="35"/>
      <c r="O45" s="35"/>
    </row>
    <row r="46" ht="57.75" customHeight="1">
      <c r="A46" s="87" t="s">
        <v>3090</v>
      </c>
      <c r="B46" s="25" t="s">
        <v>130</v>
      </c>
      <c r="C46" s="25" t="s">
        <v>124</v>
      </c>
      <c r="D46" s="38" t="s">
        <v>13</v>
      </c>
      <c r="E46" s="31" t="s">
        <v>3092</v>
      </c>
      <c r="F46" s="31">
        <v>1.0</v>
      </c>
      <c r="G46" s="31">
        <v>2.0</v>
      </c>
      <c r="H46" s="31">
        <v>3.0</v>
      </c>
      <c r="I46" s="31">
        <v>4.0</v>
      </c>
      <c r="J46" s="31">
        <v>5.0</v>
      </c>
      <c r="K46" s="36" t="s">
        <v>66</v>
      </c>
      <c r="L46" s="25"/>
      <c r="M46" s="76" t="s">
        <v>1420</v>
      </c>
      <c r="N46" s="25"/>
      <c r="O46" s="25"/>
    </row>
    <row r="47" ht="57.75" customHeight="1">
      <c r="A47" s="87" t="s">
        <v>3094</v>
      </c>
      <c r="B47" s="35" t="s">
        <v>130</v>
      </c>
      <c r="C47" s="35" t="s">
        <v>124</v>
      </c>
      <c r="D47" s="38" t="s">
        <v>13</v>
      </c>
      <c r="E47" s="40" t="s">
        <v>3095</v>
      </c>
      <c r="F47" s="40">
        <v>83.0</v>
      </c>
      <c r="G47" s="40">
        <v>87.0</v>
      </c>
      <c r="H47" s="40">
        <v>90.0</v>
      </c>
      <c r="I47" s="40">
        <v>93.0</v>
      </c>
      <c r="J47" s="40">
        <v>97.0</v>
      </c>
      <c r="K47" s="42" t="s">
        <v>108</v>
      </c>
      <c r="L47" s="35"/>
      <c r="M47" s="76" t="s">
        <v>1420</v>
      </c>
      <c r="N47" s="35"/>
      <c r="O47" s="35"/>
    </row>
    <row r="48" ht="57.75" customHeight="1">
      <c r="A48" s="87" t="s">
        <v>3097</v>
      </c>
      <c r="B48" s="25" t="s">
        <v>130</v>
      </c>
      <c r="C48" s="25" t="s">
        <v>124</v>
      </c>
      <c r="D48" s="38" t="s">
        <v>13</v>
      </c>
      <c r="E48" s="31" t="s">
        <v>3098</v>
      </c>
      <c r="F48" s="31">
        <v>1.0</v>
      </c>
      <c r="G48" s="31">
        <v>2.0</v>
      </c>
      <c r="H48" s="31">
        <v>3.0</v>
      </c>
      <c r="I48" s="31">
        <v>4.0</v>
      </c>
      <c r="J48" s="31">
        <v>5.0</v>
      </c>
      <c r="K48" s="36" t="s">
        <v>66</v>
      </c>
      <c r="L48" s="31" t="s">
        <v>3099</v>
      </c>
      <c r="M48" s="76" t="s">
        <v>1420</v>
      </c>
      <c r="N48" s="25"/>
      <c r="O48" s="25"/>
    </row>
    <row r="49" ht="57.75" customHeight="1">
      <c r="A49" s="87" t="s">
        <v>3101</v>
      </c>
      <c r="B49" s="35" t="s">
        <v>130</v>
      </c>
      <c r="C49" s="35" t="s">
        <v>124</v>
      </c>
      <c r="D49" s="38" t="s">
        <v>13</v>
      </c>
      <c r="E49" s="40" t="s">
        <v>3102</v>
      </c>
      <c r="F49" s="40">
        <v>2.0</v>
      </c>
      <c r="G49" s="40">
        <v>3.0</v>
      </c>
      <c r="H49" s="40">
        <v>4.0</v>
      </c>
      <c r="I49" s="40">
        <v>5.0</v>
      </c>
      <c r="J49" s="40">
        <v>6.0</v>
      </c>
      <c r="K49" s="42" t="s">
        <v>108</v>
      </c>
      <c r="L49" s="40" t="s">
        <v>3104</v>
      </c>
      <c r="M49" s="76" t="s">
        <v>1420</v>
      </c>
      <c r="N49" s="35"/>
      <c r="O49" s="35"/>
    </row>
    <row r="50" ht="57.75" customHeight="1">
      <c r="A50" s="87" t="s">
        <v>3106</v>
      </c>
      <c r="B50" s="25" t="s">
        <v>130</v>
      </c>
      <c r="C50" s="25" t="s">
        <v>124</v>
      </c>
      <c r="D50" s="38" t="s">
        <v>13</v>
      </c>
      <c r="E50" s="31" t="s">
        <v>3108</v>
      </c>
      <c r="F50" s="31">
        <v>25.0</v>
      </c>
      <c r="G50" s="31">
        <v>35.0</v>
      </c>
      <c r="H50" s="31">
        <v>40.0</v>
      </c>
      <c r="I50" s="31">
        <v>50.0</v>
      </c>
      <c r="J50" s="31">
        <v>60.0</v>
      </c>
      <c r="K50" s="36" t="s">
        <v>201</v>
      </c>
      <c r="L50" s="31" t="s">
        <v>3112</v>
      </c>
      <c r="M50" s="76" t="s">
        <v>1420</v>
      </c>
      <c r="N50" s="25"/>
      <c r="O50" s="25"/>
    </row>
    <row r="51" ht="57.75" customHeight="1">
      <c r="A51" s="87" t="s">
        <v>3115</v>
      </c>
      <c r="B51" s="35" t="s">
        <v>130</v>
      </c>
      <c r="C51" s="35" t="s">
        <v>124</v>
      </c>
      <c r="D51" s="38" t="s">
        <v>13</v>
      </c>
      <c r="E51" s="40" t="s">
        <v>3117</v>
      </c>
      <c r="F51" s="40">
        <v>36.0</v>
      </c>
      <c r="G51" s="40">
        <v>40.0</v>
      </c>
      <c r="H51" s="40">
        <v>44.0</v>
      </c>
      <c r="I51" s="40">
        <v>48.0</v>
      </c>
      <c r="J51" s="40">
        <v>52.0</v>
      </c>
      <c r="K51" s="42" t="s">
        <v>136</v>
      </c>
      <c r="L51" s="40" t="s">
        <v>3119</v>
      </c>
      <c r="M51" s="76" t="s">
        <v>1420</v>
      </c>
      <c r="N51" s="35"/>
      <c r="O51" s="35"/>
    </row>
    <row r="52" ht="57.75" customHeight="1">
      <c r="A52" s="87" t="s">
        <v>3120</v>
      </c>
      <c r="B52" s="25" t="s">
        <v>130</v>
      </c>
      <c r="C52" s="25" t="s">
        <v>124</v>
      </c>
      <c r="D52" s="38" t="s">
        <v>13</v>
      </c>
      <c r="E52" s="31" t="s">
        <v>3122</v>
      </c>
      <c r="F52" s="31">
        <v>58.0</v>
      </c>
      <c r="G52" s="31">
        <v>62.0</v>
      </c>
      <c r="H52" s="31">
        <v>67.0</v>
      </c>
      <c r="I52" s="31">
        <v>71.0</v>
      </c>
      <c r="J52" s="31">
        <v>75.0</v>
      </c>
      <c r="K52" s="36" t="s">
        <v>108</v>
      </c>
      <c r="L52" s="31" t="s">
        <v>3124</v>
      </c>
      <c r="M52" s="76" t="s">
        <v>1420</v>
      </c>
      <c r="N52" s="25"/>
      <c r="O52" s="25"/>
    </row>
    <row r="53" ht="25.5" customHeight="1">
      <c r="A53" s="49" t="s">
        <v>3130</v>
      </c>
      <c r="B53" s="50"/>
      <c r="C53" s="50"/>
      <c r="D53" s="50"/>
      <c r="E53" s="50"/>
      <c r="F53" s="50"/>
      <c r="G53" s="50"/>
      <c r="H53" s="50"/>
      <c r="I53" s="50"/>
      <c r="J53" s="52"/>
      <c r="M53" s="88">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85" t="s">
        <v>2982</v>
      </c>
      <c r="B1" s="3"/>
      <c r="C1" s="3"/>
      <c r="D1" s="3"/>
      <c r="E1" s="3"/>
      <c r="F1" s="3"/>
      <c r="G1" s="3"/>
      <c r="H1" s="3"/>
      <c r="I1" s="3"/>
      <c r="J1" s="3"/>
      <c r="K1" s="3"/>
      <c r="L1" s="3"/>
      <c r="M1" s="3"/>
      <c r="N1" s="3"/>
      <c r="O1" s="4"/>
    </row>
    <row r="2" ht="30.0" customHeight="1">
      <c r="A2" s="86" t="s">
        <v>2991</v>
      </c>
      <c r="B2" s="3"/>
      <c r="C2" s="3"/>
      <c r="D2" s="3"/>
      <c r="E2" s="3"/>
      <c r="F2" s="3"/>
      <c r="G2" s="3"/>
      <c r="H2" s="3"/>
      <c r="I2" s="3"/>
      <c r="J2" s="3"/>
      <c r="K2" s="3"/>
      <c r="L2" s="3"/>
      <c r="M2" s="3"/>
      <c r="N2" s="3"/>
      <c r="O2" s="4"/>
    </row>
    <row r="3" ht="19.5" customHeight="1">
      <c r="A3" s="10" t="s">
        <v>11</v>
      </c>
      <c r="B3" s="3"/>
      <c r="C3" s="3"/>
      <c r="D3" s="3"/>
      <c r="E3" s="3"/>
      <c r="F3" s="3"/>
      <c r="G3" s="3"/>
      <c r="H3" s="3"/>
      <c r="I3" s="3"/>
      <c r="J3" s="3"/>
      <c r="K3" s="3"/>
      <c r="L3" s="3"/>
      <c r="M3" s="3"/>
      <c r="N3" s="3"/>
      <c r="O3" s="4"/>
    </row>
    <row r="4" ht="24.75" customHeight="1">
      <c r="A4" s="9" t="s">
        <v>22</v>
      </c>
      <c r="B4" s="9" t="s">
        <v>8</v>
      </c>
      <c r="C4" s="9" t="s">
        <v>14</v>
      </c>
      <c r="D4" s="9" t="s">
        <v>24</v>
      </c>
      <c r="E4" s="9" t="s">
        <v>25</v>
      </c>
      <c r="F4" s="9" t="s">
        <v>26</v>
      </c>
      <c r="G4" s="9" t="s">
        <v>27</v>
      </c>
      <c r="H4" s="9" t="s">
        <v>28</v>
      </c>
      <c r="I4" s="9" t="s">
        <v>29</v>
      </c>
      <c r="J4" s="9" t="s">
        <v>31</v>
      </c>
      <c r="K4" s="9" t="s">
        <v>32</v>
      </c>
      <c r="L4" s="9" t="s">
        <v>33</v>
      </c>
      <c r="M4" s="9" t="s">
        <v>17</v>
      </c>
      <c r="N4" s="9" t="s">
        <v>35</v>
      </c>
      <c r="O4" s="9" t="s">
        <v>36</v>
      </c>
    </row>
    <row r="5" ht="19.5" customHeight="1">
      <c r="A5" s="18" t="s">
        <v>37</v>
      </c>
      <c r="B5" s="3"/>
      <c r="C5" s="3"/>
      <c r="D5" s="3"/>
      <c r="E5" s="3"/>
      <c r="F5" s="3"/>
      <c r="G5" s="3"/>
      <c r="H5" s="3"/>
      <c r="I5" s="3"/>
      <c r="J5" s="3"/>
      <c r="K5" s="3"/>
      <c r="L5" s="3"/>
      <c r="M5" s="3"/>
      <c r="N5" s="3"/>
      <c r="O5" s="4"/>
    </row>
    <row r="6" ht="57.75" customHeight="1">
      <c r="A6" s="87" t="s">
        <v>3043</v>
      </c>
      <c r="B6" s="25" t="s">
        <v>138</v>
      </c>
      <c r="C6" s="25" t="s">
        <v>124</v>
      </c>
      <c r="D6" s="27" t="s">
        <v>10</v>
      </c>
      <c r="E6" s="31" t="s">
        <v>3047</v>
      </c>
      <c r="F6" s="31" t="s">
        <v>3048</v>
      </c>
      <c r="G6" s="31" t="s">
        <v>3049</v>
      </c>
      <c r="H6" s="31" t="s">
        <v>3050</v>
      </c>
      <c r="I6" s="31" t="s">
        <v>3051</v>
      </c>
      <c r="J6" s="31" t="s">
        <v>3052</v>
      </c>
      <c r="K6" s="36" t="s">
        <v>66</v>
      </c>
      <c r="L6" s="31" t="s">
        <v>3054</v>
      </c>
      <c r="M6" s="76" t="s">
        <v>1420</v>
      </c>
      <c r="N6" s="25"/>
      <c r="O6" s="25"/>
    </row>
    <row r="7" ht="57.75" customHeight="1">
      <c r="A7" s="87" t="s">
        <v>3056</v>
      </c>
      <c r="B7" s="35" t="s">
        <v>138</v>
      </c>
      <c r="C7" s="35" t="s">
        <v>124</v>
      </c>
      <c r="D7" s="27" t="s">
        <v>10</v>
      </c>
      <c r="E7" s="40" t="s">
        <v>3062</v>
      </c>
      <c r="F7" s="40" t="s">
        <v>3064</v>
      </c>
      <c r="G7" s="40" t="s">
        <v>3065</v>
      </c>
      <c r="H7" s="40" t="s">
        <v>3067</v>
      </c>
      <c r="I7" s="40" t="s">
        <v>3068</v>
      </c>
      <c r="J7" s="40" t="s">
        <v>3069</v>
      </c>
      <c r="K7" s="42" t="s">
        <v>108</v>
      </c>
      <c r="L7" s="40" t="s">
        <v>3071</v>
      </c>
      <c r="M7" s="76" t="s">
        <v>1420</v>
      </c>
      <c r="N7" s="35"/>
      <c r="O7" s="35"/>
    </row>
    <row r="8" ht="57.75" customHeight="1">
      <c r="A8" s="87" t="s">
        <v>3080</v>
      </c>
      <c r="B8" s="25" t="s">
        <v>138</v>
      </c>
      <c r="C8" s="25" t="s">
        <v>124</v>
      </c>
      <c r="D8" s="27" t="s">
        <v>10</v>
      </c>
      <c r="E8" s="31" t="s">
        <v>3084</v>
      </c>
      <c r="F8" s="59">
        <v>0.5</v>
      </c>
      <c r="G8" s="59">
        <v>0.6</v>
      </c>
      <c r="H8" s="59">
        <v>0.64</v>
      </c>
      <c r="I8" s="59">
        <v>0.7</v>
      </c>
      <c r="J8" s="59">
        <v>0.75</v>
      </c>
      <c r="K8" s="36" t="s">
        <v>66</v>
      </c>
      <c r="L8" s="31" t="s">
        <v>3091</v>
      </c>
      <c r="M8" s="76" t="s">
        <v>1420</v>
      </c>
      <c r="N8" s="25"/>
      <c r="O8" s="25"/>
    </row>
    <row r="9" ht="57.75" customHeight="1">
      <c r="A9" s="87" t="s">
        <v>3093</v>
      </c>
      <c r="B9" s="35" t="s">
        <v>138</v>
      </c>
      <c r="C9" s="35" t="s">
        <v>124</v>
      </c>
      <c r="D9" s="27" t="s">
        <v>10</v>
      </c>
      <c r="E9" s="40" t="s">
        <v>3096</v>
      </c>
      <c r="F9" s="72">
        <v>0.2</v>
      </c>
      <c r="G9" s="72">
        <v>0.25</v>
      </c>
      <c r="H9" s="72">
        <v>0.3</v>
      </c>
      <c r="I9" s="40" t="s">
        <v>3100</v>
      </c>
      <c r="J9" s="72">
        <v>0.4</v>
      </c>
      <c r="K9" s="42" t="s">
        <v>66</v>
      </c>
      <c r="L9" s="40" t="s">
        <v>3103</v>
      </c>
      <c r="M9" s="76" t="s">
        <v>1420</v>
      </c>
      <c r="N9" s="35"/>
      <c r="O9" s="35"/>
    </row>
    <row r="10" ht="57.75" customHeight="1">
      <c r="A10" s="87" t="s">
        <v>3105</v>
      </c>
      <c r="B10" s="25" t="s">
        <v>138</v>
      </c>
      <c r="C10" s="25" t="s">
        <v>124</v>
      </c>
      <c r="D10" s="27" t="s">
        <v>10</v>
      </c>
      <c r="E10" s="31" t="s">
        <v>3107</v>
      </c>
      <c r="F10" s="31" t="s">
        <v>3109</v>
      </c>
      <c r="G10" s="31" t="s">
        <v>3110</v>
      </c>
      <c r="H10" s="31" t="s">
        <v>3111</v>
      </c>
      <c r="I10" s="31" t="s">
        <v>3113</v>
      </c>
      <c r="J10" s="31" t="s">
        <v>3114</v>
      </c>
      <c r="K10" s="36" t="s">
        <v>66</v>
      </c>
      <c r="L10" s="31" t="s">
        <v>3116</v>
      </c>
      <c r="M10" s="76" t="s">
        <v>1420</v>
      </c>
      <c r="N10" s="25"/>
      <c r="O10" s="25"/>
    </row>
    <row r="11" ht="57.75" customHeight="1">
      <c r="A11" s="87" t="s">
        <v>3118</v>
      </c>
      <c r="B11" s="35" t="s">
        <v>138</v>
      </c>
      <c r="C11" s="35" t="s">
        <v>124</v>
      </c>
      <c r="D11" s="27" t="s">
        <v>10</v>
      </c>
      <c r="E11" s="40" t="s">
        <v>3121</v>
      </c>
      <c r="F11" s="40">
        <v>70.0</v>
      </c>
      <c r="G11" s="40">
        <v>75.0</v>
      </c>
      <c r="H11" s="40">
        <v>80.0</v>
      </c>
      <c r="I11" s="40">
        <v>85.0</v>
      </c>
      <c r="J11" s="40">
        <v>12.0</v>
      </c>
      <c r="K11" s="42" t="s">
        <v>108</v>
      </c>
      <c r="L11" s="40" t="s">
        <v>3123</v>
      </c>
      <c r="M11" s="76" t="s">
        <v>1420</v>
      </c>
      <c r="N11" s="35"/>
      <c r="O11" s="35"/>
    </row>
    <row r="12" ht="57.75" customHeight="1">
      <c r="A12" s="87" t="s">
        <v>3125</v>
      </c>
      <c r="B12" s="25" t="s">
        <v>138</v>
      </c>
      <c r="C12" s="25" t="s">
        <v>124</v>
      </c>
      <c r="D12" s="27" t="s">
        <v>10</v>
      </c>
      <c r="E12" s="31" t="s">
        <v>3126</v>
      </c>
      <c r="F12" s="31" t="s">
        <v>2116</v>
      </c>
      <c r="G12" s="31" t="s">
        <v>3127</v>
      </c>
      <c r="H12" s="31" t="s">
        <v>3128</v>
      </c>
      <c r="I12" s="31" t="s">
        <v>2117</v>
      </c>
      <c r="J12" s="31" t="s">
        <v>3129</v>
      </c>
      <c r="K12" s="36" t="s">
        <v>108</v>
      </c>
      <c r="L12" s="31" t="s">
        <v>3131</v>
      </c>
      <c r="M12" s="76" t="s">
        <v>1420</v>
      </c>
      <c r="N12" s="25"/>
      <c r="O12" s="25"/>
    </row>
    <row r="13" ht="57.75" customHeight="1">
      <c r="A13" s="87" t="s">
        <v>3132</v>
      </c>
      <c r="B13" s="35" t="s">
        <v>138</v>
      </c>
      <c r="C13" s="35" t="s">
        <v>124</v>
      </c>
      <c r="D13" s="27" t="s">
        <v>10</v>
      </c>
      <c r="E13" s="40" t="s">
        <v>3133</v>
      </c>
      <c r="F13" s="40" t="s">
        <v>910</v>
      </c>
      <c r="G13" s="40" t="s">
        <v>3134</v>
      </c>
      <c r="H13" s="40" t="s">
        <v>3135</v>
      </c>
      <c r="I13" s="40" t="s">
        <v>3050</v>
      </c>
      <c r="J13" s="40" t="s">
        <v>3052</v>
      </c>
      <c r="K13" s="42" t="s">
        <v>108</v>
      </c>
      <c r="L13" s="40" t="s">
        <v>3136</v>
      </c>
      <c r="M13" s="76" t="s">
        <v>1420</v>
      </c>
      <c r="N13" s="35"/>
      <c r="O13" s="35"/>
    </row>
    <row r="14" ht="57.75" customHeight="1">
      <c r="A14" s="87" t="s">
        <v>3137</v>
      </c>
      <c r="B14" s="25" t="s">
        <v>138</v>
      </c>
      <c r="C14" s="25" t="s">
        <v>124</v>
      </c>
      <c r="D14" s="27" t="s">
        <v>10</v>
      </c>
      <c r="E14" s="31" t="s">
        <v>3138</v>
      </c>
      <c r="F14" s="31" t="s">
        <v>3139</v>
      </c>
      <c r="G14" s="31" t="s">
        <v>3140</v>
      </c>
      <c r="H14" s="31" t="s">
        <v>3141</v>
      </c>
      <c r="I14" s="31" t="s">
        <v>3142</v>
      </c>
      <c r="J14" s="31" t="s">
        <v>3143</v>
      </c>
      <c r="K14" s="36" t="s">
        <v>66</v>
      </c>
      <c r="L14" s="31" t="s">
        <v>3144</v>
      </c>
      <c r="M14" s="76" t="s">
        <v>1420</v>
      </c>
      <c r="N14" s="25"/>
      <c r="O14" s="25"/>
    </row>
    <row r="15" ht="57.75" customHeight="1">
      <c r="A15" s="87" t="s">
        <v>3145</v>
      </c>
      <c r="B15" s="35" t="s">
        <v>138</v>
      </c>
      <c r="C15" s="35" t="s">
        <v>124</v>
      </c>
      <c r="D15" s="27" t="s">
        <v>10</v>
      </c>
      <c r="E15" s="40" t="s">
        <v>3146</v>
      </c>
      <c r="F15" s="40" t="s">
        <v>3147</v>
      </c>
      <c r="G15" s="40" t="s">
        <v>3148</v>
      </c>
      <c r="H15" s="40" t="s">
        <v>3149</v>
      </c>
      <c r="I15" s="40" t="s">
        <v>2114</v>
      </c>
      <c r="J15" s="40" t="s">
        <v>3150</v>
      </c>
      <c r="K15" s="42" t="s">
        <v>201</v>
      </c>
      <c r="L15" s="40" t="s">
        <v>3151</v>
      </c>
      <c r="M15" s="76" t="s">
        <v>1420</v>
      </c>
      <c r="N15" s="35"/>
      <c r="O15" s="35"/>
    </row>
    <row r="16" ht="57.75" customHeight="1">
      <c r="A16" s="87" t="s">
        <v>3152</v>
      </c>
      <c r="B16" s="25" t="s">
        <v>138</v>
      </c>
      <c r="C16" s="25" t="s">
        <v>124</v>
      </c>
      <c r="D16" s="27" t="s">
        <v>10</v>
      </c>
      <c r="E16" s="31" t="s">
        <v>3153</v>
      </c>
      <c r="F16" s="78">
        <v>46085.0</v>
      </c>
      <c r="G16" s="78">
        <v>46117.0</v>
      </c>
      <c r="H16" s="78">
        <v>46146.0</v>
      </c>
      <c r="I16" s="78">
        <v>46118.0</v>
      </c>
      <c r="J16" s="78">
        <v>46148.0</v>
      </c>
      <c r="K16" s="36" t="s">
        <v>66</v>
      </c>
      <c r="L16" s="31" t="s">
        <v>3154</v>
      </c>
      <c r="M16" s="76" t="s">
        <v>1420</v>
      </c>
      <c r="N16" s="25"/>
      <c r="O16" s="25"/>
    </row>
    <row r="17" ht="57.75" customHeight="1">
      <c r="A17" s="87" t="s">
        <v>3155</v>
      </c>
      <c r="B17" s="35" t="s">
        <v>138</v>
      </c>
      <c r="C17" s="35" t="s">
        <v>124</v>
      </c>
      <c r="D17" s="27" t="s">
        <v>10</v>
      </c>
      <c r="E17" s="40" t="s">
        <v>3156</v>
      </c>
      <c r="F17" s="40" t="s">
        <v>3052</v>
      </c>
      <c r="G17" s="40" t="s">
        <v>870</v>
      </c>
      <c r="H17" s="40" t="s">
        <v>872</v>
      </c>
      <c r="I17" s="40" t="s">
        <v>873</v>
      </c>
      <c r="J17" s="40" t="s">
        <v>875</v>
      </c>
      <c r="K17" s="42" t="s">
        <v>66</v>
      </c>
      <c r="L17" s="40" t="s">
        <v>3157</v>
      </c>
      <c r="M17" s="76" t="s">
        <v>1420</v>
      </c>
      <c r="N17" s="35"/>
      <c r="O17" s="35"/>
    </row>
    <row r="18" ht="57.75" customHeight="1">
      <c r="A18" s="87" t="s">
        <v>3158</v>
      </c>
      <c r="B18" s="25" t="s">
        <v>138</v>
      </c>
      <c r="C18" s="25" t="s">
        <v>124</v>
      </c>
      <c r="D18" s="27" t="s">
        <v>10</v>
      </c>
      <c r="E18" s="31" t="s">
        <v>3159</v>
      </c>
      <c r="F18" s="31" t="s">
        <v>3160</v>
      </c>
      <c r="G18" s="31" t="s">
        <v>3161</v>
      </c>
      <c r="H18" s="31" t="s">
        <v>3162</v>
      </c>
      <c r="I18" s="31" t="s">
        <v>3163</v>
      </c>
      <c r="J18" s="31" t="s">
        <v>3164</v>
      </c>
      <c r="K18" s="36" t="s">
        <v>108</v>
      </c>
      <c r="L18" s="31" t="s">
        <v>3165</v>
      </c>
      <c r="M18" s="76" t="s">
        <v>1420</v>
      </c>
      <c r="N18" s="25"/>
      <c r="O18" s="25"/>
    </row>
    <row r="19" ht="57.75" customHeight="1">
      <c r="A19" s="87" t="s">
        <v>3166</v>
      </c>
      <c r="B19" s="35" t="s">
        <v>138</v>
      </c>
      <c r="C19" s="35" t="s">
        <v>124</v>
      </c>
      <c r="D19" s="27" t="s">
        <v>10</v>
      </c>
      <c r="E19" s="40" t="s">
        <v>3167</v>
      </c>
      <c r="F19" s="40" t="s">
        <v>3168</v>
      </c>
      <c r="G19" s="40" t="s">
        <v>3169</v>
      </c>
      <c r="H19" s="40" t="s">
        <v>3170</v>
      </c>
      <c r="I19" s="40" t="s">
        <v>3171</v>
      </c>
      <c r="J19" s="40" t="s">
        <v>3172</v>
      </c>
      <c r="K19" s="42" t="s">
        <v>108</v>
      </c>
      <c r="L19" s="40" t="s">
        <v>3173</v>
      </c>
      <c r="M19" s="76" t="s">
        <v>1420</v>
      </c>
      <c r="N19" s="35"/>
      <c r="O19" s="35"/>
    </row>
    <row r="20" ht="57.75" customHeight="1">
      <c r="A20" s="87" t="s">
        <v>3174</v>
      </c>
      <c r="B20" s="25" t="s">
        <v>138</v>
      </c>
      <c r="C20" s="25" t="s">
        <v>124</v>
      </c>
      <c r="D20" s="27" t="s">
        <v>10</v>
      </c>
      <c r="E20" s="31" t="s">
        <v>3175</v>
      </c>
      <c r="F20" s="59">
        <v>0.85</v>
      </c>
      <c r="G20" s="59">
        <v>0.88</v>
      </c>
      <c r="H20" s="59">
        <v>0.9</v>
      </c>
      <c r="I20" s="59">
        <v>0.92</v>
      </c>
      <c r="J20" s="59">
        <v>0.95</v>
      </c>
      <c r="K20" s="36" t="s">
        <v>108</v>
      </c>
      <c r="L20" s="31" t="s">
        <v>3176</v>
      </c>
      <c r="M20" s="76" t="s">
        <v>1420</v>
      </c>
      <c r="N20" s="25"/>
      <c r="O20" s="25"/>
    </row>
    <row r="21" ht="19.5" customHeight="1">
      <c r="A21" s="61" t="s">
        <v>255</v>
      </c>
      <c r="B21" s="3"/>
      <c r="C21" s="3"/>
      <c r="D21" s="3"/>
      <c r="E21" s="3"/>
      <c r="F21" s="3"/>
      <c r="G21" s="3"/>
      <c r="H21" s="3"/>
      <c r="I21" s="3"/>
      <c r="J21" s="3"/>
      <c r="K21" s="3"/>
      <c r="L21" s="3"/>
      <c r="M21" s="3"/>
      <c r="N21" s="3"/>
      <c r="O21" s="4"/>
    </row>
    <row r="22" ht="57.75" customHeight="1">
      <c r="A22" s="87" t="s">
        <v>3177</v>
      </c>
      <c r="B22" s="35" t="s">
        <v>138</v>
      </c>
      <c r="C22" s="35" t="s">
        <v>124</v>
      </c>
      <c r="D22" s="17" t="s">
        <v>12</v>
      </c>
      <c r="E22" s="40" t="s">
        <v>3178</v>
      </c>
      <c r="F22" s="40" t="s">
        <v>3179</v>
      </c>
      <c r="G22" s="40" t="s">
        <v>3180</v>
      </c>
      <c r="H22" s="40" t="s">
        <v>3181</v>
      </c>
      <c r="I22" s="40" t="s">
        <v>3182</v>
      </c>
      <c r="J22" s="40" t="s">
        <v>3183</v>
      </c>
      <c r="K22" s="42" t="s">
        <v>108</v>
      </c>
      <c r="L22" s="40" t="s">
        <v>3184</v>
      </c>
      <c r="M22" s="76" t="s">
        <v>1420</v>
      </c>
      <c r="N22" s="35"/>
      <c r="O22" s="35"/>
    </row>
    <row r="23" ht="57.75" customHeight="1">
      <c r="A23" s="87" t="s">
        <v>3185</v>
      </c>
      <c r="B23" s="25" t="s">
        <v>138</v>
      </c>
      <c r="C23" s="25" t="s">
        <v>124</v>
      </c>
      <c r="D23" s="17" t="s">
        <v>12</v>
      </c>
      <c r="E23" s="31" t="s">
        <v>3186</v>
      </c>
      <c r="F23" s="31" t="s">
        <v>3187</v>
      </c>
      <c r="G23" s="31" t="s">
        <v>3188</v>
      </c>
      <c r="H23" s="31" t="s">
        <v>3189</v>
      </c>
      <c r="I23" s="31" t="s">
        <v>3190</v>
      </c>
      <c r="J23" s="31" t="s">
        <v>3191</v>
      </c>
      <c r="K23" s="36" t="s">
        <v>66</v>
      </c>
      <c r="L23" s="31" t="s">
        <v>3192</v>
      </c>
      <c r="M23" s="76" t="s">
        <v>1420</v>
      </c>
      <c r="N23" s="25"/>
      <c r="O23" s="25"/>
    </row>
    <row r="24" ht="57.75" customHeight="1">
      <c r="A24" s="87" t="s">
        <v>3193</v>
      </c>
      <c r="B24" s="35" t="s">
        <v>138</v>
      </c>
      <c r="C24" s="35" t="s">
        <v>124</v>
      </c>
      <c r="D24" s="17" t="s">
        <v>12</v>
      </c>
      <c r="E24" s="40" t="s">
        <v>3194</v>
      </c>
      <c r="F24" s="40" t="s">
        <v>3195</v>
      </c>
      <c r="G24" s="40" t="s">
        <v>3196</v>
      </c>
      <c r="H24" s="40" t="s">
        <v>3197</v>
      </c>
      <c r="I24" s="40" t="s">
        <v>3198</v>
      </c>
      <c r="J24" s="40" t="s">
        <v>3199</v>
      </c>
      <c r="K24" s="42" t="s">
        <v>66</v>
      </c>
      <c r="L24" s="40" t="s">
        <v>3200</v>
      </c>
      <c r="M24" s="76" t="s">
        <v>1420</v>
      </c>
      <c r="N24" s="35"/>
      <c r="O24" s="35"/>
    </row>
    <row r="25" ht="57.75" customHeight="1">
      <c r="A25" s="87" t="s">
        <v>3201</v>
      </c>
      <c r="B25" s="25" t="s">
        <v>138</v>
      </c>
      <c r="C25" s="25" t="s">
        <v>124</v>
      </c>
      <c r="D25" s="17" t="s">
        <v>12</v>
      </c>
      <c r="E25" s="31" t="s">
        <v>3202</v>
      </c>
      <c r="F25" s="31" t="s">
        <v>3203</v>
      </c>
      <c r="G25" s="31" t="s">
        <v>3163</v>
      </c>
      <c r="H25" s="31" t="s">
        <v>3204</v>
      </c>
      <c r="I25" s="31" t="s">
        <v>3205</v>
      </c>
      <c r="J25" s="31" t="s">
        <v>3206</v>
      </c>
      <c r="K25" s="36" t="s">
        <v>108</v>
      </c>
      <c r="L25" s="31" t="s">
        <v>3207</v>
      </c>
      <c r="M25" s="76" t="s">
        <v>1420</v>
      </c>
      <c r="N25" s="25"/>
      <c r="O25" s="25"/>
    </row>
    <row r="26" ht="57.75" customHeight="1">
      <c r="A26" s="87" t="s">
        <v>3208</v>
      </c>
      <c r="B26" s="35" t="s">
        <v>138</v>
      </c>
      <c r="C26" s="35" t="s">
        <v>124</v>
      </c>
      <c r="D26" s="17" t="s">
        <v>12</v>
      </c>
      <c r="E26" s="40" t="s">
        <v>3209</v>
      </c>
      <c r="F26" s="40">
        <v>72.0</v>
      </c>
      <c r="G26" s="40">
        <v>73.0</v>
      </c>
      <c r="H26" s="40">
        <v>74.0</v>
      </c>
      <c r="I26" s="40">
        <v>75.0</v>
      </c>
      <c r="J26" s="40">
        <v>76.0</v>
      </c>
      <c r="K26" s="42" t="s">
        <v>108</v>
      </c>
      <c r="L26" s="40" t="s">
        <v>3210</v>
      </c>
      <c r="M26" s="76" t="s">
        <v>1420</v>
      </c>
      <c r="N26" s="35"/>
      <c r="O26" s="35"/>
    </row>
    <row r="27" ht="57.75" customHeight="1">
      <c r="A27" s="87" t="s">
        <v>3211</v>
      </c>
      <c r="B27" s="25" t="s">
        <v>138</v>
      </c>
      <c r="C27" s="25" t="s">
        <v>124</v>
      </c>
      <c r="D27" s="17" t="s">
        <v>12</v>
      </c>
      <c r="E27" s="31" t="s">
        <v>3212</v>
      </c>
      <c r="F27" s="78">
        <v>46024.0</v>
      </c>
      <c r="G27" s="78">
        <v>46023.0</v>
      </c>
      <c r="H27" s="78">
        <v>46083.0</v>
      </c>
      <c r="I27" s="78">
        <v>46054.0</v>
      </c>
      <c r="J27" s="78">
        <v>46144.0</v>
      </c>
      <c r="K27" s="36" t="s">
        <v>66</v>
      </c>
      <c r="L27" s="31" t="s">
        <v>3213</v>
      </c>
      <c r="M27" s="76" t="s">
        <v>1420</v>
      </c>
      <c r="N27" s="25"/>
      <c r="O27" s="25"/>
    </row>
    <row r="28" ht="57.75" customHeight="1">
      <c r="A28" s="87" t="s">
        <v>3214</v>
      </c>
      <c r="B28" s="35" t="s">
        <v>138</v>
      </c>
      <c r="C28" s="35" t="s">
        <v>124</v>
      </c>
      <c r="D28" s="17" t="s">
        <v>12</v>
      </c>
      <c r="E28" s="40" t="s">
        <v>3215</v>
      </c>
      <c r="F28" s="40" t="s">
        <v>3216</v>
      </c>
      <c r="G28" s="40" t="s">
        <v>3217</v>
      </c>
      <c r="H28" s="40" t="s">
        <v>3218</v>
      </c>
      <c r="I28" s="40" t="s">
        <v>3219</v>
      </c>
      <c r="J28" s="40" t="s">
        <v>3220</v>
      </c>
      <c r="K28" s="42" t="s">
        <v>108</v>
      </c>
      <c r="L28" s="40" t="s">
        <v>3221</v>
      </c>
      <c r="M28" s="76" t="s">
        <v>1420</v>
      </c>
      <c r="N28" s="35"/>
      <c r="O28" s="35"/>
    </row>
    <row r="29" ht="57.75" customHeight="1">
      <c r="A29" s="87" t="s">
        <v>3222</v>
      </c>
      <c r="B29" s="25" t="s">
        <v>138</v>
      </c>
      <c r="C29" s="25" t="s">
        <v>124</v>
      </c>
      <c r="D29" s="17" t="s">
        <v>12</v>
      </c>
      <c r="E29" s="31" t="s">
        <v>3223</v>
      </c>
      <c r="F29" s="31" t="s">
        <v>3224</v>
      </c>
      <c r="G29" s="31" t="s">
        <v>941</v>
      </c>
      <c r="H29" s="31" t="s">
        <v>943</v>
      </c>
      <c r="I29" s="31" t="s">
        <v>3225</v>
      </c>
      <c r="J29" s="31" t="s">
        <v>3226</v>
      </c>
      <c r="K29" s="36" t="s">
        <v>136</v>
      </c>
      <c r="L29" s="31" t="s">
        <v>3227</v>
      </c>
      <c r="M29" s="76" t="s">
        <v>1420</v>
      </c>
      <c r="N29" s="25"/>
      <c r="O29" s="25"/>
    </row>
    <row r="30" ht="57.75" customHeight="1">
      <c r="A30" s="87" t="s">
        <v>3228</v>
      </c>
      <c r="B30" s="35" t="s">
        <v>138</v>
      </c>
      <c r="C30" s="35" t="s">
        <v>124</v>
      </c>
      <c r="D30" s="17" t="s">
        <v>12</v>
      </c>
      <c r="E30" s="40" t="s">
        <v>3229</v>
      </c>
      <c r="F30" s="40" t="s">
        <v>3230</v>
      </c>
      <c r="G30" s="40" t="s">
        <v>3110</v>
      </c>
      <c r="H30" s="40" t="s">
        <v>3114</v>
      </c>
      <c r="I30" s="40" t="s">
        <v>3231</v>
      </c>
      <c r="J30" s="40" t="s">
        <v>3232</v>
      </c>
      <c r="K30" s="42" t="s">
        <v>108</v>
      </c>
      <c r="L30" s="40" t="s">
        <v>3233</v>
      </c>
      <c r="M30" s="76" t="s">
        <v>1420</v>
      </c>
      <c r="N30" s="35"/>
      <c r="O30" s="35"/>
    </row>
    <row r="31" ht="57.75" customHeight="1">
      <c r="A31" s="87" t="s">
        <v>3234</v>
      </c>
      <c r="B31" s="25" t="s">
        <v>138</v>
      </c>
      <c r="C31" s="25" t="s">
        <v>124</v>
      </c>
      <c r="D31" s="17" t="s">
        <v>12</v>
      </c>
      <c r="E31" s="31" t="s">
        <v>3235</v>
      </c>
      <c r="F31" s="31" t="s">
        <v>3100</v>
      </c>
      <c r="G31" s="59">
        <v>0.4</v>
      </c>
      <c r="H31" s="59">
        <v>0.5</v>
      </c>
      <c r="I31" s="31" t="s">
        <v>3236</v>
      </c>
      <c r="J31" s="59">
        <v>0.75</v>
      </c>
      <c r="K31" s="36" t="s">
        <v>136</v>
      </c>
      <c r="L31" s="31" t="s">
        <v>3237</v>
      </c>
      <c r="M31" s="76" t="s">
        <v>1420</v>
      </c>
      <c r="N31" s="25"/>
      <c r="O31" s="25"/>
    </row>
    <row r="32" ht="57.75" customHeight="1">
      <c r="A32" s="87" t="s">
        <v>3238</v>
      </c>
      <c r="B32" s="35" t="s">
        <v>138</v>
      </c>
      <c r="C32" s="35" t="s">
        <v>124</v>
      </c>
      <c r="D32" s="17" t="s">
        <v>12</v>
      </c>
      <c r="E32" s="40" t="s">
        <v>3239</v>
      </c>
      <c r="F32" s="40" t="s">
        <v>3240</v>
      </c>
      <c r="G32" s="40" t="s">
        <v>3241</v>
      </c>
      <c r="H32" s="40" t="s">
        <v>3242</v>
      </c>
      <c r="I32" s="40" t="s">
        <v>3243</v>
      </c>
      <c r="J32" s="40" t="s">
        <v>3139</v>
      </c>
      <c r="K32" s="42" t="s">
        <v>66</v>
      </c>
      <c r="L32" s="40" t="s">
        <v>3244</v>
      </c>
      <c r="M32" s="76" t="s">
        <v>1420</v>
      </c>
      <c r="N32" s="35"/>
      <c r="O32" s="35"/>
    </row>
    <row r="33" ht="57.75" customHeight="1">
      <c r="A33" s="87" t="s">
        <v>3245</v>
      </c>
      <c r="B33" s="25" t="s">
        <v>138</v>
      </c>
      <c r="C33" s="25" t="s">
        <v>124</v>
      </c>
      <c r="D33" s="17" t="s">
        <v>12</v>
      </c>
      <c r="E33" s="31" t="s">
        <v>3246</v>
      </c>
      <c r="F33" s="31" t="s">
        <v>3247</v>
      </c>
      <c r="G33" s="31" t="s">
        <v>3248</v>
      </c>
      <c r="H33" s="31" t="s">
        <v>3249</v>
      </c>
      <c r="I33" s="31" t="s">
        <v>3250</v>
      </c>
      <c r="J33" s="31" t="s">
        <v>3251</v>
      </c>
      <c r="K33" s="36" t="s">
        <v>201</v>
      </c>
      <c r="L33" s="31" t="s">
        <v>3252</v>
      </c>
      <c r="M33" s="76" t="s">
        <v>1420</v>
      </c>
      <c r="N33" s="25"/>
      <c r="O33" s="25"/>
    </row>
    <row r="34" ht="57.75" customHeight="1">
      <c r="A34" s="87" t="s">
        <v>3253</v>
      </c>
      <c r="B34" s="35" t="s">
        <v>138</v>
      </c>
      <c r="C34" s="35" t="s">
        <v>124</v>
      </c>
      <c r="D34" s="17" t="s">
        <v>12</v>
      </c>
      <c r="E34" s="40" t="s">
        <v>3254</v>
      </c>
      <c r="F34" s="40" t="s">
        <v>3255</v>
      </c>
      <c r="G34" s="40" t="s">
        <v>3256</v>
      </c>
      <c r="H34" s="40" t="s">
        <v>3183</v>
      </c>
      <c r="I34" s="40" t="s">
        <v>3257</v>
      </c>
      <c r="J34" s="40" t="s">
        <v>3258</v>
      </c>
      <c r="K34" s="42" t="s">
        <v>136</v>
      </c>
      <c r="L34" s="40" t="s">
        <v>3259</v>
      </c>
      <c r="M34" s="76" t="s">
        <v>1420</v>
      </c>
      <c r="N34" s="35"/>
      <c r="O34" s="35"/>
    </row>
    <row r="35" ht="57.75" customHeight="1">
      <c r="A35" s="87" t="s">
        <v>3260</v>
      </c>
      <c r="B35" s="25" t="s">
        <v>138</v>
      </c>
      <c r="C35" s="25" t="s">
        <v>124</v>
      </c>
      <c r="D35" s="17" t="s">
        <v>12</v>
      </c>
      <c r="E35" s="31" t="s">
        <v>3261</v>
      </c>
      <c r="F35" s="31" t="s">
        <v>3262</v>
      </c>
      <c r="G35" s="31" t="s">
        <v>3263</v>
      </c>
      <c r="H35" s="31" t="s">
        <v>3265</v>
      </c>
      <c r="I35" s="31" t="s">
        <v>3266</v>
      </c>
      <c r="J35" s="31" t="s">
        <v>3267</v>
      </c>
      <c r="K35" s="36" t="s">
        <v>108</v>
      </c>
      <c r="L35" s="31" t="s">
        <v>3268</v>
      </c>
      <c r="M35" s="76" t="s">
        <v>1420</v>
      </c>
      <c r="N35" s="25"/>
      <c r="O35" s="25"/>
    </row>
    <row r="36" ht="57.75" customHeight="1">
      <c r="A36" s="87" t="s">
        <v>3269</v>
      </c>
      <c r="B36" s="35" t="s">
        <v>138</v>
      </c>
      <c r="C36" s="35" t="s">
        <v>124</v>
      </c>
      <c r="D36" s="17" t="s">
        <v>12</v>
      </c>
      <c r="E36" s="40" t="s">
        <v>3270</v>
      </c>
      <c r="F36" s="40" t="s">
        <v>3271</v>
      </c>
      <c r="G36" s="40" t="s">
        <v>3272</v>
      </c>
      <c r="H36" s="40" t="s">
        <v>3273</v>
      </c>
      <c r="I36" s="40" t="s">
        <v>3274</v>
      </c>
      <c r="J36" s="40" t="s">
        <v>3275</v>
      </c>
      <c r="K36" s="42" t="s">
        <v>201</v>
      </c>
      <c r="L36" s="40" t="s">
        <v>3277</v>
      </c>
      <c r="M36" s="76" t="s">
        <v>1420</v>
      </c>
      <c r="N36" s="35"/>
      <c r="O36" s="35"/>
    </row>
    <row r="37" ht="19.5" customHeight="1">
      <c r="A37" s="69" t="s">
        <v>435</v>
      </c>
      <c r="B37" s="3"/>
      <c r="C37" s="3"/>
      <c r="D37" s="3"/>
      <c r="E37" s="3"/>
      <c r="F37" s="3"/>
      <c r="G37" s="3"/>
      <c r="H37" s="3"/>
      <c r="I37" s="3"/>
      <c r="J37" s="3"/>
      <c r="K37" s="3"/>
      <c r="L37" s="3"/>
      <c r="M37" s="3"/>
      <c r="N37" s="3"/>
      <c r="O37" s="4"/>
    </row>
    <row r="38" ht="57.75" customHeight="1">
      <c r="A38" s="87" t="s">
        <v>3278</v>
      </c>
      <c r="B38" s="25" t="s">
        <v>138</v>
      </c>
      <c r="C38" s="25" t="s">
        <v>124</v>
      </c>
      <c r="D38" s="38" t="s">
        <v>13</v>
      </c>
      <c r="E38" s="31" t="s">
        <v>3280</v>
      </c>
      <c r="F38" s="31" t="s">
        <v>3281</v>
      </c>
      <c r="G38" s="31" t="s">
        <v>3282</v>
      </c>
      <c r="H38" s="31" t="s">
        <v>3283</v>
      </c>
      <c r="I38" s="31" t="s">
        <v>3284</v>
      </c>
      <c r="J38" s="31" t="s">
        <v>3285</v>
      </c>
      <c r="K38" s="36" t="s">
        <v>108</v>
      </c>
      <c r="L38" s="31" t="s">
        <v>3286</v>
      </c>
      <c r="M38" s="76" t="s">
        <v>1420</v>
      </c>
      <c r="N38" s="25"/>
      <c r="O38" s="25"/>
    </row>
    <row r="39" ht="57.75" customHeight="1">
      <c r="A39" s="87" t="s">
        <v>3287</v>
      </c>
      <c r="B39" s="35" t="s">
        <v>138</v>
      </c>
      <c r="C39" s="35" t="s">
        <v>124</v>
      </c>
      <c r="D39" s="38" t="s">
        <v>13</v>
      </c>
      <c r="E39" s="40" t="s">
        <v>3290</v>
      </c>
      <c r="F39" s="40" t="s">
        <v>3195</v>
      </c>
      <c r="G39" s="40" t="s">
        <v>3196</v>
      </c>
      <c r="H39" s="40" t="s">
        <v>3197</v>
      </c>
      <c r="I39" s="40" t="s">
        <v>3198</v>
      </c>
      <c r="J39" s="40" t="s">
        <v>3199</v>
      </c>
      <c r="K39" s="42" t="s">
        <v>66</v>
      </c>
      <c r="L39" s="40" t="s">
        <v>3292</v>
      </c>
      <c r="M39" s="76" t="s">
        <v>1420</v>
      </c>
      <c r="N39" s="35"/>
      <c r="O39" s="35"/>
    </row>
    <row r="40" ht="57.75" customHeight="1">
      <c r="A40" s="87" t="s">
        <v>3293</v>
      </c>
      <c r="B40" s="25" t="s">
        <v>138</v>
      </c>
      <c r="C40" s="25" t="s">
        <v>124</v>
      </c>
      <c r="D40" s="38" t="s">
        <v>13</v>
      </c>
      <c r="E40" s="31" t="s">
        <v>3294</v>
      </c>
      <c r="F40" s="31" t="s">
        <v>3203</v>
      </c>
      <c r="G40" s="31" t="s">
        <v>3163</v>
      </c>
      <c r="H40" s="31" t="s">
        <v>3204</v>
      </c>
      <c r="I40" s="31" t="s">
        <v>3205</v>
      </c>
      <c r="J40" s="31" t="s">
        <v>3206</v>
      </c>
      <c r="K40" s="36" t="s">
        <v>108</v>
      </c>
      <c r="L40" s="31" t="s">
        <v>3207</v>
      </c>
      <c r="M40" s="76" t="s">
        <v>1420</v>
      </c>
      <c r="N40" s="25"/>
      <c r="O40" s="25"/>
    </row>
    <row r="41" ht="57.75" customHeight="1">
      <c r="A41" s="87" t="s">
        <v>3296</v>
      </c>
      <c r="B41" s="35" t="s">
        <v>138</v>
      </c>
      <c r="C41" s="35" t="s">
        <v>124</v>
      </c>
      <c r="D41" s="38" t="s">
        <v>13</v>
      </c>
      <c r="E41" s="40" t="s">
        <v>3298</v>
      </c>
      <c r="F41" s="40" t="s">
        <v>3216</v>
      </c>
      <c r="G41" s="40" t="s">
        <v>3217</v>
      </c>
      <c r="H41" s="40" t="s">
        <v>3218</v>
      </c>
      <c r="I41" s="40" t="s">
        <v>3219</v>
      </c>
      <c r="J41" s="40" t="s">
        <v>3220</v>
      </c>
      <c r="K41" s="42" t="s">
        <v>108</v>
      </c>
      <c r="L41" s="40" t="s">
        <v>3299</v>
      </c>
      <c r="M41" s="76" t="s">
        <v>1420</v>
      </c>
      <c r="N41" s="35"/>
      <c r="O41" s="35"/>
    </row>
    <row r="42" ht="57.75" customHeight="1">
      <c r="A42" s="87" t="s">
        <v>3301</v>
      </c>
      <c r="B42" s="25" t="s">
        <v>138</v>
      </c>
      <c r="C42" s="25" t="s">
        <v>124</v>
      </c>
      <c r="D42" s="38" t="s">
        <v>13</v>
      </c>
      <c r="E42" s="31" t="s">
        <v>3302</v>
      </c>
      <c r="F42" s="31" t="s">
        <v>3303</v>
      </c>
      <c r="G42" s="31" t="s">
        <v>3304</v>
      </c>
      <c r="H42" s="31" t="s">
        <v>3305</v>
      </c>
      <c r="I42" s="31" t="s">
        <v>3306</v>
      </c>
      <c r="J42" s="31" t="s">
        <v>3308</v>
      </c>
      <c r="K42" s="36" t="s">
        <v>108</v>
      </c>
      <c r="L42" s="31" t="s">
        <v>3309</v>
      </c>
      <c r="M42" s="76" t="s">
        <v>1420</v>
      </c>
      <c r="N42" s="25"/>
      <c r="O42" s="25"/>
    </row>
    <row r="43" ht="57.75" customHeight="1">
      <c r="A43" s="87" t="s">
        <v>3311</v>
      </c>
      <c r="B43" s="35" t="s">
        <v>138</v>
      </c>
      <c r="C43" s="35" t="s">
        <v>124</v>
      </c>
      <c r="D43" s="38" t="s">
        <v>13</v>
      </c>
      <c r="E43" s="40" t="s">
        <v>3315</v>
      </c>
      <c r="F43" s="40" t="s">
        <v>3316</v>
      </c>
      <c r="G43" s="40" t="s">
        <v>3318</v>
      </c>
      <c r="H43" s="40" t="s">
        <v>3320</v>
      </c>
      <c r="I43" s="40" t="s">
        <v>3321</v>
      </c>
      <c r="J43" s="40" t="s">
        <v>3323</v>
      </c>
      <c r="K43" s="42" t="s">
        <v>66</v>
      </c>
      <c r="L43" s="40" t="s">
        <v>3324</v>
      </c>
      <c r="M43" s="76" t="s">
        <v>1420</v>
      </c>
      <c r="N43" s="35"/>
      <c r="O43" s="35"/>
    </row>
    <row r="44" ht="57.75" customHeight="1">
      <c r="A44" s="87" t="s">
        <v>3327</v>
      </c>
      <c r="B44" s="25" t="s">
        <v>138</v>
      </c>
      <c r="C44" s="25" t="s">
        <v>124</v>
      </c>
      <c r="D44" s="38" t="s">
        <v>13</v>
      </c>
      <c r="E44" s="31" t="s">
        <v>3328</v>
      </c>
      <c r="F44" s="31" t="s">
        <v>3329</v>
      </c>
      <c r="G44" s="31" t="s">
        <v>2117</v>
      </c>
      <c r="H44" s="31" t="s">
        <v>3331</v>
      </c>
      <c r="I44" s="31" t="s">
        <v>3332</v>
      </c>
      <c r="J44" s="31" t="s">
        <v>2119</v>
      </c>
      <c r="K44" s="36" t="s">
        <v>108</v>
      </c>
      <c r="L44" s="31" t="s">
        <v>3334</v>
      </c>
      <c r="M44" s="76" t="s">
        <v>1420</v>
      </c>
      <c r="N44" s="25"/>
      <c r="O44" s="25"/>
    </row>
    <row r="45" ht="57.75" customHeight="1">
      <c r="A45" s="87" t="s">
        <v>3338</v>
      </c>
      <c r="B45" s="35" t="s">
        <v>138</v>
      </c>
      <c r="C45" s="35" t="s">
        <v>124</v>
      </c>
      <c r="D45" s="38" t="s">
        <v>13</v>
      </c>
      <c r="E45" s="40" t="s">
        <v>3340</v>
      </c>
      <c r="F45" s="40" t="s">
        <v>3341</v>
      </c>
      <c r="G45" s="40" t="s">
        <v>3342</v>
      </c>
      <c r="H45" s="40" t="s">
        <v>332</v>
      </c>
      <c r="I45" s="40" t="s">
        <v>800</v>
      </c>
      <c r="J45" s="40" t="s">
        <v>3344</v>
      </c>
      <c r="K45" s="42" t="s">
        <v>66</v>
      </c>
      <c r="L45" s="40" t="s">
        <v>3345</v>
      </c>
      <c r="M45" s="76" t="s">
        <v>1420</v>
      </c>
      <c r="N45" s="35"/>
      <c r="O45" s="35"/>
    </row>
    <row r="46" ht="57.75" customHeight="1">
      <c r="A46" s="87" t="s">
        <v>3348</v>
      </c>
      <c r="B46" s="25" t="s">
        <v>138</v>
      </c>
      <c r="C46" s="25" t="s">
        <v>124</v>
      </c>
      <c r="D46" s="38" t="s">
        <v>13</v>
      </c>
      <c r="E46" s="31" t="s">
        <v>3350</v>
      </c>
      <c r="F46" s="31" t="s">
        <v>3351</v>
      </c>
      <c r="G46" s="31" t="s">
        <v>3353</v>
      </c>
      <c r="H46" s="31" t="s">
        <v>3354</v>
      </c>
      <c r="I46" s="31" t="s">
        <v>3355</v>
      </c>
      <c r="J46" s="31" t="s">
        <v>3357</v>
      </c>
      <c r="K46" s="36" t="s">
        <v>66</v>
      </c>
      <c r="L46" s="31" t="s">
        <v>3361</v>
      </c>
      <c r="M46" s="76" t="s">
        <v>1420</v>
      </c>
      <c r="N46" s="25"/>
      <c r="O46" s="25"/>
    </row>
    <row r="47" ht="57.75" customHeight="1">
      <c r="A47" s="87" t="s">
        <v>3367</v>
      </c>
      <c r="B47" s="35" t="s">
        <v>138</v>
      </c>
      <c r="C47" s="35" t="s">
        <v>124</v>
      </c>
      <c r="D47" s="38" t="s">
        <v>13</v>
      </c>
      <c r="E47" s="40" t="s">
        <v>3369</v>
      </c>
      <c r="F47" s="40" t="s">
        <v>3371</v>
      </c>
      <c r="G47" s="40" t="s">
        <v>3373</v>
      </c>
      <c r="H47" s="40" t="s">
        <v>3375</v>
      </c>
      <c r="I47" s="40" t="s">
        <v>3378</v>
      </c>
      <c r="J47" s="40" t="s">
        <v>3380</v>
      </c>
      <c r="K47" s="42" t="s">
        <v>108</v>
      </c>
      <c r="L47" s="40" t="s">
        <v>3382</v>
      </c>
      <c r="M47" s="76" t="s">
        <v>1420</v>
      </c>
      <c r="N47" s="35"/>
      <c r="O47" s="35"/>
    </row>
    <row r="48" ht="57.75" customHeight="1">
      <c r="A48" s="87" t="s">
        <v>3385</v>
      </c>
      <c r="B48" s="25" t="s">
        <v>138</v>
      </c>
      <c r="C48" s="25" t="s">
        <v>124</v>
      </c>
      <c r="D48" s="38" t="s">
        <v>13</v>
      </c>
      <c r="E48" s="31" t="s">
        <v>3388</v>
      </c>
      <c r="F48" s="31" t="s">
        <v>3389</v>
      </c>
      <c r="G48" s="31" t="s">
        <v>1694</v>
      </c>
      <c r="H48" s="31" t="s">
        <v>3392</v>
      </c>
      <c r="I48" s="31" t="s">
        <v>3393</v>
      </c>
      <c r="J48" s="31" t="s">
        <v>3394</v>
      </c>
      <c r="K48" s="36" t="s">
        <v>108</v>
      </c>
      <c r="L48" s="31" t="s">
        <v>3396</v>
      </c>
      <c r="M48" s="76" t="s">
        <v>1420</v>
      </c>
      <c r="N48" s="25"/>
      <c r="O48" s="25"/>
    </row>
    <row r="49" ht="57.75" customHeight="1">
      <c r="A49" s="87" t="s">
        <v>3399</v>
      </c>
      <c r="B49" s="35" t="s">
        <v>138</v>
      </c>
      <c r="C49" s="35" t="s">
        <v>124</v>
      </c>
      <c r="D49" s="38" t="s">
        <v>13</v>
      </c>
      <c r="E49" s="40" t="s">
        <v>3402</v>
      </c>
      <c r="F49" s="40" t="s">
        <v>1543</v>
      </c>
      <c r="G49" s="40" t="s">
        <v>3404</v>
      </c>
      <c r="H49" s="40" t="s">
        <v>3406</v>
      </c>
      <c r="I49" s="40" t="s">
        <v>2584</v>
      </c>
      <c r="J49" s="40" t="s">
        <v>3407</v>
      </c>
      <c r="K49" s="42" t="s">
        <v>66</v>
      </c>
      <c r="L49" s="40" t="s">
        <v>3410</v>
      </c>
      <c r="M49" s="76" t="s">
        <v>1420</v>
      </c>
      <c r="N49" s="35"/>
      <c r="O49" s="35"/>
    </row>
    <row r="50" ht="57.75" customHeight="1">
      <c r="A50" s="87" t="s">
        <v>3413</v>
      </c>
      <c r="B50" s="25" t="s">
        <v>138</v>
      </c>
      <c r="C50" s="25" t="s">
        <v>124</v>
      </c>
      <c r="D50" s="38" t="s">
        <v>13</v>
      </c>
      <c r="E50" s="31" t="s">
        <v>3416</v>
      </c>
      <c r="F50" s="31" t="s">
        <v>3417</v>
      </c>
      <c r="G50" s="31" t="s">
        <v>3418</v>
      </c>
      <c r="H50" s="31" t="s">
        <v>3420</v>
      </c>
      <c r="I50" s="31" t="s">
        <v>3422</v>
      </c>
      <c r="J50" s="31" t="s">
        <v>3424</v>
      </c>
      <c r="K50" s="36" t="s">
        <v>108</v>
      </c>
      <c r="L50" s="31" t="s">
        <v>3426</v>
      </c>
      <c r="M50" s="76" t="s">
        <v>1420</v>
      </c>
      <c r="N50" s="25"/>
      <c r="O50" s="25"/>
    </row>
    <row r="51" ht="57.75" customHeight="1">
      <c r="A51" s="87" t="s">
        <v>3430</v>
      </c>
      <c r="B51" s="35" t="s">
        <v>138</v>
      </c>
      <c r="C51" s="35" t="s">
        <v>124</v>
      </c>
      <c r="D51" s="38" t="s">
        <v>13</v>
      </c>
      <c r="E51" s="40" t="s">
        <v>3433</v>
      </c>
      <c r="F51" s="40" t="s">
        <v>3357</v>
      </c>
      <c r="G51" s="40" t="s">
        <v>3434</v>
      </c>
      <c r="H51" s="40" t="s">
        <v>3436</v>
      </c>
      <c r="I51" s="40" t="s">
        <v>3438</v>
      </c>
      <c r="J51" s="40" t="s">
        <v>3439</v>
      </c>
      <c r="K51" s="42" t="s">
        <v>66</v>
      </c>
      <c r="L51" s="40" t="s">
        <v>3442</v>
      </c>
      <c r="M51" s="76" t="s">
        <v>1420</v>
      </c>
      <c r="N51" s="35"/>
      <c r="O51" s="35"/>
    </row>
    <row r="52" ht="57.75" customHeight="1">
      <c r="A52" s="87" t="s">
        <v>3446</v>
      </c>
      <c r="B52" s="25" t="s">
        <v>138</v>
      </c>
      <c r="C52" s="25" t="s">
        <v>124</v>
      </c>
      <c r="D52" s="38" t="s">
        <v>13</v>
      </c>
      <c r="E52" s="31" t="s">
        <v>3448</v>
      </c>
      <c r="F52" s="31" t="s">
        <v>3450</v>
      </c>
      <c r="G52" s="31" t="s">
        <v>3451</v>
      </c>
      <c r="H52" s="31" t="s">
        <v>3452</v>
      </c>
      <c r="I52" s="31" t="s">
        <v>3453</v>
      </c>
      <c r="J52" s="31" t="s">
        <v>3456</v>
      </c>
      <c r="K52" s="36" t="s">
        <v>66</v>
      </c>
      <c r="L52" s="31" t="s">
        <v>3457</v>
      </c>
      <c r="M52" s="76" t="s">
        <v>1420</v>
      </c>
      <c r="N52" s="25"/>
      <c r="O52" s="25"/>
    </row>
    <row r="53" ht="25.5" customHeight="1">
      <c r="A53" s="49" t="s">
        <v>3461</v>
      </c>
      <c r="B53" s="50"/>
      <c r="C53" s="50"/>
      <c r="D53" s="50"/>
      <c r="E53" s="50"/>
      <c r="F53" s="50"/>
      <c r="G53" s="50"/>
      <c r="H53" s="50"/>
      <c r="I53" s="50"/>
      <c r="J53" s="52"/>
      <c r="M53" s="88">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85" t="s">
        <v>3264</v>
      </c>
      <c r="B1" s="3"/>
      <c r="C1" s="3"/>
      <c r="D1" s="3"/>
      <c r="E1" s="3"/>
      <c r="F1" s="3"/>
      <c r="G1" s="3"/>
      <c r="H1" s="3"/>
      <c r="I1" s="3"/>
      <c r="J1" s="3"/>
      <c r="K1" s="3"/>
      <c r="L1" s="3"/>
      <c r="M1" s="3"/>
      <c r="N1" s="3"/>
      <c r="O1" s="4"/>
    </row>
    <row r="2" ht="30.0" customHeight="1">
      <c r="A2" s="86" t="s">
        <v>3276</v>
      </c>
      <c r="B2" s="3"/>
      <c r="C2" s="3"/>
      <c r="D2" s="3"/>
      <c r="E2" s="3"/>
      <c r="F2" s="3"/>
      <c r="G2" s="3"/>
      <c r="H2" s="3"/>
      <c r="I2" s="3"/>
      <c r="J2" s="3"/>
      <c r="K2" s="3"/>
      <c r="L2" s="3"/>
      <c r="M2" s="3"/>
      <c r="N2" s="3"/>
      <c r="O2" s="4"/>
    </row>
    <row r="3" ht="19.5" customHeight="1">
      <c r="A3" s="10" t="s">
        <v>11</v>
      </c>
      <c r="B3" s="3"/>
      <c r="C3" s="3"/>
      <c r="D3" s="3"/>
      <c r="E3" s="3"/>
      <c r="F3" s="3"/>
      <c r="G3" s="3"/>
      <c r="H3" s="3"/>
      <c r="I3" s="3"/>
      <c r="J3" s="3"/>
      <c r="K3" s="3"/>
      <c r="L3" s="3"/>
      <c r="M3" s="3"/>
      <c r="N3" s="3"/>
      <c r="O3" s="4"/>
    </row>
    <row r="4" ht="24.75" customHeight="1">
      <c r="A4" s="9" t="s">
        <v>22</v>
      </c>
      <c r="B4" s="9" t="s">
        <v>8</v>
      </c>
      <c r="C4" s="9" t="s">
        <v>14</v>
      </c>
      <c r="D4" s="9" t="s">
        <v>24</v>
      </c>
      <c r="E4" s="9" t="s">
        <v>25</v>
      </c>
      <c r="F4" s="9" t="s">
        <v>26</v>
      </c>
      <c r="G4" s="9" t="s">
        <v>27</v>
      </c>
      <c r="H4" s="9" t="s">
        <v>28</v>
      </c>
      <c r="I4" s="9" t="s">
        <v>29</v>
      </c>
      <c r="J4" s="9" t="s">
        <v>31</v>
      </c>
      <c r="K4" s="9" t="s">
        <v>32</v>
      </c>
      <c r="L4" s="9" t="s">
        <v>33</v>
      </c>
      <c r="M4" s="9" t="s">
        <v>17</v>
      </c>
      <c r="N4" s="9" t="s">
        <v>35</v>
      </c>
      <c r="O4" s="9" t="s">
        <v>36</v>
      </c>
    </row>
    <row r="5" ht="19.5" customHeight="1">
      <c r="A5" s="18" t="s">
        <v>37</v>
      </c>
      <c r="B5" s="3"/>
      <c r="C5" s="3"/>
      <c r="D5" s="3"/>
      <c r="E5" s="3"/>
      <c r="F5" s="3"/>
      <c r="G5" s="3"/>
      <c r="H5" s="3"/>
      <c r="I5" s="3"/>
      <c r="J5" s="3"/>
      <c r="K5" s="3"/>
      <c r="L5" s="3"/>
      <c r="M5" s="3"/>
      <c r="N5" s="3"/>
      <c r="O5" s="4"/>
    </row>
    <row r="6" ht="57.75" customHeight="1">
      <c r="A6" s="87" t="s">
        <v>3288</v>
      </c>
      <c r="B6" s="25" t="s">
        <v>171</v>
      </c>
      <c r="C6" s="25" t="s">
        <v>124</v>
      </c>
      <c r="D6" s="27" t="s">
        <v>10</v>
      </c>
      <c r="E6" s="31" t="s">
        <v>3291</v>
      </c>
      <c r="F6" s="78">
        <v>46058.0</v>
      </c>
      <c r="G6" s="78">
        <v>46024.0</v>
      </c>
      <c r="H6" s="78">
        <v>46086.0</v>
      </c>
      <c r="I6" s="78">
        <v>46056.0</v>
      </c>
      <c r="J6" s="78">
        <v>46117.0</v>
      </c>
      <c r="K6" s="36" t="s">
        <v>108</v>
      </c>
      <c r="L6" s="31" t="s">
        <v>3295</v>
      </c>
      <c r="M6" s="76" t="s">
        <v>1420</v>
      </c>
      <c r="N6" s="25"/>
      <c r="O6" s="25"/>
    </row>
    <row r="7" ht="57.75" customHeight="1">
      <c r="A7" s="87" t="s">
        <v>3297</v>
      </c>
      <c r="B7" s="35" t="s">
        <v>171</v>
      </c>
      <c r="C7" s="35" t="s">
        <v>124</v>
      </c>
      <c r="D7" s="27" t="s">
        <v>10</v>
      </c>
      <c r="E7" s="40" t="s">
        <v>3300</v>
      </c>
      <c r="F7" s="70">
        <v>46028.0</v>
      </c>
      <c r="G7" s="70">
        <v>46027.0</v>
      </c>
      <c r="H7" s="70">
        <v>46026.0</v>
      </c>
      <c r="I7" s="70">
        <v>46025.0</v>
      </c>
      <c r="J7" s="70">
        <v>46024.0</v>
      </c>
      <c r="K7" s="42" t="s">
        <v>108</v>
      </c>
      <c r="L7" s="40" t="s">
        <v>3307</v>
      </c>
      <c r="M7" s="76" t="s">
        <v>1420</v>
      </c>
      <c r="N7" s="35"/>
      <c r="O7" s="35"/>
    </row>
    <row r="8" ht="57.75" customHeight="1">
      <c r="A8" s="87" t="s">
        <v>3310</v>
      </c>
      <c r="B8" s="25" t="s">
        <v>171</v>
      </c>
      <c r="C8" s="25" t="s">
        <v>124</v>
      </c>
      <c r="D8" s="27" t="s">
        <v>10</v>
      </c>
      <c r="E8" s="31" t="s">
        <v>3312</v>
      </c>
      <c r="F8" s="31" t="s">
        <v>3313</v>
      </c>
      <c r="G8" s="31" t="s">
        <v>3314</v>
      </c>
      <c r="H8" s="31" t="s">
        <v>253</v>
      </c>
      <c r="I8" s="31" t="s">
        <v>3317</v>
      </c>
      <c r="J8" s="31" t="s">
        <v>3319</v>
      </c>
      <c r="K8" s="36" t="s">
        <v>201</v>
      </c>
      <c r="L8" s="31" t="s">
        <v>3322</v>
      </c>
      <c r="M8" s="76" t="s">
        <v>1420</v>
      </c>
      <c r="N8" s="25"/>
      <c r="O8" s="25"/>
    </row>
    <row r="9" ht="57.75" customHeight="1">
      <c r="A9" s="87" t="s">
        <v>3325</v>
      </c>
      <c r="B9" s="35" t="s">
        <v>171</v>
      </c>
      <c r="C9" s="35" t="s">
        <v>124</v>
      </c>
      <c r="D9" s="27" t="s">
        <v>10</v>
      </c>
      <c r="E9" s="40" t="s">
        <v>3326</v>
      </c>
      <c r="F9" s="40">
        <v>6.0</v>
      </c>
      <c r="G9" s="40">
        <v>10.0</v>
      </c>
      <c r="H9" s="40">
        <v>12.0</v>
      </c>
      <c r="I9" s="40">
        <v>15.0</v>
      </c>
      <c r="J9" s="40">
        <v>18.0</v>
      </c>
      <c r="K9" s="42" t="s">
        <v>108</v>
      </c>
      <c r="L9" s="40" t="s">
        <v>3330</v>
      </c>
      <c r="M9" s="76" t="s">
        <v>1420</v>
      </c>
      <c r="N9" s="35"/>
      <c r="O9" s="35"/>
    </row>
    <row r="10" ht="57.75" customHeight="1">
      <c r="A10" s="87" t="s">
        <v>3333</v>
      </c>
      <c r="B10" s="25" t="s">
        <v>171</v>
      </c>
      <c r="C10" s="25" t="s">
        <v>124</v>
      </c>
      <c r="D10" s="27" t="s">
        <v>10</v>
      </c>
      <c r="E10" s="31" t="s">
        <v>3336</v>
      </c>
      <c r="F10" s="31" t="s">
        <v>3337</v>
      </c>
      <c r="G10" s="78">
        <v>46034.0</v>
      </c>
      <c r="H10" s="78">
        <v>46028.0</v>
      </c>
      <c r="I10" s="78">
        <v>46026.0</v>
      </c>
      <c r="J10" s="78">
        <v>46024.0</v>
      </c>
      <c r="K10" s="36" t="s">
        <v>108</v>
      </c>
      <c r="L10" s="31" t="s">
        <v>3339</v>
      </c>
      <c r="M10" s="76" t="s">
        <v>1420</v>
      </c>
      <c r="N10" s="25"/>
      <c r="O10" s="25"/>
    </row>
    <row r="11" ht="57.75" customHeight="1">
      <c r="A11" s="87" t="s">
        <v>3343</v>
      </c>
      <c r="B11" s="35" t="s">
        <v>171</v>
      </c>
      <c r="C11" s="35" t="s">
        <v>124</v>
      </c>
      <c r="D11" s="27" t="s">
        <v>10</v>
      </c>
      <c r="E11" s="40" t="s">
        <v>3346</v>
      </c>
      <c r="F11" s="70">
        <v>46027.0</v>
      </c>
      <c r="G11" s="70">
        <v>46127.0</v>
      </c>
      <c r="H11" s="70">
        <v>46025.0</v>
      </c>
      <c r="I11" s="70">
        <v>46058.0</v>
      </c>
      <c r="J11" s="70">
        <v>46218.0</v>
      </c>
      <c r="K11" s="42" t="s">
        <v>108</v>
      </c>
      <c r="L11" s="40" t="s">
        <v>3349</v>
      </c>
      <c r="M11" s="76" t="s">
        <v>1420</v>
      </c>
      <c r="N11" s="35"/>
      <c r="O11" s="35"/>
    </row>
    <row r="12" ht="57.75" customHeight="1">
      <c r="A12" s="87" t="s">
        <v>3352</v>
      </c>
      <c r="B12" s="25" t="s">
        <v>171</v>
      </c>
      <c r="C12" s="25" t="s">
        <v>124</v>
      </c>
      <c r="D12" s="27" t="s">
        <v>10</v>
      </c>
      <c r="E12" s="31" t="s">
        <v>3358</v>
      </c>
      <c r="F12" s="31" t="s">
        <v>3359</v>
      </c>
      <c r="G12" s="31" t="s">
        <v>3360</v>
      </c>
      <c r="H12" s="31" t="s">
        <v>3362</v>
      </c>
      <c r="I12" s="31" t="s">
        <v>3363</v>
      </c>
      <c r="J12" s="31" t="s">
        <v>3364</v>
      </c>
      <c r="K12" s="36" t="s">
        <v>201</v>
      </c>
      <c r="L12" s="31" t="s">
        <v>3366</v>
      </c>
      <c r="M12" s="76" t="s">
        <v>1420</v>
      </c>
      <c r="N12" s="25"/>
      <c r="O12" s="25"/>
    </row>
    <row r="13" ht="57.75" customHeight="1">
      <c r="A13" s="87" t="s">
        <v>3368</v>
      </c>
      <c r="B13" s="35" t="s">
        <v>171</v>
      </c>
      <c r="C13" s="35" t="s">
        <v>124</v>
      </c>
      <c r="D13" s="27" t="s">
        <v>10</v>
      </c>
      <c r="E13" s="40" t="s">
        <v>3370</v>
      </c>
      <c r="F13" s="40" t="s">
        <v>3372</v>
      </c>
      <c r="G13" s="40" t="s">
        <v>3374</v>
      </c>
      <c r="H13" s="40" t="s">
        <v>3377</v>
      </c>
      <c r="I13" s="40" t="s">
        <v>3379</v>
      </c>
      <c r="J13" s="40" t="s">
        <v>3362</v>
      </c>
      <c r="K13" s="42" t="s">
        <v>108</v>
      </c>
      <c r="L13" s="40" t="s">
        <v>3381</v>
      </c>
      <c r="M13" s="76" t="s">
        <v>1420</v>
      </c>
      <c r="N13" s="35"/>
      <c r="O13" s="35"/>
    </row>
    <row r="14" ht="57.75" customHeight="1">
      <c r="A14" s="87" t="s">
        <v>3384</v>
      </c>
      <c r="B14" s="25" t="s">
        <v>171</v>
      </c>
      <c r="C14" s="25" t="s">
        <v>124</v>
      </c>
      <c r="D14" s="27" t="s">
        <v>10</v>
      </c>
      <c r="E14" s="31" t="s">
        <v>3387</v>
      </c>
      <c r="F14" s="78">
        <v>46027.0</v>
      </c>
      <c r="G14" s="78">
        <v>46091.0</v>
      </c>
      <c r="H14" s="78">
        <v>46025.0</v>
      </c>
      <c r="I14" s="78">
        <v>46024.0</v>
      </c>
      <c r="J14" s="78">
        <v>46086.0</v>
      </c>
      <c r="K14" s="36" t="s">
        <v>66</v>
      </c>
      <c r="L14" s="31" t="s">
        <v>3391</v>
      </c>
      <c r="M14" s="76" t="s">
        <v>1420</v>
      </c>
      <c r="N14" s="25"/>
      <c r="O14" s="25"/>
    </row>
    <row r="15" ht="57.75" customHeight="1">
      <c r="A15" s="87" t="s">
        <v>3395</v>
      </c>
      <c r="B15" s="35" t="s">
        <v>171</v>
      </c>
      <c r="C15" s="35" t="s">
        <v>124</v>
      </c>
      <c r="D15" s="27" t="s">
        <v>10</v>
      </c>
      <c r="E15" s="40" t="s">
        <v>3398</v>
      </c>
      <c r="F15" s="70">
        <v>46058.0</v>
      </c>
      <c r="G15" s="70">
        <v>46024.0</v>
      </c>
      <c r="H15" s="70">
        <v>46086.0</v>
      </c>
      <c r="I15" s="70">
        <v>46085.0</v>
      </c>
      <c r="J15" s="70">
        <v>46117.0</v>
      </c>
      <c r="K15" s="42" t="s">
        <v>136</v>
      </c>
      <c r="L15" s="40" t="s">
        <v>3401</v>
      </c>
      <c r="M15" s="76" t="s">
        <v>1420</v>
      </c>
      <c r="N15" s="35"/>
      <c r="O15" s="35"/>
    </row>
    <row r="16" ht="57.75" customHeight="1">
      <c r="A16" s="87" t="s">
        <v>3405</v>
      </c>
      <c r="B16" s="25" t="s">
        <v>171</v>
      </c>
      <c r="C16" s="25" t="s">
        <v>124</v>
      </c>
      <c r="D16" s="27" t="s">
        <v>10</v>
      </c>
      <c r="E16" s="31" t="s">
        <v>3408</v>
      </c>
      <c r="F16" s="78">
        <v>46030.0</v>
      </c>
      <c r="G16" s="78">
        <v>46026.0</v>
      </c>
      <c r="H16" s="78">
        <v>46089.0</v>
      </c>
      <c r="I16" s="78">
        <v>46024.0</v>
      </c>
      <c r="J16" s="78">
        <v>46150.0</v>
      </c>
      <c r="K16" s="36" t="s">
        <v>201</v>
      </c>
      <c r="L16" s="31" t="s">
        <v>3411</v>
      </c>
      <c r="M16" s="76" t="s">
        <v>1420</v>
      </c>
      <c r="N16" s="25"/>
      <c r="O16" s="25"/>
    </row>
    <row r="17" ht="57.75" customHeight="1">
      <c r="A17" s="87" t="s">
        <v>3414</v>
      </c>
      <c r="B17" s="35" t="s">
        <v>171</v>
      </c>
      <c r="C17" s="35" t="s">
        <v>124</v>
      </c>
      <c r="D17" s="27" t="s">
        <v>10</v>
      </c>
      <c r="E17" s="40" t="s">
        <v>3419</v>
      </c>
      <c r="F17" s="40" t="s">
        <v>3421</v>
      </c>
      <c r="G17" s="40" t="s">
        <v>3372</v>
      </c>
      <c r="H17" s="40" t="s">
        <v>3425</v>
      </c>
      <c r="I17" s="40" t="s">
        <v>253</v>
      </c>
      <c r="J17" s="40" t="s">
        <v>3428</v>
      </c>
      <c r="K17" s="42" t="s">
        <v>206</v>
      </c>
      <c r="L17" s="40" t="s">
        <v>3429</v>
      </c>
      <c r="M17" s="76" t="s">
        <v>1420</v>
      </c>
      <c r="N17" s="35"/>
      <c r="O17" s="35"/>
    </row>
    <row r="18" ht="57.75" customHeight="1">
      <c r="A18" s="87" t="s">
        <v>3432</v>
      </c>
      <c r="B18" s="25" t="s">
        <v>171</v>
      </c>
      <c r="C18" s="25" t="s">
        <v>124</v>
      </c>
      <c r="D18" s="27" t="s">
        <v>10</v>
      </c>
      <c r="E18" s="31" t="s">
        <v>3437</v>
      </c>
      <c r="F18" s="31" t="s">
        <v>252</v>
      </c>
      <c r="G18" s="31" t="s">
        <v>3441</v>
      </c>
      <c r="H18" s="31" t="s">
        <v>3374</v>
      </c>
      <c r="I18" s="31" t="s">
        <v>3443</v>
      </c>
      <c r="J18" s="31" t="s">
        <v>3445</v>
      </c>
      <c r="K18" s="36" t="s">
        <v>66</v>
      </c>
      <c r="L18" s="31" t="s">
        <v>3447</v>
      </c>
      <c r="M18" s="76" t="s">
        <v>1420</v>
      </c>
      <c r="N18" s="25"/>
      <c r="O18" s="25"/>
    </row>
    <row r="19" ht="57.75" customHeight="1">
      <c r="A19" s="87" t="s">
        <v>3449</v>
      </c>
      <c r="B19" s="35" t="s">
        <v>171</v>
      </c>
      <c r="C19" s="35" t="s">
        <v>124</v>
      </c>
      <c r="D19" s="27" t="s">
        <v>10</v>
      </c>
      <c r="E19" s="40" t="s">
        <v>3455</v>
      </c>
      <c r="F19" s="70">
        <v>46026.0</v>
      </c>
      <c r="G19" s="70">
        <v>46024.0</v>
      </c>
      <c r="H19" s="70">
        <v>46056.0</v>
      </c>
      <c r="I19" s="70">
        <v>46085.0</v>
      </c>
      <c r="J19" s="40">
        <v>1.0</v>
      </c>
      <c r="K19" s="42" t="s">
        <v>201</v>
      </c>
      <c r="L19" s="40" t="s">
        <v>3459</v>
      </c>
      <c r="M19" s="76" t="s">
        <v>1420</v>
      </c>
      <c r="N19" s="35"/>
      <c r="O19" s="35"/>
    </row>
    <row r="20" ht="57.75" customHeight="1">
      <c r="A20" s="87" t="s">
        <v>3462</v>
      </c>
      <c r="B20" s="25" t="s">
        <v>171</v>
      </c>
      <c r="C20" s="25" t="s">
        <v>124</v>
      </c>
      <c r="D20" s="27" t="s">
        <v>10</v>
      </c>
      <c r="E20" s="31" t="s">
        <v>3464</v>
      </c>
      <c r="F20" s="31" t="s">
        <v>3465</v>
      </c>
      <c r="G20" s="31" t="s">
        <v>3466</v>
      </c>
      <c r="H20" s="31" t="s">
        <v>3468</v>
      </c>
      <c r="I20" s="31" t="s">
        <v>3469</v>
      </c>
      <c r="J20" s="31" t="s">
        <v>3470</v>
      </c>
      <c r="K20" s="36" t="s">
        <v>108</v>
      </c>
      <c r="L20" s="31" t="s">
        <v>3472</v>
      </c>
      <c r="M20" s="76" t="s">
        <v>1420</v>
      </c>
      <c r="N20" s="25"/>
      <c r="O20" s="25"/>
    </row>
    <row r="21" ht="19.5" customHeight="1">
      <c r="A21" s="61" t="s">
        <v>255</v>
      </c>
      <c r="B21" s="3"/>
      <c r="C21" s="3"/>
      <c r="D21" s="3"/>
      <c r="E21" s="3"/>
      <c r="F21" s="3"/>
      <c r="G21" s="3"/>
      <c r="H21" s="3"/>
      <c r="I21" s="3"/>
      <c r="J21" s="3"/>
      <c r="K21" s="3"/>
      <c r="L21" s="3"/>
      <c r="M21" s="3"/>
      <c r="N21" s="3"/>
      <c r="O21" s="4"/>
    </row>
    <row r="22" ht="57.75" customHeight="1">
      <c r="A22" s="87" t="s">
        <v>3480</v>
      </c>
      <c r="B22" s="35" t="s">
        <v>171</v>
      </c>
      <c r="C22" s="35" t="s">
        <v>124</v>
      </c>
      <c r="D22" s="17" t="s">
        <v>12</v>
      </c>
      <c r="E22" s="40" t="s">
        <v>3483</v>
      </c>
      <c r="F22" s="40">
        <v>8.0</v>
      </c>
      <c r="G22" s="40">
        <v>10.0</v>
      </c>
      <c r="H22" s="40">
        <v>12.0</v>
      </c>
      <c r="I22" s="40">
        <v>15.0</v>
      </c>
      <c r="J22" s="40">
        <v>18.0</v>
      </c>
      <c r="K22" s="42" t="s">
        <v>108</v>
      </c>
      <c r="L22" s="40" t="s">
        <v>3486</v>
      </c>
      <c r="M22" s="76" t="s">
        <v>1420</v>
      </c>
      <c r="N22" s="35"/>
      <c r="O22" s="35"/>
    </row>
    <row r="23" ht="57.75" customHeight="1">
      <c r="A23" s="87" t="s">
        <v>3488</v>
      </c>
      <c r="B23" s="25" t="s">
        <v>171</v>
      </c>
      <c r="C23" s="25" t="s">
        <v>124</v>
      </c>
      <c r="D23" s="17" t="s">
        <v>12</v>
      </c>
      <c r="E23" s="31" t="s">
        <v>3490</v>
      </c>
      <c r="F23" s="31">
        <v>19.4</v>
      </c>
      <c r="G23" s="31">
        <v>19.5</v>
      </c>
      <c r="H23" s="31">
        <v>19.6</v>
      </c>
      <c r="I23" s="31">
        <v>19.7</v>
      </c>
      <c r="J23" s="31">
        <v>19.8</v>
      </c>
      <c r="K23" s="36" t="s">
        <v>136</v>
      </c>
      <c r="L23" s="31" t="s">
        <v>3492</v>
      </c>
      <c r="M23" s="76" t="s">
        <v>1420</v>
      </c>
      <c r="N23" s="25"/>
      <c r="O23" s="25"/>
    </row>
    <row r="24" ht="57.75" customHeight="1">
      <c r="A24" s="87" t="s">
        <v>3493</v>
      </c>
      <c r="B24" s="35" t="s">
        <v>171</v>
      </c>
      <c r="C24" s="35" t="s">
        <v>124</v>
      </c>
      <c r="D24" s="17" t="s">
        <v>12</v>
      </c>
      <c r="E24" s="40" t="s">
        <v>3496</v>
      </c>
      <c r="F24" s="40" t="s">
        <v>3421</v>
      </c>
      <c r="G24" s="40" t="s">
        <v>3372</v>
      </c>
      <c r="H24" s="40" t="s">
        <v>3497</v>
      </c>
      <c r="I24" s="40" t="s">
        <v>3374</v>
      </c>
      <c r="J24" s="40" t="s">
        <v>3314</v>
      </c>
      <c r="K24" s="42" t="s">
        <v>136</v>
      </c>
      <c r="L24" s="40" t="s">
        <v>3499</v>
      </c>
      <c r="M24" s="76" t="s">
        <v>1420</v>
      </c>
      <c r="N24" s="35"/>
      <c r="O24" s="35"/>
    </row>
    <row r="25" ht="57.75" customHeight="1">
      <c r="A25" s="87" t="s">
        <v>3501</v>
      </c>
      <c r="B25" s="25" t="s">
        <v>171</v>
      </c>
      <c r="C25" s="25" t="s">
        <v>124</v>
      </c>
      <c r="D25" s="17" t="s">
        <v>12</v>
      </c>
      <c r="E25" s="31" t="s">
        <v>3503</v>
      </c>
      <c r="F25" s="78">
        <v>46026.0</v>
      </c>
      <c r="G25" s="78">
        <v>46089.0</v>
      </c>
      <c r="H25" s="78">
        <v>46158.0</v>
      </c>
      <c r="I25" s="78">
        <v>46024.0</v>
      </c>
      <c r="J25" s="78">
        <v>46085.0</v>
      </c>
      <c r="K25" s="36" t="s">
        <v>136</v>
      </c>
      <c r="L25" s="31" t="s">
        <v>3509</v>
      </c>
      <c r="M25" s="76" t="s">
        <v>1420</v>
      </c>
      <c r="N25" s="25"/>
      <c r="O25" s="25"/>
    </row>
    <row r="26" ht="57.75" customHeight="1">
      <c r="A26" s="87" t="s">
        <v>3512</v>
      </c>
      <c r="B26" s="35" t="s">
        <v>171</v>
      </c>
      <c r="C26" s="35" t="s">
        <v>124</v>
      </c>
      <c r="D26" s="17" t="s">
        <v>12</v>
      </c>
      <c r="E26" s="40" t="s">
        <v>3514</v>
      </c>
      <c r="F26" s="40" t="s">
        <v>3515</v>
      </c>
      <c r="G26" s="40" t="s">
        <v>3516</v>
      </c>
      <c r="H26" s="40" t="s">
        <v>3517</v>
      </c>
      <c r="I26" s="40" t="s">
        <v>3518</v>
      </c>
      <c r="J26" s="40" t="s">
        <v>3519</v>
      </c>
      <c r="K26" s="42" t="s">
        <v>66</v>
      </c>
      <c r="L26" s="40" t="s">
        <v>3521</v>
      </c>
      <c r="M26" s="76" t="s">
        <v>1420</v>
      </c>
      <c r="N26" s="35"/>
      <c r="O26" s="35"/>
    </row>
    <row r="27" ht="57.75" customHeight="1">
      <c r="A27" s="87" t="s">
        <v>3522</v>
      </c>
      <c r="B27" s="25" t="s">
        <v>171</v>
      </c>
      <c r="C27" s="25" t="s">
        <v>124</v>
      </c>
      <c r="D27" s="17" t="s">
        <v>12</v>
      </c>
      <c r="E27" s="31" t="s">
        <v>3523</v>
      </c>
      <c r="F27" s="31" t="s">
        <v>3524</v>
      </c>
      <c r="G27" s="78">
        <v>46028.0</v>
      </c>
      <c r="H27" s="78">
        <v>46160.0</v>
      </c>
      <c r="I27" s="31" t="s">
        <v>3525</v>
      </c>
      <c r="J27" s="31" t="s">
        <v>3526</v>
      </c>
      <c r="K27" s="36" t="s">
        <v>108</v>
      </c>
      <c r="L27" s="31" t="s">
        <v>3528</v>
      </c>
      <c r="M27" s="76" t="s">
        <v>1420</v>
      </c>
      <c r="N27" s="25"/>
      <c r="O27" s="25"/>
    </row>
    <row r="28" ht="57.75" customHeight="1">
      <c r="A28" s="87" t="s">
        <v>3530</v>
      </c>
      <c r="B28" s="35" t="s">
        <v>171</v>
      </c>
      <c r="C28" s="35" t="s">
        <v>124</v>
      </c>
      <c r="D28" s="17" t="s">
        <v>12</v>
      </c>
      <c r="E28" s="40" t="s">
        <v>3533</v>
      </c>
      <c r="F28" s="40" t="s">
        <v>3314</v>
      </c>
      <c r="G28" s="40" t="s">
        <v>3377</v>
      </c>
      <c r="H28" s="40" t="s">
        <v>3379</v>
      </c>
      <c r="I28" s="40" t="s">
        <v>2464</v>
      </c>
      <c r="J28" s="40" t="s">
        <v>2465</v>
      </c>
      <c r="K28" s="42" t="s">
        <v>108</v>
      </c>
      <c r="L28" s="40" t="s">
        <v>3535</v>
      </c>
      <c r="M28" s="76" t="s">
        <v>1420</v>
      </c>
      <c r="N28" s="35"/>
      <c r="O28" s="35"/>
    </row>
    <row r="29" ht="57.75" customHeight="1">
      <c r="A29" s="87" t="s">
        <v>3537</v>
      </c>
      <c r="B29" s="25" t="s">
        <v>171</v>
      </c>
      <c r="C29" s="25" t="s">
        <v>124</v>
      </c>
      <c r="D29" s="17" t="s">
        <v>12</v>
      </c>
      <c r="E29" s="31" t="s">
        <v>3538</v>
      </c>
      <c r="F29" s="78">
        <v>46031.0</v>
      </c>
      <c r="G29" s="78">
        <v>46062.0</v>
      </c>
      <c r="H29" s="78">
        <v>46121.0</v>
      </c>
      <c r="I29" s="78">
        <v>46024.0</v>
      </c>
      <c r="J29" s="78">
        <v>46151.0</v>
      </c>
      <c r="K29" s="36" t="s">
        <v>66</v>
      </c>
      <c r="L29" s="31" t="s">
        <v>3542</v>
      </c>
      <c r="M29" s="76" t="s">
        <v>1420</v>
      </c>
      <c r="N29" s="25"/>
      <c r="O29" s="25"/>
    </row>
    <row r="30" ht="57.75" customHeight="1">
      <c r="A30" s="87" t="s">
        <v>3545</v>
      </c>
      <c r="B30" s="35" t="s">
        <v>171</v>
      </c>
      <c r="C30" s="35" t="s">
        <v>124</v>
      </c>
      <c r="D30" s="17" t="s">
        <v>12</v>
      </c>
      <c r="E30" s="40" t="s">
        <v>3546</v>
      </c>
      <c r="F30" s="40" t="s">
        <v>357</v>
      </c>
      <c r="G30" s="40" t="s">
        <v>3547</v>
      </c>
      <c r="H30" s="40" t="s">
        <v>3550</v>
      </c>
      <c r="I30" s="40" t="s">
        <v>3551</v>
      </c>
      <c r="J30" s="40" t="s">
        <v>3552</v>
      </c>
      <c r="K30" s="42" t="s">
        <v>66</v>
      </c>
      <c r="L30" s="40" t="s">
        <v>3554</v>
      </c>
      <c r="M30" s="76" t="s">
        <v>1420</v>
      </c>
      <c r="N30" s="35"/>
      <c r="O30" s="35"/>
    </row>
    <row r="31" ht="57.75" customHeight="1">
      <c r="A31" s="87" t="s">
        <v>3556</v>
      </c>
      <c r="B31" s="25" t="s">
        <v>171</v>
      </c>
      <c r="C31" s="25" t="s">
        <v>124</v>
      </c>
      <c r="D31" s="17" t="s">
        <v>12</v>
      </c>
      <c r="E31" s="31" t="s">
        <v>3558</v>
      </c>
      <c r="F31" s="31" t="s">
        <v>357</v>
      </c>
      <c r="G31" s="31" t="s">
        <v>3547</v>
      </c>
      <c r="H31" s="31" t="s">
        <v>3560</v>
      </c>
      <c r="I31" s="31" t="s">
        <v>3561</v>
      </c>
      <c r="J31" s="31" t="s">
        <v>3562</v>
      </c>
      <c r="K31" s="36" t="s">
        <v>136</v>
      </c>
      <c r="L31" s="31" t="s">
        <v>3564</v>
      </c>
      <c r="M31" s="76" t="s">
        <v>1420</v>
      </c>
      <c r="N31" s="25"/>
      <c r="O31" s="25"/>
    </row>
    <row r="32" ht="57.75" customHeight="1">
      <c r="A32" s="87" t="s">
        <v>3567</v>
      </c>
      <c r="B32" s="35" t="s">
        <v>171</v>
      </c>
      <c r="C32" s="35" t="s">
        <v>124</v>
      </c>
      <c r="D32" s="17" t="s">
        <v>12</v>
      </c>
      <c r="E32" s="40" t="s">
        <v>3568</v>
      </c>
      <c r="F32" s="40" t="s">
        <v>3569</v>
      </c>
      <c r="G32" s="40" t="s">
        <v>3570</v>
      </c>
      <c r="H32" s="40" t="s">
        <v>3572</v>
      </c>
      <c r="I32" s="40" t="s">
        <v>3573</v>
      </c>
      <c r="J32" s="40" t="s">
        <v>3574</v>
      </c>
      <c r="K32" s="42" t="s">
        <v>136</v>
      </c>
      <c r="L32" s="40" t="s">
        <v>3578</v>
      </c>
      <c r="M32" s="76" t="s">
        <v>1420</v>
      </c>
      <c r="N32" s="35"/>
      <c r="O32" s="35"/>
    </row>
    <row r="33" ht="57.75" customHeight="1">
      <c r="A33" s="87" t="s">
        <v>3579</v>
      </c>
      <c r="B33" s="25" t="s">
        <v>171</v>
      </c>
      <c r="C33" s="25" t="s">
        <v>124</v>
      </c>
      <c r="D33" s="17" t="s">
        <v>12</v>
      </c>
      <c r="E33" s="31" t="s">
        <v>3581</v>
      </c>
      <c r="F33" s="78">
        <v>46025.0</v>
      </c>
      <c r="G33" s="78">
        <v>46024.0</v>
      </c>
      <c r="H33" s="78">
        <v>46056.0</v>
      </c>
      <c r="I33" s="78">
        <v>46148.0</v>
      </c>
      <c r="J33" s="31">
        <v>1.0</v>
      </c>
      <c r="K33" s="36" t="s">
        <v>108</v>
      </c>
      <c r="L33" s="31" t="s">
        <v>3585</v>
      </c>
      <c r="M33" s="76" t="s">
        <v>1420</v>
      </c>
      <c r="N33" s="25"/>
      <c r="O33" s="25"/>
    </row>
    <row r="34" ht="57.75" customHeight="1">
      <c r="A34" s="87" t="s">
        <v>3586</v>
      </c>
      <c r="B34" s="35" t="s">
        <v>171</v>
      </c>
      <c r="C34" s="35" t="s">
        <v>124</v>
      </c>
      <c r="D34" s="17" t="s">
        <v>12</v>
      </c>
      <c r="E34" s="40" t="s">
        <v>3589</v>
      </c>
      <c r="F34" s="70">
        <v>46025.0</v>
      </c>
      <c r="G34" s="70">
        <v>46056.0</v>
      </c>
      <c r="H34" s="70">
        <v>46249.0</v>
      </c>
      <c r="I34" s="70">
        <v>46341.0</v>
      </c>
      <c r="J34" s="40" t="s">
        <v>3591</v>
      </c>
      <c r="K34" s="42" t="s">
        <v>108</v>
      </c>
      <c r="L34" s="40" t="s">
        <v>3594</v>
      </c>
      <c r="M34" s="76" t="s">
        <v>1420</v>
      </c>
      <c r="N34" s="35"/>
      <c r="O34" s="35"/>
    </row>
    <row r="35" ht="57.75" customHeight="1">
      <c r="A35" s="87" t="s">
        <v>3595</v>
      </c>
      <c r="B35" s="25" t="s">
        <v>171</v>
      </c>
      <c r="C35" s="25" t="s">
        <v>124</v>
      </c>
      <c r="D35" s="17" t="s">
        <v>12</v>
      </c>
      <c r="E35" s="31" t="s">
        <v>3598</v>
      </c>
      <c r="F35" s="31" t="s">
        <v>3374</v>
      </c>
      <c r="G35" s="31" t="s">
        <v>3314</v>
      </c>
      <c r="H35" s="31" t="s">
        <v>3377</v>
      </c>
      <c r="I35" s="31" t="s">
        <v>3599</v>
      </c>
      <c r="J35" s="31" t="s">
        <v>2467</v>
      </c>
      <c r="K35" s="36" t="s">
        <v>136</v>
      </c>
      <c r="L35" s="31" t="s">
        <v>3601</v>
      </c>
      <c r="M35" s="76" t="s">
        <v>1420</v>
      </c>
      <c r="N35" s="25"/>
      <c r="O35" s="25"/>
    </row>
    <row r="36" ht="57.75" customHeight="1">
      <c r="A36" s="87" t="s">
        <v>3604</v>
      </c>
      <c r="B36" s="35" t="s">
        <v>171</v>
      </c>
      <c r="C36" s="35" t="s">
        <v>124</v>
      </c>
      <c r="D36" s="17" t="s">
        <v>12</v>
      </c>
      <c r="E36" s="40" t="s">
        <v>3605</v>
      </c>
      <c r="F36" s="40" t="s">
        <v>3606</v>
      </c>
      <c r="G36" s="40" t="s">
        <v>3608</v>
      </c>
      <c r="H36" s="40" t="s">
        <v>3609</v>
      </c>
      <c r="I36" s="40" t="s">
        <v>3611</v>
      </c>
      <c r="J36" s="40" t="s">
        <v>3612</v>
      </c>
      <c r="K36" s="42" t="s">
        <v>108</v>
      </c>
      <c r="L36" s="40" t="s">
        <v>3614</v>
      </c>
      <c r="M36" s="76" t="s">
        <v>1420</v>
      </c>
      <c r="N36" s="35"/>
      <c r="O36" s="35"/>
    </row>
    <row r="37" ht="19.5" customHeight="1">
      <c r="A37" s="69" t="s">
        <v>435</v>
      </c>
      <c r="B37" s="3"/>
      <c r="C37" s="3"/>
      <c r="D37" s="3"/>
      <c r="E37" s="3"/>
      <c r="F37" s="3"/>
      <c r="G37" s="3"/>
      <c r="H37" s="3"/>
      <c r="I37" s="3"/>
      <c r="J37" s="3"/>
      <c r="K37" s="3"/>
      <c r="L37" s="3"/>
      <c r="M37" s="3"/>
      <c r="N37" s="3"/>
      <c r="O37" s="4"/>
    </row>
    <row r="38" ht="57.75" customHeight="1">
      <c r="A38" s="87" t="s">
        <v>3621</v>
      </c>
      <c r="B38" s="25" t="s">
        <v>171</v>
      </c>
      <c r="C38" s="25" t="s">
        <v>124</v>
      </c>
      <c r="D38" s="38" t="s">
        <v>13</v>
      </c>
      <c r="E38" s="31" t="s">
        <v>3623</v>
      </c>
      <c r="F38" s="31">
        <v>40.0</v>
      </c>
      <c r="G38" s="31">
        <v>60.0</v>
      </c>
      <c r="H38" s="31">
        <v>80.0</v>
      </c>
      <c r="I38" s="31">
        <v>100.0</v>
      </c>
      <c r="J38" s="31">
        <v>120.0</v>
      </c>
      <c r="K38" s="36" t="s">
        <v>108</v>
      </c>
      <c r="L38" s="31" t="s">
        <v>3627</v>
      </c>
      <c r="M38" s="76" t="s">
        <v>1420</v>
      </c>
      <c r="N38" s="25"/>
      <c r="O38" s="25"/>
    </row>
    <row r="39" ht="57.75" customHeight="1">
      <c r="A39" s="87" t="s">
        <v>3628</v>
      </c>
      <c r="B39" s="35" t="s">
        <v>171</v>
      </c>
      <c r="C39" s="35" t="s">
        <v>124</v>
      </c>
      <c r="D39" s="38" t="s">
        <v>13</v>
      </c>
      <c r="E39" s="40" t="s">
        <v>3632</v>
      </c>
      <c r="F39" s="40">
        <v>640.0</v>
      </c>
      <c r="G39" s="40">
        <v>690.0</v>
      </c>
      <c r="H39" s="40">
        <v>720.0</v>
      </c>
      <c r="I39" s="40">
        <v>750.0</v>
      </c>
      <c r="J39" s="40">
        <v>810.0</v>
      </c>
      <c r="K39" s="42" t="s">
        <v>66</v>
      </c>
      <c r="L39" s="40" t="s">
        <v>3635</v>
      </c>
      <c r="M39" s="76" t="s">
        <v>1420</v>
      </c>
      <c r="N39" s="35"/>
      <c r="O39" s="35"/>
    </row>
    <row r="40" ht="57.75" customHeight="1">
      <c r="A40" s="87" t="s">
        <v>3636</v>
      </c>
      <c r="B40" s="25" t="s">
        <v>171</v>
      </c>
      <c r="C40" s="25" t="s">
        <v>124</v>
      </c>
      <c r="D40" s="38" t="s">
        <v>13</v>
      </c>
      <c r="E40" s="31" t="s">
        <v>3640</v>
      </c>
      <c r="F40" s="31">
        <v>60.0</v>
      </c>
      <c r="G40" s="31">
        <v>72.0</v>
      </c>
      <c r="H40" s="31">
        <v>84.0</v>
      </c>
      <c r="I40" s="31">
        <v>96.0</v>
      </c>
      <c r="J40" s="31">
        <v>108.0</v>
      </c>
      <c r="K40" s="36" t="s">
        <v>136</v>
      </c>
      <c r="L40" s="31" t="s">
        <v>3642</v>
      </c>
      <c r="M40" s="76" t="s">
        <v>1420</v>
      </c>
      <c r="N40" s="25"/>
      <c r="O40" s="25"/>
    </row>
    <row r="41" ht="57.75" customHeight="1">
      <c r="A41" s="87" t="s">
        <v>3645</v>
      </c>
      <c r="B41" s="35" t="s">
        <v>171</v>
      </c>
      <c r="C41" s="35" t="s">
        <v>124</v>
      </c>
      <c r="D41" s="38" t="s">
        <v>13</v>
      </c>
      <c r="E41" s="40" t="s">
        <v>3647</v>
      </c>
      <c r="F41" s="40">
        <v>180.0</v>
      </c>
      <c r="G41" s="40">
        <v>190.0</v>
      </c>
      <c r="H41" s="40">
        <v>200.0</v>
      </c>
      <c r="I41" s="40">
        <v>210.0</v>
      </c>
      <c r="J41" s="40">
        <v>220.0</v>
      </c>
      <c r="K41" s="42" t="s">
        <v>201</v>
      </c>
      <c r="L41" s="40" t="s">
        <v>3651</v>
      </c>
      <c r="M41" s="76" t="s">
        <v>1420</v>
      </c>
      <c r="N41" s="35"/>
      <c r="O41" s="35"/>
    </row>
    <row r="42" ht="57.75" customHeight="1">
      <c r="A42" s="87" t="s">
        <v>3656</v>
      </c>
      <c r="B42" s="25" t="s">
        <v>171</v>
      </c>
      <c r="C42" s="25" t="s">
        <v>124</v>
      </c>
      <c r="D42" s="38" t="s">
        <v>13</v>
      </c>
      <c r="E42" s="31" t="s">
        <v>3659</v>
      </c>
      <c r="F42" s="31">
        <v>180.0</v>
      </c>
      <c r="G42" s="31">
        <v>210.0</v>
      </c>
      <c r="H42" s="31">
        <v>240.0</v>
      </c>
      <c r="I42" s="31">
        <v>270.0</v>
      </c>
      <c r="J42" s="31">
        <v>300.0</v>
      </c>
      <c r="K42" s="36" t="s">
        <v>206</v>
      </c>
      <c r="L42" s="31" t="s">
        <v>3660</v>
      </c>
      <c r="M42" s="76" t="s">
        <v>1420</v>
      </c>
      <c r="N42" s="25"/>
      <c r="O42" s="25"/>
    </row>
    <row r="43" ht="57.75" customHeight="1">
      <c r="A43" s="87" t="s">
        <v>3661</v>
      </c>
      <c r="B43" s="35" t="s">
        <v>171</v>
      </c>
      <c r="C43" s="35" t="s">
        <v>124</v>
      </c>
      <c r="D43" s="38" t="s">
        <v>13</v>
      </c>
      <c r="E43" s="40" t="s">
        <v>3662</v>
      </c>
      <c r="F43" s="40">
        <v>96.0</v>
      </c>
      <c r="G43" s="40">
        <v>112.0</v>
      </c>
      <c r="H43" s="40">
        <v>128.0</v>
      </c>
      <c r="I43" s="40">
        <v>144.0</v>
      </c>
      <c r="J43" s="40">
        <v>160.0</v>
      </c>
      <c r="K43" s="42" t="s">
        <v>108</v>
      </c>
      <c r="L43" s="40" t="s">
        <v>3664</v>
      </c>
      <c r="M43" s="76" t="s">
        <v>1420</v>
      </c>
      <c r="N43" s="35"/>
      <c r="O43" s="35"/>
    </row>
    <row r="44" ht="57.75" customHeight="1">
      <c r="A44" s="87" t="s">
        <v>3665</v>
      </c>
      <c r="B44" s="25" t="s">
        <v>171</v>
      </c>
      <c r="C44" s="25" t="s">
        <v>124</v>
      </c>
      <c r="D44" s="38" t="s">
        <v>13</v>
      </c>
      <c r="E44" s="31" t="s">
        <v>3667</v>
      </c>
      <c r="F44" s="31">
        <v>120.0</v>
      </c>
      <c r="G44" s="31">
        <v>140.0</v>
      </c>
      <c r="H44" s="31">
        <v>160.0</v>
      </c>
      <c r="I44" s="31">
        <v>180.0</v>
      </c>
      <c r="J44" s="31">
        <v>200.0</v>
      </c>
      <c r="K44" s="36" t="s">
        <v>66</v>
      </c>
      <c r="L44" s="31" t="s">
        <v>3668</v>
      </c>
      <c r="M44" s="76" t="s">
        <v>1420</v>
      </c>
      <c r="N44" s="25"/>
      <c r="O44" s="25"/>
    </row>
    <row r="45" ht="57.75" customHeight="1">
      <c r="A45" s="87" t="s">
        <v>3670</v>
      </c>
      <c r="B45" s="35" t="s">
        <v>171</v>
      </c>
      <c r="C45" s="35" t="s">
        <v>124</v>
      </c>
      <c r="D45" s="38" t="s">
        <v>13</v>
      </c>
      <c r="E45" s="40" t="s">
        <v>3672</v>
      </c>
      <c r="F45" s="40">
        <v>420.0</v>
      </c>
      <c r="G45" s="40">
        <v>440.0</v>
      </c>
      <c r="H45" s="40">
        <v>460.0</v>
      </c>
      <c r="I45" s="40">
        <v>480.0</v>
      </c>
      <c r="J45" s="40">
        <v>500.0</v>
      </c>
      <c r="K45" s="42" t="s">
        <v>201</v>
      </c>
      <c r="L45" s="40" t="s">
        <v>3674</v>
      </c>
      <c r="M45" s="76" t="s">
        <v>1420</v>
      </c>
      <c r="N45" s="35"/>
      <c r="O45" s="35"/>
    </row>
    <row r="46" ht="57.75" customHeight="1">
      <c r="A46" s="87" t="s">
        <v>3676</v>
      </c>
      <c r="B46" s="25" t="s">
        <v>171</v>
      </c>
      <c r="C46" s="25" t="s">
        <v>124</v>
      </c>
      <c r="D46" s="38" t="s">
        <v>13</v>
      </c>
      <c r="E46" s="31" t="s">
        <v>3679</v>
      </c>
      <c r="F46" s="31">
        <v>86.0</v>
      </c>
      <c r="G46" s="31">
        <v>94.0</v>
      </c>
      <c r="H46" s="31">
        <v>102.0</v>
      </c>
      <c r="I46" s="31">
        <v>110.0</v>
      </c>
      <c r="J46" s="31">
        <v>118.0</v>
      </c>
      <c r="K46" s="36" t="s">
        <v>136</v>
      </c>
      <c r="L46" s="31" t="s">
        <v>3682</v>
      </c>
      <c r="M46" s="76" t="s">
        <v>1420</v>
      </c>
      <c r="N46" s="25"/>
      <c r="O46" s="25"/>
    </row>
    <row r="47" ht="57.75" customHeight="1">
      <c r="A47" s="87" t="s">
        <v>3684</v>
      </c>
      <c r="B47" s="35" t="s">
        <v>171</v>
      </c>
      <c r="C47" s="35" t="s">
        <v>124</v>
      </c>
      <c r="D47" s="38" t="s">
        <v>13</v>
      </c>
      <c r="E47" s="40" t="s">
        <v>3686</v>
      </c>
      <c r="F47" s="40">
        <v>60.0</v>
      </c>
      <c r="G47" s="40">
        <v>70.0</v>
      </c>
      <c r="H47" s="40">
        <v>80.0</v>
      </c>
      <c r="I47" s="40">
        <v>90.0</v>
      </c>
      <c r="J47" s="40">
        <v>100.0</v>
      </c>
      <c r="K47" s="42" t="s">
        <v>206</v>
      </c>
      <c r="L47" s="40" t="s">
        <v>3689</v>
      </c>
      <c r="M47" s="76" t="s">
        <v>1420</v>
      </c>
      <c r="N47" s="35"/>
      <c r="O47" s="35"/>
    </row>
    <row r="48" ht="57.75" customHeight="1">
      <c r="A48" s="87" t="s">
        <v>3692</v>
      </c>
      <c r="B48" s="25" t="s">
        <v>171</v>
      </c>
      <c r="C48" s="25" t="s">
        <v>124</v>
      </c>
      <c r="D48" s="38" t="s">
        <v>13</v>
      </c>
      <c r="E48" s="31" t="s">
        <v>3694</v>
      </c>
      <c r="F48" s="31">
        <v>260.0</v>
      </c>
      <c r="G48" s="31">
        <v>290.0</v>
      </c>
      <c r="H48" s="31">
        <v>320.0</v>
      </c>
      <c r="I48" s="31">
        <v>350.0</v>
      </c>
      <c r="J48" s="31">
        <v>380.0</v>
      </c>
      <c r="K48" s="36" t="s">
        <v>66</v>
      </c>
      <c r="L48" s="31" t="s">
        <v>3698</v>
      </c>
      <c r="M48" s="76" t="s">
        <v>1420</v>
      </c>
      <c r="N48" s="25"/>
      <c r="O48" s="25"/>
    </row>
    <row r="49" ht="57.75" customHeight="1">
      <c r="A49" s="87" t="s">
        <v>3699</v>
      </c>
      <c r="B49" s="35" t="s">
        <v>171</v>
      </c>
      <c r="C49" s="35" t="s">
        <v>124</v>
      </c>
      <c r="D49" s="38" t="s">
        <v>13</v>
      </c>
      <c r="E49" s="40" t="s">
        <v>3702</v>
      </c>
      <c r="F49" s="40">
        <v>150.0</v>
      </c>
      <c r="G49" s="40">
        <v>170.0</v>
      </c>
      <c r="H49" s="40">
        <v>190.0</v>
      </c>
      <c r="I49" s="40">
        <v>210.0</v>
      </c>
      <c r="J49" s="40">
        <v>230.0</v>
      </c>
      <c r="K49" s="42" t="s">
        <v>201</v>
      </c>
      <c r="L49" s="40" t="s">
        <v>3705</v>
      </c>
      <c r="M49" s="76" t="s">
        <v>1420</v>
      </c>
      <c r="N49" s="35"/>
      <c r="O49" s="35"/>
    </row>
    <row r="50" ht="57.75" customHeight="1">
      <c r="A50" s="87" t="s">
        <v>3708</v>
      </c>
      <c r="B50" s="25" t="s">
        <v>171</v>
      </c>
      <c r="C50" s="25" t="s">
        <v>124</v>
      </c>
      <c r="D50" s="38" t="s">
        <v>13</v>
      </c>
      <c r="E50" s="31" t="s">
        <v>3711</v>
      </c>
      <c r="F50" s="31">
        <v>90.0</v>
      </c>
      <c r="G50" s="31">
        <v>105.0</v>
      </c>
      <c r="H50" s="31">
        <v>120.0</v>
      </c>
      <c r="I50" s="31">
        <v>135.0</v>
      </c>
      <c r="J50" s="31">
        <v>150.0</v>
      </c>
      <c r="K50" s="36" t="s">
        <v>136</v>
      </c>
      <c r="L50" s="31" t="s">
        <v>3714</v>
      </c>
      <c r="M50" s="76" t="s">
        <v>1420</v>
      </c>
      <c r="N50" s="25"/>
      <c r="O50" s="25"/>
    </row>
    <row r="51" ht="57.75" customHeight="1">
      <c r="A51" s="87" t="s">
        <v>3716</v>
      </c>
      <c r="B51" s="35" t="s">
        <v>171</v>
      </c>
      <c r="C51" s="35" t="s">
        <v>124</v>
      </c>
      <c r="D51" s="38" t="s">
        <v>13</v>
      </c>
      <c r="E51" s="40" t="s">
        <v>3718</v>
      </c>
      <c r="F51" s="40">
        <v>300.0</v>
      </c>
      <c r="G51" s="40">
        <v>330.0</v>
      </c>
      <c r="H51" s="40">
        <v>360.0</v>
      </c>
      <c r="I51" s="40">
        <v>390.0</v>
      </c>
      <c r="J51" s="40">
        <v>420.0</v>
      </c>
      <c r="K51" s="42" t="s">
        <v>108</v>
      </c>
      <c r="L51" s="40" t="s">
        <v>3722</v>
      </c>
      <c r="M51" s="76" t="s">
        <v>1420</v>
      </c>
      <c r="N51" s="35"/>
      <c r="O51" s="35"/>
    </row>
    <row r="52" ht="57.75" customHeight="1">
      <c r="A52" s="87" t="s">
        <v>3724</v>
      </c>
      <c r="B52" s="25" t="s">
        <v>171</v>
      </c>
      <c r="C52" s="25" t="s">
        <v>124</v>
      </c>
      <c r="D52" s="38" t="s">
        <v>13</v>
      </c>
      <c r="E52" s="31" t="s">
        <v>3726</v>
      </c>
      <c r="F52" s="31">
        <v>200.0</v>
      </c>
      <c r="G52" s="31">
        <v>350.0</v>
      </c>
      <c r="H52" s="31">
        <v>400.0</v>
      </c>
      <c r="I52" s="31">
        <v>450.0</v>
      </c>
      <c r="J52" s="31">
        <v>500.0</v>
      </c>
      <c r="K52" s="36" t="s">
        <v>206</v>
      </c>
      <c r="L52" s="31" t="s">
        <v>3728</v>
      </c>
      <c r="M52" s="76" t="s">
        <v>1420</v>
      </c>
      <c r="N52" s="25"/>
      <c r="O52" s="25"/>
    </row>
    <row r="53" ht="25.5" customHeight="1">
      <c r="A53" s="49" t="s">
        <v>3730</v>
      </c>
      <c r="B53" s="50"/>
      <c r="C53" s="50"/>
      <c r="D53" s="50"/>
      <c r="E53" s="50"/>
      <c r="F53" s="50"/>
      <c r="G53" s="50"/>
      <c r="H53" s="50"/>
      <c r="I53" s="50"/>
      <c r="J53" s="52"/>
      <c r="M53" s="88">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85" t="s">
        <v>3279</v>
      </c>
      <c r="B1" s="3"/>
      <c r="C1" s="3"/>
      <c r="D1" s="3"/>
      <c r="E1" s="3"/>
      <c r="F1" s="3"/>
      <c r="G1" s="3"/>
      <c r="H1" s="3"/>
      <c r="I1" s="3"/>
      <c r="J1" s="3"/>
      <c r="K1" s="3"/>
      <c r="L1" s="3"/>
      <c r="M1" s="3"/>
      <c r="N1" s="3"/>
      <c r="O1" s="4"/>
    </row>
    <row r="2" ht="30.0" customHeight="1">
      <c r="A2" s="86" t="s">
        <v>3289</v>
      </c>
      <c r="B2" s="3"/>
      <c r="C2" s="3"/>
      <c r="D2" s="3"/>
      <c r="E2" s="3"/>
      <c r="F2" s="3"/>
      <c r="G2" s="3"/>
      <c r="H2" s="3"/>
      <c r="I2" s="3"/>
      <c r="J2" s="3"/>
      <c r="K2" s="3"/>
      <c r="L2" s="3"/>
      <c r="M2" s="3"/>
      <c r="N2" s="3"/>
      <c r="O2" s="4"/>
    </row>
    <row r="3" ht="19.5" customHeight="1">
      <c r="A3" s="10" t="s">
        <v>11</v>
      </c>
      <c r="B3" s="3"/>
      <c r="C3" s="3"/>
      <c r="D3" s="3"/>
      <c r="E3" s="3"/>
      <c r="F3" s="3"/>
      <c r="G3" s="3"/>
      <c r="H3" s="3"/>
      <c r="I3" s="3"/>
      <c r="J3" s="3"/>
      <c r="K3" s="3"/>
      <c r="L3" s="3"/>
      <c r="M3" s="3"/>
      <c r="N3" s="3"/>
      <c r="O3" s="4"/>
    </row>
    <row r="4" ht="24.75" customHeight="1">
      <c r="A4" s="9" t="s">
        <v>22</v>
      </c>
      <c r="B4" s="9" t="s">
        <v>8</v>
      </c>
      <c r="C4" s="9" t="s">
        <v>14</v>
      </c>
      <c r="D4" s="9" t="s">
        <v>24</v>
      </c>
      <c r="E4" s="9" t="s">
        <v>25</v>
      </c>
      <c r="F4" s="9" t="s">
        <v>26</v>
      </c>
      <c r="G4" s="9" t="s">
        <v>27</v>
      </c>
      <c r="H4" s="9" t="s">
        <v>28</v>
      </c>
      <c r="I4" s="9" t="s">
        <v>29</v>
      </c>
      <c r="J4" s="9" t="s">
        <v>31</v>
      </c>
      <c r="K4" s="9" t="s">
        <v>32</v>
      </c>
      <c r="L4" s="9" t="s">
        <v>33</v>
      </c>
      <c r="M4" s="9" t="s">
        <v>17</v>
      </c>
      <c r="N4" s="9" t="s">
        <v>35</v>
      </c>
      <c r="O4" s="9" t="s">
        <v>36</v>
      </c>
    </row>
    <row r="5" ht="19.5" customHeight="1">
      <c r="A5" s="18" t="s">
        <v>37</v>
      </c>
      <c r="B5" s="3"/>
      <c r="C5" s="3"/>
      <c r="D5" s="3"/>
      <c r="E5" s="3"/>
      <c r="F5" s="3"/>
      <c r="G5" s="3"/>
      <c r="H5" s="3"/>
      <c r="I5" s="3"/>
      <c r="J5" s="3"/>
      <c r="K5" s="3"/>
      <c r="L5" s="3"/>
      <c r="M5" s="3"/>
      <c r="N5" s="3"/>
      <c r="O5" s="4"/>
    </row>
    <row r="6" ht="57.75" customHeight="1">
      <c r="A6" s="87" t="s">
        <v>3335</v>
      </c>
      <c r="B6" s="25" t="s">
        <v>178</v>
      </c>
      <c r="C6" s="25" t="s">
        <v>124</v>
      </c>
      <c r="D6" s="27" t="s">
        <v>10</v>
      </c>
      <c r="E6" s="31" t="s">
        <v>3347</v>
      </c>
      <c r="F6" s="31">
        <v>7.0</v>
      </c>
      <c r="G6" s="31">
        <v>12.0</v>
      </c>
      <c r="H6" s="31">
        <v>14.0</v>
      </c>
      <c r="I6" s="31">
        <v>16.0</v>
      </c>
      <c r="J6" s="31">
        <v>24.0</v>
      </c>
      <c r="K6" s="36" t="s">
        <v>66</v>
      </c>
      <c r="L6" s="31" t="s">
        <v>3356</v>
      </c>
      <c r="M6" s="76" t="s">
        <v>1420</v>
      </c>
      <c r="N6" s="25"/>
      <c r="O6" s="25"/>
    </row>
    <row r="7" ht="57.75" customHeight="1">
      <c r="A7" s="87" t="s">
        <v>3365</v>
      </c>
      <c r="B7" s="35" t="s">
        <v>178</v>
      </c>
      <c r="C7" s="35" t="s">
        <v>124</v>
      </c>
      <c r="D7" s="27" t="s">
        <v>10</v>
      </c>
      <c r="E7" s="40" t="s">
        <v>3376</v>
      </c>
      <c r="F7" s="40">
        <v>10.0</v>
      </c>
      <c r="G7" s="40">
        <v>12.0</v>
      </c>
      <c r="H7" s="40">
        <v>15.0</v>
      </c>
      <c r="I7" s="40">
        <v>20.0</v>
      </c>
      <c r="J7" s="40">
        <v>25.0</v>
      </c>
      <c r="K7" s="42" t="s">
        <v>136</v>
      </c>
      <c r="L7" s="40" t="s">
        <v>3383</v>
      </c>
      <c r="M7" s="76" t="s">
        <v>1420</v>
      </c>
      <c r="N7" s="35"/>
      <c r="O7" s="35"/>
    </row>
    <row r="8" ht="57.75" customHeight="1">
      <c r="A8" s="87" t="s">
        <v>3386</v>
      </c>
      <c r="B8" s="25" t="s">
        <v>178</v>
      </c>
      <c r="C8" s="25" t="s">
        <v>124</v>
      </c>
      <c r="D8" s="27" t="s">
        <v>10</v>
      </c>
      <c r="E8" s="31" t="s">
        <v>3390</v>
      </c>
      <c r="F8" s="31">
        <v>6.0</v>
      </c>
      <c r="G8" s="31">
        <v>7.0</v>
      </c>
      <c r="H8" s="31">
        <v>10.0</v>
      </c>
      <c r="I8" s="31">
        <v>12.0</v>
      </c>
      <c r="J8" s="31">
        <v>16.0</v>
      </c>
      <c r="K8" s="36" t="s">
        <v>201</v>
      </c>
      <c r="L8" s="31" t="s">
        <v>3397</v>
      </c>
      <c r="M8" s="76" t="s">
        <v>1420</v>
      </c>
      <c r="N8" s="25"/>
      <c r="O8" s="25"/>
    </row>
    <row r="9" ht="57.75" customHeight="1">
      <c r="A9" s="87" t="s">
        <v>3400</v>
      </c>
      <c r="B9" s="35" t="s">
        <v>178</v>
      </c>
      <c r="C9" s="35" t="s">
        <v>124</v>
      </c>
      <c r="D9" s="27" t="s">
        <v>10</v>
      </c>
      <c r="E9" s="40" t="s">
        <v>3403</v>
      </c>
      <c r="F9" s="40">
        <v>11.0</v>
      </c>
      <c r="G9" s="40">
        <v>15.0</v>
      </c>
      <c r="H9" s="40">
        <v>20.0</v>
      </c>
      <c r="I9" s="40">
        <v>30.0</v>
      </c>
      <c r="J9" s="40">
        <v>36.0</v>
      </c>
      <c r="K9" s="42" t="s">
        <v>201</v>
      </c>
      <c r="L9" s="40" t="s">
        <v>3409</v>
      </c>
      <c r="M9" s="76" t="s">
        <v>1420</v>
      </c>
      <c r="N9" s="35"/>
      <c r="O9" s="35"/>
    </row>
    <row r="10" ht="57.75" customHeight="1">
      <c r="A10" s="87" t="s">
        <v>3412</v>
      </c>
      <c r="B10" s="25" t="s">
        <v>178</v>
      </c>
      <c r="C10" s="25" t="s">
        <v>124</v>
      </c>
      <c r="D10" s="27" t="s">
        <v>10</v>
      </c>
      <c r="E10" s="31" t="s">
        <v>3415</v>
      </c>
      <c r="F10" s="31">
        <v>10.0</v>
      </c>
      <c r="G10" s="31">
        <v>15.0</v>
      </c>
      <c r="H10" s="31">
        <v>20.0</v>
      </c>
      <c r="I10" s="31">
        <v>25.0</v>
      </c>
      <c r="J10" s="31">
        <v>30.0</v>
      </c>
      <c r="K10" s="36" t="s">
        <v>108</v>
      </c>
      <c r="L10" s="31" t="s">
        <v>3423</v>
      </c>
      <c r="M10" s="76" t="s">
        <v>1420</v>
      </c>
      <c r="N10" s="25"/>
      <c r="O10" s="25"/>
    </row>
    <row r="11" ht="57.75" customHeight="1">
      <c r="A11" s="87" t="s">
        <v>3427</v>
      </c>
      <c r="B11" s="35" t="s">
        <v>178</v>
      </c>
      <c r="C11" s="35" t="s">
        <v>124</v>
      </c>
      <c r="D11" s="27" t="s">
        <v>10</v>
      </c>
      <c r="E11" s="40" t="s">
        <v>3431</v>
      </c>
      <c r="F11" s="40">
        <v>14.0</v>
      </c>
      <c r="G11" s="40">
        <v>21.0</v>
      </c>
      <c r="H11" s="40">
        <v>35.0</v>
      </c>
      <c r="I11" s="40">
        <v>42.0</v>
      </c>
      <c r="J11" s="40">
        <v>49.0</v>
      </c>
      <c r="K11" s="42" t="s">
        <v>201</v>
      </c>
      <c r="L11" s="40" t="s">
        <v>3435</v>
      </c>
      <c r="M11" s="76" t="s">
        <v>1420</v>
      </c>
      <c r="N11" s="35"/>
      <c r="O11" s="35"/>
    </row>
    <row r="12" ht="57.75" customHeight="1">
      <c r="A12" s="87" t="s">
        <v>3440</v>
      </c>
      <c r="B12" s="25" t="s">
        <v>178</v>
      </c>
      <c r="C12" s="25" t="s">
        <v>124</v>
      </c>
      <c r="D12" s="27" t="s">
        <v>10</v>
      </c>
      <c r="E12" s="31" t="s">
        <v>3444</v>
      </c>
      <c r="F12" s="31">
        <v>16.0</v>
      </c>
      <c r="G12" s="31">
        <v>28.0</v>
      </c>
      <c r="H12" s="31">
        <v>32.0</v>
      </c>
      <c r="I12" s="31">
        <v>56.0</v>
      </c>
      <c r="J12" s="31">
        <v>64.0</v>
      </c>
      <c r="K12" s="36" t="s">
        <v>66</v>
      </c>
      <c r="L12" s="31" t="s">
        <v>3454</v>
      </c>
      <c r="M12" s="76" t="s">
        <v>1420</v>
      </c>
      <c r="N12" s="25"/>
      <c r="O12" s="25"/>
    </row>
    <row r="13" ht="57.75" customHeight="1">
      <c r="A13" s="87" t="s">
        <v>3458</v>
      </c>
      <c r="B13" s="35" t="s">
        <v>178</v>
      </c>
      <c r="C13" s="35" t="s">
        <v>124</v>
      </c>
      <c r="D13" s="27" t="s">
        <v>10</v>
      </c>
      <c r="E13" s="40" t="s">
        <v>3460</v>
      </c>
      <c r="F13" s="40">
        <v>8.0</v>
      </c>
      <c r="G13" s="40">
        <v>15.0</v>
      </c>
      <c r="H13" s="40">
        <v>18.0</v>
      </c>
      <c r="I13" s="40">
        <v>20.0</v>
      </c>
      <c r="J13" s="40">
        <v>25.0</v>
      </c>
      <c r="K13" s="42" t="s">
        <v>66</v>
      </c>
      <c r="L13" s="40" t="s">
        <v>3463</v>
      </c>
      <c r="M13" s="76" t="s">
        <v>1420</v>
      </c>
      <c r="N13" s="35"/>
      <c r="O13" s="35"/>
    </row>
    <row r="14" ht="57.75" customHeight="1">
      <c r="A14" s="87" t="s">
        <v>3467</v>
      </c>
      <c r="B14" s="25" t="s">
        <v>178</v>
      </c>
      <c r="C14" s="25" t="s">
        <v>124</v>
      </c>
      <c r="D14" s="27" t="s">
        <v>10</v>
      </c>
      <c r="E14" s="31" t="s">
        <v>3471</v>
      </c>
      <c r="F14" s="31">
        <v>18.0</v>
      </c>
      <c r="G14" s="31">
        <v>20.0</v>
      </c>
      <c r="H14" s="31">
        <v>30.0</v>
      </c>
      <c r="I14" s="31">
        <v>60.0</v>
      </c>
      <c r="J14" s="31">
        <v>120.0</v>
      </c>
      <c r="K14" s="36" t="s">
        <v>66</v>
      </c>
      <c r="L14" s="31" t="s">
        <v>3473</v>
      </c>
      <c r="M14" s="76" t="s">
        <v>1420</v>
      </c>
      <c r="N14" s="25"/>
      <c r="O14" s="25"/>
    </row>
    <row r="15" ht="57.75" customHeight="1">
      <c r="A15" s="87" t="s">
        <v>3474</v>
      </c>
      <c r="B15" s="35" t="s">
        <v>178</v>
      </c>
      <c r="C15" s="35" t="s">
        <v>124</v>
      </c>
      <c r="D15" s="27" t="s">
        <v>10</v>
      </c>
      <c r="E15" s="40" t="s">
        <v>3475</v>
      </c>
      <c r="F15" s="40">
        <v>7.0</v>
      </c>
      <c r="G15" s="40">
        <v>10.0</v>
      </c>
      <c r="H15" s="40">
        <v>12.0</v>
      </c>
      <c r="I15" s="40">
        <v>14.0</v>
      </c>
      <c r="J15" s="40">
        <v>16.0</v>
      </c>
      <c r="K15" s="42" t="s">
        <v>108</v>
      </c>
      <c r="L15" s="40" t="s">
        <v>3476</v>
      </c>
      <c r="M15" s="76" t="s">
        <v>1420</v>
      </c>
      <c r="N15" s="35"/>
      <c r="O15" s="35"/>
    </row>
    <row r="16" ht="57.75" customHeight="1">
      <c r="A16" s="87" t="s">
        <v>3478</v>
      </c>
      <c r="B16" s="25" t="s">
        <v>178</v>
      </c>
      <c r="C16" s="25" t="s">
        <v>124</v>
      </c>
      <c r="D16" s="27" t="s">
        <v>10</v>
      </c>
      <c r="E16" s="31" t="s">
        <v>3479</v>
      </c>
      <c r="F16" s="31">
        <v>6.0</v>
      </c>
      <c r="G16" s="31">
        <v>8.0</v>
      </c>
      <c r="H16" s="31">
        <v>10.0</v>
      </c>
      <c r="I16" s="31">
        <v>12.0</v>
      </c>
      <c r="J16" s="31">
        <v>16.0</v>
      </c>
      <c r="K16" s="36" t="s">
        <v>66</v>
      </c>
      <c r="L16" s="31" t="s">
        <v>3481</v>
      </c>
      <c r="M16" s="76" t="s">
        <v>1420</v>
      </c>
      <c r="N16" s="25"/>
      <c r="O16" s="25"/>
    </row>
    <row r="17" ht="57.75" customHeight="1">
      <c r="A17" s="87" t="s">
        <v>3482</v>
      </c>
      <c r="B17" s="35" t="s">
        <v>178</v>
      </c>
      <c r="C17" s="35" t="s">
        <v>124</v>
      </c>
      <c r="D17" s="27" t="s">
        <v>10</v>
      </c>
      <c r="E17" s="40" t="s">
        <v>3484</v>
      </c>
      <c r="F17" s="40">
        <v>14.0</v>
      </c>
      <c r="G17" s="40">
        <v>21.0</v>
      </c>
      <c r="H17" s="40">
        <v>28.0</v>
      </c>
      <c r="I17" s="40">
        <v>35.0</v>
      </c>
      <c r="J17" s="40">
        <v>42.0</v>
      </c>
      <c r="K17" s="42" t="s">
        <v>66</v>
      </c>
      <c r="L17" s="40" t="s">
        <v>3487</v>
      </c>
      <c r="M17" s="76" t="s">
        <v>1420</v>
      </c>
      <c r="N17" s="35"/>
      <c r="O17" s="35"/>
    </row>
    <row r="18" ht="57.75" customHeight="1">
      <c r="A18" s="87" t="s">
        <v>3489</v>
      </c>
      <c r="B18" s="25" t="s">
        <v>178</v>
      </c>
      <c r="C18" s="25" t="s">
        <v>124</v>
      </c>
      <c r="D18" s="27" t="s">
        <v>10</v>
      </c>
      <c r="E18" s="31" t="s">
        <v>3491</v>
      </c>
      <c r="F18" s="31">
        <v>6.0</v>
      </c>
      <c r="G18" s="31">
        <v>8.0</v>
      </c>
      <c r="H18" s="31">
        <v>12.0</v>
      </c>
      <c r="I18" s="31">
        <v>16.0</v>
      </c>
      <c r="J18" s="31">
        <v>24.0</v>
      </c>
      <c r="K18" s="36" t="s">
        <v>108</v>
      </c>
      <c r="L18" s="31" t="s">
        <v>3494</v>
      </c>
      <c r="M18" s="76" t="s">
        <v>1420</v>
      </c>
      <c r="N18" s="25"/>
      <c r="O18" s="25"/>
    </row>
    <row r="19" ht="57.75" customHeight="1">
      <c r="A19" s="87" t="s">
        <v>3495</v>
      </c>
      <c r="B19" s="35" t="s">
        <v>178</v>
      </c>
      <c r="C19" s="35" t="s">
        <v>124</v>
      </c>
      <c r="D19" s="27" t="s">
        <v>10</v>
      </c>
      <c r="E19" s="40" t="s">
        <v>3498</v>
      </c>
      <c r="F19" s="40">
        <v>12.0</v>
      </c>
      <c r="G19" s="40">
        <v>16.0</v>
      </c>
      <c r="H19" s="40">
        <v>20.0</v>
      </c>
      <c r="I19" s="40">
        <v>24.0</v>
      </c>
      <c r="J19" s="40">
        <v>30.0</v>
      </c>
      <c r="K19" s="42" t="s">
        <v>201</v>
      </c>
      <c r="L19" s="40" t="s">
        <v>3500</v>
      </c>
      <c r="M19" s="76" t="s">
        <v>1420</v>
      </c>
      <c r="N19" s="35"/>
      <c r="O19" s="35"/>
    </row>
    <row r="20" ht="57.75" customHeight="1">
      <c r="A20" s="87" t="s">
        <v>3502</v>
      </c>
      <c r="B20" s="25" t="s">
        <v>178</v>
      </c>
      <c r="C20" s="25" t="s">
        <v>124</v>
      </c>
      <c r="D20" s="27" t="s">
        <v>10</v>
      </c>
      <c r="E20" s="31" t="s">
        <v>3504</v>
      </c>
      <c r="F20" s="31" t="s">
        <v>3505</v>
      </c>
      <c r="G20" s="31" t="s">
        <v>3506</v>
      </c>
      <c r="H20" s="31" t="s">
        <v>3508</v>
      </c>
      <c r="I20" s="31" t="s">
        <v>3510</v>
      </c>
      <c r="J20" s="31" t="s">
        <v>3511</v>
      </c>
      <c r="K20" s="36" t="s">
        <v>206</v>
      </c>
      <c r="L20" s="31" t="s">
        <v>3513</v>
      </c>
      <c r="M20" s="76" t="s">
        <v>1420</v>
      </c>
      <c r="N20" s="25"/>
      <c r="O20" s="25"/>
    </row>
    <row r="21" ht="19.5" customHeight="1">
      <c r="A21" s="61" t="s">
        <v>255</v>
      </c>
      <c r="B21" s="3"/>
      <c r="C21" s="3"/>
      <c r="D21" s="3"/>
      <c r="E21" s="3"/>
      <c r="F21" s="3"/>
      <c r="G21" s="3"/>
      <c r="H21" s="3"/>
      <c r="I21" s="3"/>
      <c r="J21" s="3"/>
      <c r="K21" s="3"/>
      <c r="L21" s="3"/>
      <c r="M21" s="3"/>
      <c r="N21" s="3"/>
      <c r="O21" s="4"/>
    </row>
    <row r="22" ht="57.75" customHeight="1">
      <c r="A22" s="87" t="s">
        <v>3527</v>
      </c>
      <c r="B22" s="35" t="s">
        <v>178</v>
      </c>
      <c r="C22" s="35" t="s">
        <v>124</v>
      </c>
      <c r="D22" s="17" t="s">
        <v>12</v>
      </c>
      <c r="E22" s="40" t="s">
        <v>3529</v>
      </c>
      <c r="F22" s="40">
        <v>12.0</v>
      </c>
      <c r="G22" s="40">
        <v>21.0</v>
      </c>
      <c r="H22" s="40">
        <v>24.0</v>
      </c>
      <c r="I22" s="40">
        <v>36.0</v>
      </c>
      <c r="J22" s="40">
        <v>42.0</v>
      </c>
      <c r="K22" s="42" t="s">
        <v>108</v>
      </c>
      <c r="L22" s="40" t="s">
        <v>3532</v>
      </c>
      <c r="M22" s="76" t="s">
        <v>1420</v>
      </c>
      <c r="N22" s="35"/>
      <c r="O22" s="35"/>
    </row>
    <row r="23" ht="57.75" customHeight="1">
      <c r="A23" s="87" t="s">
        <v>3534</v>
      </c>
      <c r="B23" s="25" t="s">
        <v>178</v>
      </c>
      <c r="C23" s="25" t="s">
        <v>124</v>
      </c>
      <c r="D23" s="17" t="s">
        <v>12</v>
      </c>
      <c r="E23" s="31" t="s">
        <v>3536</v>
      </c>
      <c r="F23" s="31">
        <v>20.0</v>
      </c>
      <c r="G23" s="31">
        <v>36.0</v>
      </c>
      <c r="H23" s="31">
        <v>40.0</v>
      </c>
      <c r="I23" s="31">
        <v>60.0</v>
      </c>
      <c r="J23" s="31">
        <v>80.0</v>
      </c>
      <c r="K23" s="36" t="s">
        <v>108</v>
      </c>
      <c r="L23" s="31" t="s">
        <v>3540</v>
      </c>
      <c r="M23" s="76" t="s">
        <v>1420</v>
      </c>
      <c r="N23" s="25"/>
      <c r="O23" s="25"/>
    </row>
    <row r="24" ht="57.75" customHeight="1">
      <c r="A24" s="87" t="s">
        <v>3541</v>
      </c>
      <c r="B24" s="35" t="s">
        <v>178</v>
      </c>
      <c r="C24" s="35" t="s">
        <v>124</v>
      </c>
      <c r="D24" s="17" t="s">
        <v>12</v>
      </c>
      <c r="E24" s="40" t="s">
        <v>3544</v>
      </c>
      <c r="F24" s="40">
        <v>30.0</v>
      </c>
      <c r="G24" s="40">
        <v>60.0</v>
      </c>
      <c r="H24" s="40">
        <v>90.0</v>
      </c>
      <c r="I24" s="40">
        <v>120.0</v>
      </c>
      <c r="J24" s="40">
        <v>180.0</v>
      </c>
      <c r="K24" s="42" t="s">
        <v>66</v>
      </c>
      <c r="L24" s="40" t="s">
        <v>3548</v>
      </c>
      <c r="M24" s="76" t="s">
        <v>1420</v>
      </c>
      <c r="N24" s="35"/>
      <c r="O24" s="35"/>
    </row>
    <row r="25" ht="57.75" customHeight="1">
      <c r="A25" s="87" t="s">
        <v>3553</v>
      </c>
      <c r="B25" s="25" t="s">
        <v>178</v>
      </c>
      <c r="C25" s="25" t="s">
        <v>124</v>
      </c>
      <c r="D25" s="17" t="s">
        <v>12</v>
      </c>
      <c r="E25" s="31" t="s">
        <v>3555</v>
      </c>
      <c r="F25" s="31">
        <v>16.0</v>
      </c>
      <c r="G25" s="31">
        <v>28.0</v>
      </c>
      <c r="H25" s="31">
        <v>56.0</v>
      </c>
      <c r="I25" s="31">
        <v>64.0</v>
      </c>
      <c r="J25" s="31">
        <v>112.0</v>
      </c>
      <c r="K25" s="36" t="s">
        <v>66</v>
      </c>
      <c r="L25" s="31" t="s">
        <v>3559</v>
      </c>
      <c r="M25" s="76" t="s">
        <v>1420</v>
      </c>
      <c r="N25" s="25"/>
      <c r="O25" s="25"/>
    </row>
    <row r="26" ht="57.75" customHeight="1">
      <c r="A26" s="87" t="s">
        <v>3563</v>
      </c>
      <c r="B26" s="35" t="s">
        <v>178</v>
      </c>
      <c r="C26" s="35" t="s">
        <v>124</v>
      </c>
      <c r="D26" s="17" t="s">
        <v>12</v>
      </c>
      <c r="E26" s="40" t="s">
        <v>3566</v>
      </c>
      <c r="F26" s="40">
        <v>40.0</v>
      </c>
      <c r="G26" s="40">
        <v>60.0</v>
      </c>
      <c r="H26" s="40">
        <v>80.0</v>
      </c>
      <c r="I26" s="40">
        <v>100.0</v>
      </c>
      <c r="J26" s="40">
        <v>120.0</v>
      </c>
      <c r="K26" s="42" t="s">
        <v>66</v>
      </c>
      <c r="L26" s="40" t="s">
        <v>3571</v>
      </c>
      <c r="M26" s="76" t="s">
        <v>1420</v>
      </c>
      <c r="N26" s="35"/>
      <c r="O26" s="35"/>
    </row>
    <row r="27" ht="57.75" customHeight="1">
      <c r="A27" s="87" t="s">
        <v>3575</v>
      </c>
      <c r="B27" s="25" t="s">
        <v>178</v>
      </c>
      <c r="C27" s="25" t="s">
        <v>124</v>
      </c>
      <c r="D27" s="17" t="s">
        <v>12</v>
      </c>
      <c r="E27" s="31" t="s">
        <v>3577</v>
      </c>
      <c r="F27" s="31">
        <v>6.0</v>
      </c>
      <c r="G27" s="31">
        <v>12.0</v>
      </c>
      <c r="H27" s="31">
        <v>24.0</v>
      </c>
      <c r="I27" s="31">
        <v>36.0</v>
      </c>
      <c r="J27" s="31">
        <v>45.0</v>
      </c>
      <c r="K27" s="36" t="s">
        <v>136</v>
      </c>
      <c r="L27" s="31" t="s">
        <v>3580</v>
      </c>
      <c r="M27" s="76" t="s">
        <v>1420</v>
      </c>
      <c r="N27" s="25"/>
      <c r="O27" s="25"/>
    </row>
    <row r="28" ht="57.75" customHeight="1">
      <c r="A28" s="87" t="s">
        <v>3582</v>
      </c>
      <c r="B28" s="35" t="s">
        <v>178</v>
      </c>
      <c r="C28" s="35" t="s">
        <v>124</v>
      </c>
      <c r="D28" s="17" t="s">
        <v>12</v>
      </c>
      <c r="E28" s="40" t="s">
        <v>3584</v>
      </c>
      <c r="F28" s="40">
        <v>20.0</v>
      </c>
      <c r="G28" s="40">
        <v>30.0</v>
      </c>
      <c r="H28" s="40">
        <v>50.0</v>
      </c>
      <c r="I28" s="40">
        <v>60.0</v>
      </c>
      <c r="J28" s="40">
        <v>120.0</v>
      </c>
      <c r="K28" s="42" t="s">
        <v>66</v>
      </c>
      <c r="L28" s="40" t="s">
        <v>3588</v>
      </c>
      <c r="M28" s="76" t="s">
        <v>1420</v>
      </c>
      <c r="N28" s="35"/>
      <c r="O28" s="35"/>
    </row>
    <row r="29" ht="57.75" customHeight="1">
      <c r="A29" s="87" t="s">
        <v>3590</v>
      </c>
      <c r="B29" s="25" t="s">
        <v>178</v>
      </c>
      <c r="C29" s="25" t="s">
        <v>124</v>
      </c>
      <c r="D29" s="17" t="s">
        <v>12</v>
      </c>
      <c r="E29" s="31" t="s">
        <v>3592</v>
      </c>
      <c r="F29" s="31">
        <v>56.0</v>
      </c>
      <c r="G29" s="31">
        <v>112.0</v>
      </c>
      <c r="H29" s="31">
        <v>168.0</v>
      </c>
      <c r="I29" s="31">
        <v>336.0</v>
      </c>
      <c r="J29" s="31">
        <v>672.0</v>
      </c>
      <c r="K29" s="36" t="s">
        <v>201</v>
      </c>
      <c r="L29" s="31" t="s">
        <v>3596</v>
      </c>
      <c r="M29" s="76" t="s">
        <v>1420</v>
      </c>
      <c r="N29" s="25"/>
      <c r="O29" s="25"/>
    </row>
    <row r="30" ht="57.75" customHeight="1">
      <c r="A30" s="87" t="s">
        <v>3600</v>
      </c>
      <c r="B30" s="35" t="s">
        <v>178</v>
      </c>
      <c r="C30" s="35" t="s">
        <v>124</v>
      </c>
      <c r="D30" s="17" t="s">
        <v>12</v>
      </c>
      <c r="E30" s="40" t="s">
        <v>3603</v>
      </c>
      <c r="F30" s="40">
        <v>36.0</v>
      </c>
      <c r="G30" s="40">
        <v>72.0</v>
      </c>
      <c r="H30" s="40">
        <v>108.0</v>
      </c>
      <c r="I30" s="40">
        <v>144.0</v>
      </c>
      <c r="J30" s="40">
        <v>288.0</v>
      </c>
      <c r="K30" s="42" t="s">
        <v>66</v>
      </c>
      <c r="L30" s="40" t="s">
        <v>3610</v>
      </c>
      <c r="M30" s="76" t="s">
        <v>1420</v>
      </c>
      <c r="N30" s="35"/>
      <c r="O30" s="35"/>
    </row>
    <row r="31" ht="57.75" customHeight="1">
      <c r="A31" s="87" t="s">
        <v>3613</v>
      </c>
      <c r="B31" s="25" t="s">
        <v>178</v>
      </c>
      <c r="C31" s="25" t="s">
        <v>124</v>
      </c>
      <c r="D31" s="17" t="s">
        <v>12</v>
      </c>
      <c r="E31" s="31" t="s">
        <v>3616</v>
      </c>
      <c r="F31" s="31">
        <v>60.0</v>
      </c>
      <c r="G31" s="31">
        <v>90.0</v>
      </c>
      <c r="H31" s="31">
        <v>120.0</v>
      </c>
      <c r="I31" s="31">
        <v>150.0</v>
      </c>
      <c r="J31" s="31">
        <v>180.0</v>
      </c>
      <c r="K31" s="36" t="s">
        <v>66</v>
      </c>
      <c r="L31" s="31" t="s">
        <v>3617</v>
      </c>
      <c r="M31" s="76" t="s">
        <v>1420</v>
      </c>
      <c r="N31" s="25"/>
      <c r="O31" s="25"/>
    </row>
    <row r="32" ht="57.75" customHeight="1">
      <c r="A32" s="87" t="s">
        <v>3618</v>
      </c>
      <c r="B32" s="35" t="s">
        <v>178</v>
      </c>
      <c r="C32" s="35" t="s">
        <v>124</v>
      </c>
      <c r="D32" s="17" t="s">
        <v>12</v>
      </c>
      <c r="E32" s="40" t="s">
        <v>3620</v>
      </c>
      <c r="F32" s="40">
        <v>42.0</v>
      </c>
      <c r="G32" s="40">
        <v>52.0</v>
      </c>
      <c r="H32" s="40">
        <v>60.0</v>
      </c>
      <c r="I32" s="40">
        <v>72.0</v>
      </c>
      <c r="J32" s="40">
        <v>100.0</v>
      </c>
      <c r="K32" s="42" t="s">
        <v>66</v>
      </c>
      <c r="L32" s="40" t="s">
        <v>3622</v>
      </c>
      <c r="M32" s="76" t="s">
        <v>1420</v>
      </c>
      <c r="N32" s="35"/>
      <c r="O32" s="35"/>
    </row>
    <row r="33" ht="57.75" customHeight="1">
      <c r="A33" s="87" t="s">
        <v>3625</v>
      </c>
      <c r="B33" s="25" t="s">
        <v>178</v>
      </c>
      <c r="C33" s="25" t="s">
        <v>124</v>
      </c>
      <c r="D33" s="17" t="s">
        <v>12</v>
      </c>
      <c r="E33" s="31" t="s">
        <v>3626</v>
      </c>
      <c r="F33" s="31">
        <v>13.0</v>
      </c>
      <c r="G33" s="31">
        <v>15.0</v>
      </c>
      <c r="H33" s="31">
        <v>18.0</v>
      </c>
      <c r="I33" s="31">
        <v>21.0</v>
      </c>
      <c r="J33" s="31">
        <v>28.0</v>
      </c>
      <c r="K33" s="36" t="s">
        <v>108</v>
      </c>
      <c r="L33" s="31" t="s">
        <v>3630</v>
      </c>
      <c r="M33" s="76" t="s">
        <v>1420</v>
      </c>
      <c r="N33" s="25"/>
      <c r="O33" s="25"/>
    </row>
    <row r="34" ht="57.75" customHeight="1">
      <c r="A34" s="87" t="s">
        <v>3631</v>
      </c>
      <c r="B34" s="35" t="s">
        <v>178</v>
      </c>
      <c r="C34" s="35" t="s">
        <v>124</v>
      </c>
      <c r="D34" s="17" t="s">
        <v>12</v>
      </c>
      <c r="E34" s="40" t="s">
        <v>3633</v>
      </c>
      <c r="F34" s="40">
        <v>24.0</v>
      </c>
      <c r="G34" s="40">
        <v>36.0</v>
      </c>
      <c r="H34" s="40">
        <v>72.0</v>
      </c>
      <c r="I34" s="40">
        <v>108.0</v>
      </c>
      <c r="J34" s="40">
        <v>144.0</v>
      </c>
      <c r="K34" s="42" t="s">
        <v>108</v>
      </c>
      <c r="L34" s="40" t="s">
        <v>3637</v>
      </c>
      <c r="M34" s="76" t="s">
        <v>1420</v>
      </c>
      <c r="N34" s="35"/>
      <c r="O34" s="35"/>
    </row>
    <row r="35" ht="57.75" customHeight="1">
      <c r="A35" s="87" t="s">
        <v>3639</v>
      </c>
      <c r="B35" s="25" t="s">
        <v>178</v>
      </c>
      <c r="C35" s="25" t="s">
        <v>124</v>
      </c>
      <c r="D35" s="17" t="s">
        <v>12</v>
      </c>
      <c r="E35" s="31" t="s">
        <v>3641</v>
      </c>
      <c r="F35" s="31">
        <v>12.0</v>
      </c>
      <c r="G35" s="31">
        <v>24.0</v>
      </c>
      <c r="H35" s="31">
        <v>60.0</v>
      </c>
      <c r="I35" s="31">
        <v>120.0</v>
      </c>
      <c r="J35" s="31">
        <v>720.0</v>
      </c>
      <c r="K35" s="36" t="s">
        <v>66</v>
      </c>
      <c r="L35" s="31" t="s">
        <v>3644</v>
      </c>
      <c r="M35" s="76" t="s">
        <v>1420</v>
      </c>
      <c r="N35" s="25"/>
      <c r="O35" s="25"/>
    </row>
    <row r="36" ht="57.75" customHeight="1">
      <c r="A36" s="87" t="s">
        <v>3646</v>
      </c>
      <c r="B36" s="35" t="s">
        <v>178</v>
      </c>
      <c r="C36" s="35" t="s">
        <v>124</v>
      </c>
      <c r="D36" s="17" t="s">
        <v>12</v>
      </c>
      <c r="E36" s="40" t="s">
        <v>3648</v>
      </c>
      <c r="F36" s="40" t="s">
        <v>3650</v>
      </c>
      <c r="G36" s="40" t="s">
        <v>3652</v>
      </c>
      <c r="H36" s="40" t="s">
        <v>3653</v>
      </c>
      <c r="I36" s="40" t="s">
        <v>3654</v>
      </c>
      <c r="J36" s="40" t="s">
        <v>3655</v>
      </c>
      <c r="K36" s="42" t="s">
        <v>201</v>
      </c>
      <c r="L36" s="40" t="s">
        <v>3657</v>
      </c>
      <c r="M36" s="76" t="s">
        <v>1420</v>
      </c>
      <c r="N36" s="35"/>
      <c r="O36" s="35"/>
    </row>
    <row r="37" ht="19.5" customHeight="1">
      <c r="A37" s="69" t="s">
        <v>435</v>
      </c>
      <c r="B37" s="3"/>
      <c r="C37" s="3"/>
      <c r="D37" s="3"/>
      <c r="E37" s="3"/>
      <c r="F37" s="3"/>
      <c r="G37" s="3"/>
      <c r="H37" s="3"/>
      <c r="I37" s="3"/>
      <c r="J37" s="3"/>
      <c r="K37" s="3"/>
      <c r="L37" s="3"/>
      <c r="M37" s="3"/>
      <c r="N37" s="3"/>
      <c r="O37" s="4"/>
    </row>
    <row r="38" ht="57.75" customHeight="1">
      <c r="A38" s="87" t="s">
        <v>3663</v>
      </c>
      <c r="B38" s="25" t="s">
        <v>178</v>
      </c>
      <c r="C38" s="25" t="s">
        <v>124</v>
      </c>
      <c r="D38" s="38" t="s">
        <v>13</v>
      </c>
      <c r="E38" s="31" t="s">
        <v>3666</v>
      </c>
      <c r="F38" s="31">
        <v>720.0</v>
      </c>
      <c r="G38" s="31">
        <v>4080.0</v>
      </c>
      <c r="H38" s="31">
        <v>4800.0</v>
      </c>
      <c r="I38" s="31">
        <v>5040.0</v>
      </c>
      <c r="J38" s="31">
        <v>5520.0</v>
      </c>
      <c r="K38" s="36" t="s">
        <v>108</v>
      </c>
      <c r="L38" s="31" t="s">
        <v>3669</v>
      </c>
      <c r="M38" s="76" t="s">
        <v>1420</v>
      </c>
      <c r="N38" s="25"/>
      <c r="O38" s="25"/>
    </row>
    <row r="39" ht="57.75" customHeight="1">
      <c r="A39" s="87" t="s">
        <v>3671</v>
      </c>
      <c r="B39" s="35" t="s">
        <v>178</v>
      </c>
      <c r="C39" s="35" t="s">
        <v>124</v>
      </c>
      <c r="D39" s="38" t="s">
        <v>13</v>
      </c>
      <c r="E39" s="40" t="s">
        <v>3673</v>
      </c>
      <c r="F39" s="40">
        <v>10560.0</v>
      </c>
      <c r="G39" s="40">
        <v>12672.0</v>
      </c>
      <c r="H39" s="40">
        <v>15840.0</v>
      </c>
      <c r="I39" s="40">
        <v>21120.0</v>
      </c>
      <c r="J39" s="40">
        <v>25344.0</v>
      </c>
      <c r="K39" s="42" t="s">
        <v>201</v>
      </c>
      <c r="L39" s="40" t="s">
        <v>3675</v>
      </c>
      <c r="M39" s="76" t="s">
        <v>1420</v>
      </c>
      <c r="N39" s="35"/>
      <c r="O39" s="35"/>
    </row>
    <row r="40" ht="57.75" customHeight="1">
      <c r="A40" s="87" t="s">
        <v>3677</v>
      </c>
      <c r="B40" s="25" t="s">
        <v>178</v>
      </c>
      <c r="C40" s="25" t="s">
        <v>124</v>
      </c>
      <c r="D40" s="38" t="s">
        <v>13</v>
      </c>
      <c r="E40" s="31" t="s">
        <v>3678</v>
      </c>
      <c r="F40" s="31">
        <v>178200.0</v>
      </c>
      <c r="G40" s="31">
        <v>237600.0</v>
      </c>
      <c r="H40" s="31">
        <v>356400.0</v>
      </c>
      <c r="I40" s="31">
        <v>475200.0</v>
      </c>
      <c r="J40" s="31">
        <v>712800.0</v>
      </c>
      <c r="K40" s="36" t="s">
        <v>108</v>
      </c>
      <c r="L40" s="31" t="s">
        <v>3680</v>
      </c>
      <c r="M40" s="76" t="s">
        <v>1420</v>
      </c>
      <c r="N40" s="25"/>
      <c r="O40" s="25"/>
    </row>
    <row r="41" ht="57.75" customHeight="1">
      <c r="A41" s="87" t="s">
        <v>3681</v>
      </c>
      <c r="B41" s="35" t="s">
        <v>178</v>
      </c>
      <c r="C41" s="35" t="s">
        <v>124</v>
      </c>
      <c r="D41" s="38" t="s">
        <v>13</v>
      </c>
      <c r="E41" s="40" t="s">
        <v>3683</v>
      </c>
      <c r="F41" s="40">
        <v>792.0</v>
      </c>
      <c r="G41" s="40">
        <v>990.0</v>
      </c>
      <c r="H41" s="40">
        <v>1188.0</v>
      </c>
      <c r="I41" s="40">
        <v>1584.0</v>
      </c>
      <c r="J41" s="40">
        <v>1980.0</v>
      </c>
      <c r="K41" s="42" t="s">
        <v>201</v>
      </c>
      <c r="L41" s="40" t="s">
        <v>3685</v>
      </c>
      <c r="M41" s="76" t="s">
        <v>1420</v>
      </c>
      <c r="N41" s="35"/>
      <c r="O41" s="35"/>
    </row>
    <row r="42" ht="57.75" customHeight="1">
      <c r="A42" s="87" t="s">
        <v>3687</v>
      </c>
      <c r="B42" s="25" t="s">
        <v>178</v>
      </c>
      <c r="C42" s="25" t="s">
        <v>124</v>
      </c>
      <c r="D42" s="38" t="s">
        <v>13</v>
      </c>
      <c r="E42" s="31" t="s">
        <v>3688</v>
      </c>
      <c r="F42" s="31">
        <v>1080.0</v>
      </c>
      <c r="G42" s="31">
        <v>1296.0</v>
      </c>
      <c r="H42" s="31">
        <v>1728.0</v>
      </c>
      <c r="I42" s="31">
        <v>2160.0</v>
      </c>
      <c r="J42" s="31">
        <v>2592.0</v>
      </c>
      <c r="K42" s="36" t="s">
        <v>201</v>
      </c>
      <c r="L42" s="31" t="s">
        <v>3690</v>
      </c>
      <c r="M42" s="76" t="s">
        <v>1420</v>
      </c>
      <c r="N42" s="25"/>
      <c r="O42" s="25"/>
    </row>
    <row r="43" ht="57.75" customHeight="1">
      <c r="A43" s="87" t="s">
        <v>3691</v>
      </c>
      <c r="B43" s="35" t="s">
        <v>178</v>
      </c>
      <c r="C43" s="35" t="s">
        <v>124</v>
      </c>
      <c r="D43" s="38" t="s">
        <v>13</v>
      </c>
      <c r="E43" s="40" t="s">
        <v>3693</v>
      </c>
      <c r="F43" s="40">
        <v>13200.0</v>
      </c>
      <c r="G43" s="40">
        <v>17160.0</v>
      </c>
      <c r="H43" s="40">
        <v>23760.0</v>
      </c>
      <c r="I43" s="40">
        <v>26400.0</v>
      </c>
      <c r="J43" s="40">
        <v>31680.0</v>
      </c>
      <c r="K43" s="42" t="s">
        <v>201</v>
      </c>
      <c r="L43" s="40" t="s">
        <v>3695</v>
      </c>
      <c r="M43" s="76" t="s">
        <v>1420</v>
      </c>
      <c r="N43" s="35"/>
      <c r="O43" s="35"/>
    </row>
    <row r="44" ht="57.75" customHeight="1">
      <c r="A44" s="87" t="s">
        <v>3696</v>
      </c>
      <c r="B44" s="25" t="s">
        <v>178</v>
      </c>
      <c r="C44" s="25" t="s">
        <v>124</v>
      </c>
      <c r="D44" s="38" t="s">
        <v>13</v>
      </c>
      <c r="E44" s="31" t="s">
        <v>3697</v>
      </c>
      <c r="F44" s="31">
        <v>9900.0</v>
      </c>
      <c r="G44" s="31">
        <v>14256.0</v>
      </c>
      <c r="H44" s="31">
        <v>17820.0</v>
      </c>
      <c r="I44" s="31">
        <v>19800.0</v>
      </c>
      <c r="J44" s="31">
        <v>21384.0</v>
      </c>
      <c r="K44" s="36" t="s">
        <v>108</v>
      </c>
      <c r="L44" s="31" t="s">
        <v>3700</v>
      </c>
      <c r="M44" s="76" t="s">
        <v>1420</v>
      </c>
      <c r="N44" s="25"/>
      <c r="O44" s="25"/>
    </row>
    <row r="45" ht="57.75" customHeight="1">
      <c r="A45" s="87" t="s">
        <v>3701</v>
      </c>
      <c r="B45" s="35" t="s">
        <v>178</v>
      </c>
      <c r="C45" s="35" t="s">
        <v>124</v>
      </c>
      <c r="D45" s="38" t="s">
        <v>13</v>
      </c>
      <c r="E45" s="40" t="s">
        <v>3703</v>
      </c>
      <c r="F45" s="40">
        <v>1320.0</v>
      </c>
      <c r="G45" s="40">
        <v>1584.0</v>
      </c>
      <c r="H45" s="40">
        <v>2112.0</v>
      </c>
      <c r="I45" s="40">
        <v>2640.0</v>
      </c>
      <c r="J45" s="40">
        <v>3168.0</v>
      </c>
      <c r="K45" s="42" t="s">
        <v>201</v>
      </c>
      <c r="L45" s="40" t="s">
        <v>3704</v>
      </c>
      <c r="M45" s="76" t="s">
        <v>1420</v>
      </c>
      <c r="N45" s="35"/>
      <c r="O45" s="35"/>
    </row>
    <row r="46" ht="57.75" customHeight="1">
      <c r="A46" s="87" t="s">
        <v>3706</v>
      </c>
      <c r="B46" s="25" t="s">
        <v>178</v>
      </c>
      <c r="C46" s="25" t="s">
        <v>124</v>
      </c>
      <c r="D46" s="38" t="s">
        <v>13</v>
      </c>
      <c r="E46" s="31" t="s">
        <v>3707</v>
      </c>
      <c r="F46" s="31">
        <v>3024.0</v>
      </c>
      <c r="G46" s="31">
        <v>4032.0</v>
      </c>
      <c r="H46" s="31">
        <v>4896.0</v>
      </c>
      <c r="I46" s="31">
        <v>6048.0</v>
      </c>
      <c r="J46" s="31">
        <v>7257.0</v>
      </c>
      <c r="K46" s="36" t="s">
        <v>201</v>
      </c>
      <c r="L46" s="31" t="s">
        <v>3709</v>
      </c>
      <c r="M46" s="76" t="s">
        <v>1420</v>
      </c>
      <c r="N46" s="25"/>
      <c r="O46" s="25"/>
    </row>
    <row r="47" ht="57.75" customHeight="1">
      <c r="A47" s="87" t="s">
        <v>3710</v>
      </c>
      <c r="B47" s="35" t="s">
        <v>178</v>
      </c>
      <c r="C47" s="35" t="s">
        <v>124</v>
      </c>
      <c r="D47" s="38" t="s">
        <v>13</v>
      </c>
      <c r="E47" s="40" t="s">
        <v>3712</v>
      </c>
      <c r="F47" s="40">
        <v>990.0</v>
      </c>
      <c r="G47" s="40">
        <v>1188.0</v>
      </c>
      <c r="H47" s="40">
        <v>1584.0</v>
      </c>
      <c r="I47" s="40">
        <v>1980.0</v>
      </c>
      <c r="J47" s="40">
        <v>2376.0</v>
      </c>
      <c r="K47" s="42" t="s">
        <v>201</v>
      </c>
      <c r="L47" s="40" t="s">
        <v>3713</v>
      </c>
      <c r="M47" s="76" t="s">
        <v>1420</v>
      </c>
      <c r="N47" s="35"/>
      <c r="O47" s="35"/>
    </row>
    <row r="48" ht="57.75" customHeight="1">
      <c r="A48" s="87" t="s">
        <v>3715</v>
      </c>
      <c r="B48" s="25" t="s">
        <v>178</v>
      </c>
      <c r="C48" s="25" t="s">
        <v>124</v>
      </c>
      <c r="D48" s="38" t="s">
        <v>13</v>
      </c>
      <c r="E48" s="31" t="s">
        <v>3717</v>
      </c>
      <c r="F48" s="31">
        <v>10560.0</v>
      </c>
      <c r="G48" s="31">
        <v>12672.0</v>
      </c>
      <c r="H48" s="31">
        <v>15840.0</v>
      </c>
      <c r="I48" s="31">
        <v>21120.0</v>
      </c>
      <c r="J48" s="31">
        <v>25344.0</v>
      </c>
      <c r="K48" s="36" t="s">
        <v>201</v>
      </c>
      <c r="L48" s="31" t="s">
        <v>3719</v>
      </c>
      <c r="M48" s="76" t="s">
        <v>1420</v>
      </c>
      <c r="N48" s="25"/>
      <c r="O48" s="25"/>
    </row>
    <row r="49" ht="57.75" customHeight="1">
      <c r="A49" s="87" t="s">
        <v>3720</v>
      </c>
      <c r="B49" s="35" t="s">
        <v>178</v>
      </c>
      <c r="C49" s="35" t="s">
        <v>124</v>
      </c>
      <c r="D49" s="38" t="s">
        <v>13</v>
      </c>
      <c r="E49" s="40" t="s">
        <v>3721</v>
      </c>
      <c r="F49" s="40">
        <v>1080.0</v>
      </c>
      <c r="G49" s="40">
        <v>1296.0</v>
      </c>
      <c r="H49" s="40">
        <v>1728.0</v>
      </c>
      <c r="I49" s="40">
        <v>2160.0</v>
      </c>
      <c r="J49" s="40">
        <v>2592.0</v>
      </c>
      <c r="K49" s="42" t="s">
        <v>201</v>
      </c>
      <c r="L49" s="40" t="s">
        <v>3723</v>
      </c>
      <c r="M49" s="76" t="s">
        <v>1420</v>
      </c>
      <c r="N49" s="35"/>
      <c r="O49" s="35"/>
    </row>
    <row r="50" ht="57.75" customHeight="1">
      <c r="A50" s="87" t="s">
        <v>3725</v>
      </c>
      <c r="B50" s="25" t="s">
        <v>178</v>
      </c>
      <c r="C50" s="25" t="s">
        <v>124</v>
      </c>
      <c r="D50" s="38" t="s">
        <v>13</v>
      </c>
      <c r="E50" s="31" t="s">
        <v>3693</v>
      </c>
      <c r="F50" s="31">
        <v>13200.0</v>
      </c>
      <c r="G50" s="31">
        <v>17160.0</v>
      </c>
      <c r="H50" s="31">
        <v>23760.0</v>
      </c>
      <c r="I50" s="31">
        <v>26400.0</v>
      </c>
      <c r="J50" s="31">
        <v>31680.0</v>
      </c>
      <c r="K50" s="36" t="s">
        <v>201</v>
      </c>
      <c r="L50" s="31" t="s">
        <v>3695</v>
      </c>
      <c r="M50" s="76" t="s">
        <v>1420</v>
      </c>
      <c r="N50" s="25"/>
      <c r="O50" s="25"/>
    </row>
    <row r="51" ht="57.75" customHeight="1">
      <c r="A51" s="87" t="s">
        <v>3727</v>
      </c>
      <c r="B51" s="35" t="s">
        <v>178</v>
      </c>
      <c r="C51" s="35" t="s">
        <v>124</v>
      </c>
      <c r="D51" s="38" t="s">
        <v>13</v>
      </c>
      <c r="E51" s="40" t="s">
        <v>3729</v>
      </c>
      <c r="F51" s="40">
        <v>3024.0</v>
      </c>
      <c r="G51" s="40">
        <v>4032.0</v>
      </c>
      <c r="H51" s="40">
        <v>4896.0</v>
      </c>
      <c r="I51" s="40">
        <v>6048.0</v>
      </c>
      <c r="J51" s="40">
        <v>7257.0</v>
      </c>
      <c r="K51" s="42" t="s">
        <v>201</v>
      </c>
      <c r="L51" s="40" t="s">
        <v>3709</v>
      </c>
      <c r="M51" s="76" t="s">
        <v>1420</v>
      </c>
      <c r="N51" s="35"/>
      <c r="O51" s="35"/>
    </row>
    <row r="52" ht="57.75" customHeight="1">
      <c r="A52" s="87" t="s">
        <v>3731</v>
      </c>
      <c r="B52" s="25" t="s">
        <v>178</v>
      </c>
      <c r="C52" s="25" t="s">
        <v>124</v>
      </c>
      <c r="D52" s="38" t="s">
        <v>13</v>
      </c>
      <c r="E52" s="31" t="s">
        <v>3732</v>
      </c>
      <c r="F52" s="31">
        <v>1320.0</v>
      </c>
      <c r="G52" s="31">
        <v>1584.0</v>
      </c>
      <c r="H52" s="31">
        <v>2112.0</v>
      </c>
      <c r="I52" s="31">
        <v>2640.0</v>
      </c>
      <c r="J52" s="31">
        <v>3168.0</v>
      </c>
      <c r="K52" s="36" t="s">
        <v>201</v>
      </c>
      <c r="L52" s="31" t="s">
        <v>3704</v>
      </c>
      <c r="M52" s="76" t="s">
        <v>1420</v>
      </c>
      <c r="N52" s="25"/>
      <c r="O52" s="25"/>
    </row>
    <row r="53" ht="25.5" customHeight="1">
      <c r="A53" s="49" t="s">
        <v>3733</v>
      </c>
      <c r="B53" s="50"/>
      <c r="C53" s="50"/>
      <c r="D53" s="50"/>
      <c r="E53" s="50"/>
      <c r="F53" s="50"/>
      <c r="G53" s="50"/>
      <c r="H53" s="50"/>
      <c r="I53" s="50"/>
      <c r="J53" s="52"/>
      <c r="M53" s="88">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89" t="s">
        <v>3477</v>
      </c>
      <c r="B1" s="3"/>
      <c r="C1" s="3"/>
      <c r="D1" s="3"/>
      <c r="E1" s="3"/>
      <c r="F1" s="3"/>
      <c r="G1" s="3"/>
      <c r="H1" s="3"/>
      <c r="I1" s="3"/>
      <c r="J1" s="3"/>
      <c r="K1" s="3"/>
      <c r="L1" s="3"/>
      <c r="M1" s="3"/>
      <c r="N1" s="4"/>
    </row>
    <row r="2" ht="27.75" customHeight="1">
      <c r="A2" s="90" t="s">
        <v>3485</v>
      </c>
      <c r="B2" s="3"/>
      <c r="C2" s="3"/>
      <c r="D2" s="3"/>
      <c r="E2" s="3"/>
      <c r="F2" s="3"/>
      <c r="G2" s="3"/>
      <c r="H2" s="3"/>
      <c r="I2" s="3"/>
      <c r="J2" s="3"/>
      <c r="K2" s="3"/>
      <c r="L2" s="3"/>
      <c r="M2" s="3"/>
      <c r="N2" s="4"/>
    </row>
    <row r="3" ht="24.75" customHeight="1">
      <c r="A3" s="91" t="s">
        <v>22</v>
      </c>
      <c r="B3" s="91" t="s">
        <v>14</v>
      </c>
      <c r="C3" s="91" t="s">
        <v>24</v>
      </c>
      <c r="D3" s="91" t="s">
        <v>25</v>
      </c>
      <c r="E3" s="91" t="s">
        <v>26</v>
      </c>
      <c r="F3" s="91" t="s">
        <v>27</v>
      </c>
      <c r="G3" s="91" t="s">
        <v>28</v>
      </c>
      <c r="H3" s="91" t="s">
        <v>29</v>
      </c>
      <c r="I3" s="91" t="s">
        <v>31</v>
      </c>
      <c r="J3" s="91" t="s">
        <v>32</v>
      </c>
      <c r="K3" s="91" t="s">
        <v>33</v>
      </c>
      <c r="L3" s="91" t="s">
        <v>17</v>
      </c>
      <c r="M3" s="91" t="s">
        <v>35</v>
      </c>
      <c r="N3" s="91" t="s">
        <v>36</v>
      </c>
    </row>
    <row r="4" ht="19.5" customHeight="1">
      <c r="A4" s="18" t="s">
        <v>3507</v>
      </c>
      <c r="B4" s="3"/>
      <c r="C4" s="3"/>
      <c r="D4" s="3"/>
      <c r="E4" s="3"/>
      <c r="F4" s="3"/>
      <c r="G4" s="3"/>
      <c r="H4" s="3"/>
      <c r="I4" s="3"/>
      <c r="J4" s="3"/>
      <c r="K4" s="3"/>
      <c r="L4" s="3"/>
      <c r="M4" s="3"/>
      <c r="N4" s="4"/>
    </row>
    <row r="5" ht="60.0" customHeight="1">
      <c r="A5" s="92" t="s">
        <v>3520</v>
      </c>
      <c r="B5" s="25"/>
      <c r="C5" s="27" t="s">
        <v>10</v>
      </c>
      <c r="D5" s="25"/>
      <c r="E5" s="25"/>
      <c r="F5" s="25"/>
      <c r="G5" s="25"/>
      <c r="H5" s="25"/>
      <c r="I5" s="25"/>
      <c r="J5" s="93"/>
      <c r="K5" s="25"/>
      <c r="L5" s="76" t="s">
        <v>1420</v>
      </c>
      <c r="M5" s="25"/>
      <c r="N5" s="25"/>
    </row>
    <row r="6" ht="60.0" customHeight="1">
      <c r="A6" s="92" t="s">
        <v>3531</v>
      </c>
      <c r="B6" s="35"/>
      <c r="C6" s="27" t="s">
        <v>10</v>
      </c>
      <c r="D6" s="35"/>
      <c r="E6" s="35"/>
      <c r="F6" s="35"/>
      <c r="G6" s="35"/>
      <c r="H6" s="35"/>
      <c r="I6" s="35"/>
      <c r="J6" s="94"/>
      <c r="K6" s="35"/>
      <c r="L6" s="76" t="s">
        <v>1420</v>
      </c>
      <c r="M6" s="35"/>
      <c r="N6" s="35"/>
    </row>
    <row r="7" ht="60.0" customHeight="1">
      <c r="A7" s="92" t="s">
        <v>3539</v>
      </c>
      <c r="B7" s="25"/>
      <c r="C7" s="27" t="s">
        <v>10</v>
      </c>
      <c r="D7" s="25"/>
      <c r="E7" s="25"/>
      <c r="F7" s="25"/>
      <c r="G7" s="25"/>
      <c r="H7" s="25"/>
      <c r="I7" s="25"/>
      <c r="J7" s="93"/>
      <c r="K7" s="25"/>
      <c r="L7" s="76" t="s">
        <v>1420</v>
      </c>
      <c r="M7" s="25"/>
      <c r="N7" s="25"/>
    </row>
    <row r="8" ht="60.0" customHeight="1">
      <c r="A8" s="92" t="s">
        <v>3543</v>
      </c>
      <c r="B8" s="35"/>
      <c r="C8" s="27" t="s">
        <v>10</v>
      </c>
      <c r="D8" s="35"/>
      <c r="E8" s="35"/>
      <c r="F8" s="35"/>
      <c r="G8" s="35"/>
      <c r="H8" s="35"/>
      <c r="I8" s="35"/>
      <c r="J8" s="94"/>
      <c r="K8" s="35"/>
      <c r="L8" s="76" t="s">
        <v>1420</v>
      </c>
      <c r="M8" s="35"/>
      <c r="N8" s="35"/>
    </row>
    <row r="9" ht="60.0" customHeight="1">
      <c r="A9" s="92" t="s">
        <v>3549</v>
      </c>
      <c r="B9" s="25"/>
      <c r="C9" s="27" t="s">
        <v>10</v>
      </c>
      <c r="D9" s="25"/>
      <c r="E9" s="25"/>
      <c r="F9" s="25"/>
      <c r="G9" s="25"/>
      <c r="H9" s="25"/>
      <c r="I9" s="25"/>
      <c r="J9" s="93"/>
      <c r="K9" s="25"/>
      <c r="L9" s="76" t="s">
        <v>1420</v>
      </c>
      <c r="M9" s="25"/>
      <c r="N9" s="25"/>
    </row>
    <row r="10" ht="60.0" customHeight="1">
      <c r="A10" s="92" t="s">
        <v>3557</v>
      </c>
      <c r="B10" s="35"/>
      <c r="C10" s="27" t="s">
        <v>10</v>
      </c>
      <c r="D10" s="35"/>
      <c r="E10" s="35"/>
      <c r="F10" s="35"/>
      <c r="G10" s="35"/>
      <c r="H10" s="35"/>
      <c r="I10" s="35"/>
      <c r="J10" s="94"/>
      <c r="K10" s="35"/>
      <c r="L10" s="76" t="s">
        <v>1420</v>
      </c>
      <c r="M10" s="35"/>
      <c r="N10" s="35"/>
    </row>
    <row r="11" ht="19.5" customHeight="1">
      <c r="A11" s="61" t="s">
        <v>3565</v>
      </c>
      <c r="B11" s="3"/>
      <c r="C11" s="3"/>
      <c r="D11" s="3"/>
      <c r="E11" s="3"/>
      <c r="F11" s="3"/>
      <c r="G11" s="3"/>
      <c r="H11" s="3"/>
      <c r="I11" s="3"/>
      <c r="J11" s="3"/>
      <c r="K11" s="3"/>
      <c r="L11" s="3"/>
      <c r="M11" s="3"/>
      <c r="N11" s="4"/>
    </row>
    <row r="12" ht="60.0" customHeight="1">
      <c r="A12" s="92" t="s">
        <v>3576</v>
      </c>
      <c r="B12" s="25"/>
      <c r="C12" s="17" t="s">
        <v>12</v>
      </c>
      <c r="D12" s="25"/>
      <c r="E12" s="25"/>
      <c r="F12" s="25"/>
      <c r="G12" s="25"/>
      <c r="H12" s="25"/>
      <c r="I12" s="25"/>
      <c r="J12" s="93"/>
      <c r="K12" s="25"/>
      <c r="L12" s="76" t="s">
        <v>1420</v>
      </c>
      <c r="M12" s="25"/>
      <c r="N12" s="25"/>
    </row>
    <row r="13" ht="60.0" customHeight="1">
      <c r="A13" s="92" t="s">
        <v>3583</v>
      </c>
      <c r="B13" s="35"/>
      <c r="C13" s="17" t="s">
        <v>12</v>
      </c>
      <c r="D13" s="35"/>
      <c r="E13" s="35"/>
      <c r="F13" s="35"/>
      <c r="G13" s="35"/>
      <c r="H13" s="35"/>
      <c r="I13" s="35"/>
      <c r="J13" s="94"/>
      <c r="K13" s="35"/>
      <c r="L13" s="76" t="s">
        <v>1420</v>
      </c>
      <c r="M13" s="35"/>
      <c r="N13" s="35"/>
    </row>
    <row r="14" ht="60.0" customHeight="1">
      <c r="A14" s="92" t="s">
        <v>3587</v>
      </c>
      <c r="B14" s="25"/>
      <c r="C14" s="17" t="s">
        <v>12</v>
      </c>
      <c r="D14" s="25"/>
      <c r="E14" s="25"/>
      <c r="F14" s="25"/>
      <c r="G14" s="25"/>
      <c r="H14" s="25"/>
      <c r="I14" s="25"/>
      <c r="J14" s="93"/>
      <c r="K14" s="25"/>
      <c r="L14" s="76" t="s">
        <v>1420</v>
      </c>
      <c r="M14" s="25"/>
      <c r="N14" s="25"/>
    </row>
    <row r="15" ht="60.0" customHeight="1">
      <c r="A15" s="92" t="s">
        <v>3593</v>
      </c>
      <c r="B15" s="35"/>
      <c r="C15" s="17" t="s">
        <v>12</v>
      </c>
      <c r="D15" s="35"/>
      <c r="E15" s="35"/>
      <c r="F15" s="35"/>
      <c r="G15" s="35"/>
      <c r="H15" s="35"/>
      <c r="I15" s="35"/>
      <c r="J15" s="94"/>
      <c r="K15" s="35"/>
      <c r="L15" s="76" t="s">
        <v>1420</v>
      </c>
      <c r="M15" s="35"/>
      <c r="N15" s="35"/>
    </row>
    <row r="16" ht="60.0" customHeight="1">
      <c r="A16" s="92" t="s">
        <v>3597</v>
      </c>
      <c r="B16" s="25"/>
      <c r="C16" s="17" t="s">
        <v>12</v>
      </c>
      <c r="D16" s="25"/>
      <c r="E16" s="25"/>
      <c r="F16" s="25"/>
      <c r="G16" s="25"/>
      <c r="H16" s="25"/>
      <c r="I16" s="25"/>
      <c r="J16" s="93"/>
      <c r="K16" s="25"/>
      <c r="L16" s="76" t="s">
        <v>1420</v>
      </c>
      <c r="M16" s="25"/>
      <c r="N16" s="25"/>
    </row>
    <row r="17" ht="60.0" customHeight="1">
      <c r="A17" s="92" t="s">
        <v>3602</v>
      </c>
      <c r="B17" s="35"/>
      <c r="C17" s="17" t="s">
        <v>12</v>
      </c>
      <c r="D17" s="35"/>
      <c r="E17" s="35"/>
      <c r="F17" s="35"/>
      <c r="G17" s="35"/>
      <c r="H17" s="35"/>
      <c r="I17" s="35"/>
      <c r="J17" s="94"/>
      <c r="K17" s="35"/>
      <c r="L17" s="76" t="s">
        <v>1420</v>
      </c>
      <c r="M17" s="35"/>
      <c r="N17" s="35"/>
    </row>
    <row r="18" ht="60.0" customHeight="1">
      <c r="A18" s="92" t="s">
        <v>3607</v>
      </c>
      <c r="B18" s="25"/>
      <c r="C18" s="17" t="s">
        <v>12</v>
      </c>
      <c r="D18" s="25"/>
      <c r="E18" s="25"/>
      <c r="F18" s="25"/>
      <c r="G18" s="25"/>
      <c r="H18" s="25"/>
      <c r="I18" s="25"/>
      <c r="J18" s="93"/>
      <c r="K18" s="25"/>
      <c r="L18" s="76" t="s">
        <v>1420</v>
      </c>
      <c r="M18" s="25"/>
      <c r="N18" s="25"/>
    </row>
    <row r="19" ht="60.0" customHeight="1">
      <c r="A19" s="92" t="s">
        <v>3615</v>
      </c>
      <c r="B19" s="35"/>
      <c r="C19" s="17" t="s">
        <v>12</v>
      </c>
      <c r="D19" s="35"/>
      <c r="E19" s="35"/>
      <c r="F19" s="35"/>
      <c r="G19" s="35"/>
      <c r="H19" s="35"/>
      <c r="I19" s="35"/>
      <c r="J19" s="94"/>
      <c r="K19" s="35"/>
      <c r="L19" s="76" t="s">
        <v>1420</v>
      </c>
      <c r="M19" s="35"/>
      <c r="N19" s="35"/>
    </row>
    <row r="20" ht="19.5" customHeight="1">
      <c r="A20" s="69" t="s">
        <v>3619</v>
      </c>
      <c r="B20" s="3"/>
      <c r="C20" s="3"/>
      <c r="D20" s="3"/>
      <c r="E20" s="3"/>
      <c r="F20" s="3"/>
      <c r="G20" s="3"/>
      <c r="H20" s="3"/>
      <c r="I20" s="3"/>
      <c r="J20" s="3"/>
      <c r="K20" s="3"/>
      <c r="L20" s="3"/>
      <c r="M20" s="3"/>
      <c r="N20" s="4"/>
    </row>
    <row r="21" ht="60.0" customHeight="1">
      <c r="A21" s="92" t="s">
        <v>3624</v>
      </c>
      <c r="B21" s="25"/>
      <c r="C21" s="38" t="s">
        <v>13</v>
      </c>
      <c r="D21" s="25"/>
      <c r="E21" s="25"/>
      <c r="F21" s="25"/>
      <c r="G21" s="25"/>
      <c r="H21" s="25"/>
      <c r="I21" s="25"/>
      <c r="J21" s="93"/>
      <c r="K21" s="25"/>
      <c r="L21" s="76" t="s">
        <v>1420</v>
      </c>
      <c r="M21" s="25"/>
      <c r="N21" s="25"/>
    </row>
    <row r="22" ht="60.0" customHeight="1">
      <c r="A22" s="92" t="s">
        <v>3629</v>
      </c>
      <c r="B22" s="35"/>
      <c r="C22" s="38" t="s">
        <v>13</v>
      </c>
      <c r="D22" s="35"/>
      <c r="E22" s="35"/>
      <c r="F22" s="35"/>
      <c r="G22" s="35"/>
      <c r="H22" s="35"/>
      <c r="I22" s="35"/>
      <c r="J22" s="94"/>
      <c r="K22" s="35"/>
      <c r="L22" s="76" t="s">
        <v>1420</v>
      </c>
      <c r="M22" s="35"/>
      <c r="N22" s="35"/>
    </row>
    <row r="23" ht="60.0" customHeight="1">
      <c r="A23" s="92" t="s">
        <v>3634</v>
      </c>
      <c r="B23" s="25"/>
      <c r="C23" s="38" t="s">
        <v>13</v>
      </c>
      <c r="D23" s="25"/>
      <c r="E23" s="25"/>
      <c r="F23" s="25"/>
      <c r="G23" s="25"/>
      <c r="H23" s="25"/>
      <c r="I23" s="25"/>
      <c r="J23" s="93"/>
      <c r="K23" s="25"/>
      <c r="L23" s="76" t="s">
        <v>1420</v>
      </c>
      <c r="M23" s="25"/>
      <c r="N23" s="25"/>
    </row>
    <row r="24" ht="60.0" customHeight="1">
      <c r="A24" s="92" t="s">
        <v>3638</v>
      </c>
      <c r="B24" s="35"/>
      <c r="C24" s="38" t="s">
        <v>13</v>
      </c>
      <c r="D24" s="35"/>
      <c r="E24" s="35"/>
      <c r="F24" s="35"/>
      <c r="G24" s="35"/>
      <c r="H24" s="35"/>
      <c r="I24" s="35"/>
      <c r="J24" s="94"/>
      <c r="K24" s="35"/>
      <c r="L24" s="76" t="s">
        <v>1420</v>
      </c>
      <c r="M24" s="35"/>
      <c r="N24" s="35"/>
    </row>
    <row r="25" ht="60.0" customHeight="1">
      <c r="A25" s="92" t="s">
        <v>3643</v>
      </c>
      <c r="B25" s="25"/>
      <c r="C25" s="38" t="s">
        <v>13</v>
      </c>
      <c r="D25" s="25"/>
      <c r="E25" s="25"/>
      <c r="F25" s="25"/>
      <c r="G25" s="25"/>
      <c r="H25" s="25"/>
      <c r="I25" s="25"/>
      <c r="J25" s="93"/>
      <c r="K25" s="25"/>
      <c r="L25" s="76" t="s">
        <v>1420</v>
      </c>
      <c r="M25" s="25"/>
      <c r="N25" s="25"/>
    </row>
    <row r="26" ht="60.0" customHeight="1">
      <c r="A26" s="92" t="s">
        <v>3649</v>
      </c>
      <c r="B26" s="35"/>
      <c r="C26" s="38" t="s">
        <v>13</v>
      </c>
      <c r="D26" s="35"/>
      <c r="E26" s="35"/>
      <c r="F26" s="35"/>
      <c r="G26" s="35"/>
      <c r="H26" s="35"/>
      <c r="I26" s="35"/>
      <c r="J26" s="94"/>
      <c r="K26" s="35"/>
      <c r="L26" s="76" t="s">
        <v>1420</v>
      </c>
      <c r="M26" s="35"/>
      <c r="N26" s="35"/>
    </row>
    <row r="27" ht="25.5" customHeight="1">
      <c r="A27" s="49" t="s">
        <v>3658</v>
      </c>
      <c r="B27" s="50"/>
      <c r="C27" s="50"/>
      <c r="D27" s="50"/>
      <c r="E27" s="50"/>
      <c r="F27" s="50"/>
      <c r="G27" s="50"/>
      <c r="H27" s="50"/>
      <c r="I27" s="52"/>
      <c r="L27" s="95">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1:N11"/>
    <mergeCell ref="A20:N20"/>
    <mergeCell ref="A27:I27"/>
  </mergeCells>
  <printOptions/>
  <pageMargins bottom="1.0" footer="0.0" header="0.0" left="0.75" right="0.75" top="1.0"/>
  <pageSetup paperSize="9"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89" t="s">
        <v>3734</v>
      </c>
      <c r="B1" s="3"/>
      <c r="C1" s="3"/>
      <c r="D1" s="3"/>
      <c r="E1" s="3"/>
      <c r="F1" s="3"/>
      <c r="G1" s="3"/>
      <c r="H1" s="3"/>
      <c r="I1" s="3"/>
      <c r="J1" s="3"/>
      <c r="K1" s="3"/>
      <c r="L1" s="3"/>
      <c r="M1" s="3"/>
      <c r="N1" s="4"/>
    </row>
    <row r="2" ht="27.75" customHeight="1">
      <c r="A2" s="68" t="s">
        <v>3735</v>
      </c>
      <c r="B2" s="3"/>
      <c r="C2" s="3"/>
      <c r="D2" s="3"/>
      <c r="E2" s="3"/>
      <c r="F2" s="3"/>
      <c r="G2" s="3"/>
      <c r="H2" s="3"/>
      <c r="I2" s="3"/>
      <c r="J2" s="3"/>
      <c r="K2" s="3"/>
      <c r="L2" s="3"/>
      <c r="M2" s="3"/>
      <c r="N2" s="4"/>
    </row>
    <row r="3" ht="24.75" customHeight="1">
      <c r="A3" s="9" t="s">
        <v>22</v>
      </c>
      <c r="B3" s="9" t="s">
        <v>14</v>
      </c>
      <c r="C3" s="9" t="s">
        <v>24</v>
      </c>
      <c r="D3" s="9" t="s">
        <v>25</v>
      </c>
      <c r="E3" s="9" t="s">
        <v>26</v>
      </c>
      <c r="F3" s="9" t="s">
        <v>27</v>
      </c>
      <c r="G3" s="9" t="s">
        <v>28</v>
      </c>
      <c r="H3" s="9" t="s">
        <v>29</v>
      </c>
      <c r="I3" s="9" t="s">
        <v>31</v>
      </c>
      <c r="J3" s="9" t="s">
        <v>32</v>
      </c>
      <c r="K3" s="9" t="s">
        <v>33</v>
      </c>
      <c r="L3" s="9" t="s">
        <v>17</v>
      </c>
      <c r="M3" s="9" t="s">
        <v>35</v>
      </c>
      <c r="N3" s="9" t="s">
        <v>36</v>
      </c>
    </row>
    <row r="4" ht="19.5" customHeight="1">
      <c r="A4" s="18" t="s">
        <v>3507</v>
      </c>
      <c r="B4" s="3"/>
      <c r="C4" s="3"/>
      <c r="D4" s="3"/>
      <c r="E4" s="3"/>
      <c r="F4" s="3"/>
      <c r="G4" s="3"/>
      <c r="H4" s="3"/>
      <c r="I4" s="3"/>
      <c r="J4" s="3"/>
      <c r="K4" s="3"/>
      <c r="L4" s="3"/>
      <c r="M4" s="3"/>
      <c r="N4" s="4"/>
    </row>
    <row r="5" ht="60.0" customHeight="1">
      <c r="A5" s="96" t="s">
        <v>3736</v>
      </c>
      <c r="B5" s="25"/>
      <c r="C5" s="27" t="s">
        <v>10</v>
      </c>
      <c r="D5" s="25"/>
      <c r="E5" s="25"/>
      <c r="F5" s="25"/>
      <c r="G5" s="25"/>
      <c r="H5" s="25"/>
      <c r="I5" s="25"/>
      <c r="J5" s="93"/>
      <c r="K5" s="25"/>
      <c r="L5" s="76" t="s">
        <v>1420</v>
      </c>
      <c r="M5" s="25"/>
      <c r="N5" s="25"/>
    </row>
    <row r="6" ht="60.0" customHeight="1">
      <c r="A6" s="96" t="s">
        <v>3737</v>
      </c>
      <c r="B6" s="35"/>
      <c r="C6" s="27" t="s">
        <v>10</v>
      </c>
      <c r="D6" s="35"/>
      <c r="E6" s="35"/>
      <c r="F6" s="35"/>
      <c r="G6" s="35"/>
      <c r="H6" s="35"/>
      <c r="I6" s="35"/>
      <c r="J6" s="94"/>
      <c r="K6" s="35"/>
      <c r="L6" s="76" t="s">
        <v>1420</v>
      </c>
      <c r="M6" s="35"/>
      <c r="N6" s="35"/>
    </row>
    <row r="7" ht="60.0" customHeight="1">
      <c r="A7" s="96" t="s">
        <v>3738</v>
      </c>
      <c r="B7" s="25"/>
      <c r="C7" s="27" t="s">
        <v>10</v>
      </c>
      <c r="D7" s="25"/>
      <c r="E7" s="25"/>
      <c r="F7" s="25"/>
      <c r="G7" s="25"/>
      <c r="H7" s="25"/>
      <c r="I7" s="25"/>
      <c r="J7" s="93"/>
      <c r="K7" s="25"/>
      <c r="L7" s="76" t="s">
        <v>1420</v>
      </c>
      <c r="M7" s="25"/>
      <c r="N7" s="25"/>
    </row>
    <row r="8" ht="60.0" customHeight="1">
      <c r="A8" s="96" t="s">
        <v>3739</v>
      </c>
      <c r="B8" s="35"/>
      <c r="C8" s="27" t="s">
        <v>10</v>
      </c>
      <c r="D8" s="35"/>
      <c r="E8" s="35"/>
      <c r="F8" s="35"/>
      <c r="G8" s="35"/>
      <c r="H8" s="35"/>
      <c r="I8" s="35"/>
      <c r="J8" s="94"/>
      <c r="K8" s="35"/>
      <c r="L8" s="76" t="s">
        <v>1420</v>
      </c>
      <c r="M8" s="35"/>
      <c r="N8" s="35"/>
    </row>
    <row r="9" ht="60.0" customHeight="1">
      <c r="A9" s="96" t="s">
        <v>3740</v>
      </c>
      <c r="B9" s="25"/>
      <c r="C9" s="27" t="s">
        <v>10</v>
      </c>
      <c r="D9" s="25"/>
      <c r="E9" s="25"/>
      <c r="F9" s="25"/>
      <c r="G9" s="25"/>
      <c r="H9" s="25"/>
      <c r="I9" s="25"/>
      <c r="J9" s="93"/>
      <c r="K9" s="25"/>
      <c r="L9" s="76" t="s">
        <v>1420</v>
      </c>
      <c r="M9" s="25"/>
      <c r="N9" s="25"/>
    </row>
    <row r="10" ht="60.0" customHeight="1">
      <c r="A10" s="96" t="s">
        <v>3741</v>
      </c>
      <c r="B10" s="35"/>
      <c r="C10" s="27" t="s">
        <v>10</v>
      </c>
      <c r="D10" s="35"/>
      <c r="E10" s="35"/>
      <c r="F10" s="35"/>
      <c r="G10" s="35"/>
      <c r="H10" s="35"/>
      <c r="I10" s="35"/>
      <c r="J10" s="94"/>
      <c r="K10" s="35"/>
      <c r="L10" s="76" t="s">
        <v>1420</v>
      </c>
      <c r="M10" s="35"/>
      <c r="N10" s="35"/>
    </row>
    <row r="11" ht="19.5" customHeight="1">
      <c r="A11" s="61" t="s">
        <v>3565</v>
      </c>
      <c r="B11" s="3"/>
      <c r="C11" s="3"/>
      <c r="D11" s="3"/>
      <c r="E11" s="3"/>
      <c r="F11" s="3"/>
      <c r="G11" s="3"/>
      <c r="H11" s="3"/>
      <c r="I11" s="3"/>
      <c r="J11" s="3"/>
      <c r="K11" s="3"/>
      <c r="L11" s="3"/>
      <c r="M11" s="3"/>
      <c r="N11" s="4"/>
    </row>
    <row r="12" ht="60.0" customHeight="1">
      <c r="A12" s="96" t="s">
        <v>3742</v>
      </c>
      <c r="B12" s="25"/>
      <c r="C12" s="17" t="s">
        <v>12</v>
      </c>
      <c r="D12" s="25"/>
      <c r="E12" s="25"/>
      <c r="F12" s="25"/>
      <c r="G12" s="25"/>
      <c r="H12" s="25"/>
      <c r="I12" s="25"/>
      <c r="J12" s="93"/>
      <c r="K12" s="25"/>
      <c r="L12" s="76" t="s">
        <v>1420</v>
      </c>
      <c r="M12" s="25"/>
      <c r="N12" s="25"/>
    </row>
    <row r="13" ht="60.0" customHeight="1">
      <c r="A13" s="96" t="s">
        <v>3743</v>
      </c>
      <c r="B13" s="35"/>
      <c r="C13" s="17" t="s">
        <v>12</v>
      </c>
      <c r="D13" s="35"/>
      <c r="E13" s="35"/>
      <c r="F13" s="35"/>
      <c r="G13" s="35"/>
      <c r="H13" s="35"/>
      <c r="I13" s="35"/>
      <c r="J13" s="94"/>
      <c r="K13" s="35"/>
      <c r="L13" s="76" t="s">
        <v>1420</v>
      </c>
      <c r="M13" s="35"/>
      <c r="N13" s="35"/>
    </row>
    <row r="14" ht="60.0" customHeight="1">
      <c r="A14" s="96" t="s">
        <v>3744</v>
      </c>
      <c r="B14" s="25"/>
      <c r="C14" s="17" t="s">
        <v>12</v>
      </c>
      <c r="D14" s="25"/>
      <c r="E14" s="25"/>
      <c r="F14" s="25"/>
      <c r="G14" s="25"/>
      <c r="H14" s="25"/>
      <c r="I14" s="25"/>
      <c r="J14" s="93"/>
      <c r="K14" s="25"/>
      <c r="L14" s="76" t="s">
        <v>1420</v>
      </c>
      <c r="M14" s="25"/>
      <c r="N14" s="25"/>
    </row>
    <row r="15" ht="60.0" customHeight="1">
      <c r="A15" s="96" t="s">
        <v>3745</v>
      </c>
      <c r="B15" s="35"/>
      <c r="C15" s="17" t="s">
        <v>12</v>
      </c>
      <c r="D15" s="35"/>
      <c r="E15" s="35"/>
      <c r="F15" s="35"/>
      <c r="G15" s="35"/>
      <c r="H15" s="35"/>
      <c r="I15" s="35"/>
      <c r="J15" s="94"/>
      <c r="K15" s="35"/>
      <c r="L15" s="76" t="s">
        <v>1420</v>
      </c>
      <c r="M15" s="35"/>
      <c r="N15" s="35"/>
    </row>
    <row r="16" ht="60.0" customHeight="1">
      <c r="A16" s="96" t="s">
        <v>3746</v>
      </c>
      <c r="B16" s="25"/>
      <c r="C16" s="17" t="s">
        <v>12</v>
      </c>
      <c r="D16" s="25"/>
      <c r="E16" s="25"/>
      <c r="F16" s="25"/>
      <c r="G16" s="25"/>
      <c r="H16" s="25"/>
      <c r="I16" s="25"/>
      <c r="J16" s="93"/>
      <c r="K16" s="25"/>
      <c r="L16" s="76" t="s">
        <v>1420</v>
      </c>
      <c r="M16" s="25"/>
      <c r="N16" s="25"/>
    </row>
    <row r="17" ht="60.0" customHeight="1">
      <c r="A17" s="96" t="s">
        <v>3747</v>
      </c>
      <c r="B17" s="35"/>
      <c r="C17" s="17" t="s">
        <v>12</v>
      </c>
      <c r="D17" s="35"/>
      <c r="E17" s="35"/>
      <c r="F17" s="35"/>
      <c r="G17" s="35"/>
      <c r="H17" s="35"/>
      <c r="I17" s="35"/>
      <c r="J17" s="94"/>
      <c r="K17" s="35"/>
      <c r="L17" s="76" t="s">
        <v>1420</v>
      </c>
      <c r="M17" s="35"/>
      <c r="N17" s="35"/>
    </row>
    <row r="18" ht="60.0" customHeight="1">
      <c r="A18" s="96" t="s">
        <v>3748</v>
      </c>
      <c r="B18" s="25"/>
      <c r="C18" s="17" t="s">
        <v>12</v>
      </c>
      <c r="D18" s="25"/>
      <c r="E18" s="25"/>
      <c r="F18" s="25"/>
      <c r="G18" s="25"/>
      <c r="H18" s="25"/>
      <c r="I18" s="25"/>
      <c r="J18" s="93"/>
      <c r="K18" s="25"/>
      <c r="L18" s="76" t="s">
        <v>1420</v>
      </c>
      <c r="M18" s="25"/>
      <c r="N18" s="25"/>
    </row>
    <row r="19" ht="60.0" customHeight="1">
      <c r="A19" s="96" t="s">
        <v>3749</v>
      </c>
      <c r="B19" s="35"/>
      <c r="C19" s="17" t="s">
        <v>12</v>
      </c>
      <c r="D19" s="35"/>
      <c r="E19" s="35"/>
      <c r="F19" s="35"/>
      <c r="G19" s="35"/>
      <c r="H19" s="35"/>
      <c r="I19" s="35"/>
      <c r="J19" s="94"/>
      <c r="K19" s="35"/>
      <c r="L19" s="76" t="s">
        <v>1420</v>
      </c>
      <c r="M19" s="35"/>
      <c r="N19" s="35"/>
    </row>
    <row r="20" ht="19.5" customHeight="1">
      <c r="A20" s="69" t="s">
        <v>3619</v>
      </c>
      <c r="B20" s="3"/>
      <c r="C20" s="3"/>
      <c r="D20" s="3"/>
      <c r="E20" s="3"/>
      <c r="F20" s="3"/>
      <c r="G20" s="3"/>
      <c r="H20" s="3"/>
      <c r="I20" s="3"/>
      <c r="J20" s="3"/>
      <c r="K20" s="3"/>
      <c r="L20" s="3"/>
      <c r="M20" s="3"/>
      <c r="N20" s="4"/>
    </row>
    <row r="21" ht="60.0" customHeight="1">
      <c r="A21" s="96" t="s">
        <v>3750</v>
      </c>
      <c r="B21" s="25"/>
      <c r="C21" s="38" t="s">
        <v>13</v>
      </c>
      <c r="D21" s="25"/>
      <c r="E21" s="25"/>
      <c r="F21" s="25"/>
      <c r="G21" s="25"/>
      <c r="H21" s="25"/>
      <c r="I21" s="25"/>
      <c r="J21" s="93"/>
      <c r="K21" s="25"/>
      <c r="L21" s="76" t="s">
        <v>1420</v>
      </c>
      <c r="M21" s="25"/>
      <c r="N21" s="25"/>
    </row>
    <row r="22" ht="60.0" customHeight="1">
      <c r="A22" s="96" t="s">
        <v>3752</v>
      </c>
      <c r="B22" s="35"/>
      <c r="C22" s="38" t="s">
        <v>13</v>
      </c>
      <c r="D22" s="35"/>
      <c r="E22" s="35"/>
      <c r="F22" s="35"/>
      <c r="G22" s="35"/>
      <c r="H22" s="35"/>
      <c r="I22" s="35"/>
      <c r="J22" s="94"/>
      <c r="K22" s="35"/>
      <c r="L22" s="76" t="s">
        <v>1420</v>
      </c>
      <c r="M22" s="35"/>
      <c r="N22" s="35"/>
    </row>
    <row r="23" ht="60.0" customHeight="1">
      <c r="A23" s="96" t="s">
        <v>3754</v>
      </c>
      <c r="B23" s="25"/>
      <c r="C23" s="38" t="s">
        <v>13</v>
      </c>
      <c r="D23" s="25"/>
      <c r="E23" s="25"/>
      <c r="F23" s="25"/>
      <c r="G23" s="25"/>
      <c r="H23" s="25"/>
      <c r="I23" s="25"/>
      <c r="J23" s="93"/>
      <c r="K23" s="25"/>
      <c r="L23" s="76" t="s">
        <v>1420</v>
      </c>
      <c r="M23" s="25"/>
      <c r="N23" s="25"/>
    </row>
    <row r="24" ht="60.0" customHeight="1">
      <c r="A24" s="96" t="s">
        <v>3755</v>
      </c>
      <c r="B24" s="35"/>
      <c r="C24" s="38" t="s">
        <v>13</v>
      </c>
      <c r="D24" s="35"/>
      <c r="E24" s="35"/>
      <c r="F24" s="35"/>
      <c r="G24" s="35"/>
      <c r="H24" s="35"/>
      <c r="I24" s="35"/>
      <c r="J24" s="94"/>
      <c r="K24" s="35"/>
      <c r="L24" s="76" t="s">
        <v>1420</v>
      </c>
      <c r="M24" s="35"/>
      <c r="N24" s="35"/>
    </row>
    <row r="25" ht="60.0" customHeight="1">
      <c r="A25" s="96" t="s">
        <v>3756</v>
      </c>
      <c r="B25" s="25"/>
      <c r="C25" s="38" t="s">
        <v>13</v>
      </c>
      <c r="D25" s="25"/>
      <c r="E25" s="25"/>
      <c r="F25" s="25"/>
      <c r="G25" s="25"/>
      <c r="H25" s="25"/>
      <c r="I25" s="25"/>
      <c r="J25" s="93"/>
      <c r="K25" s="25"/>
      <c r="L25" s="76" t="s">
        <v>1420</v>
      </c>
      <c r="M25" s="25"/>
      <c r="N25" s="25"/>
    </row>
    <row r="26" ht="60.0" customHeight="1">
      <c r="A26" s="96" t="s">
        <v>3757</v>
      </c>
      <c r="B26" s="35"/>
      <c r="C26" s="38" t="s">
        <v>13</v>
      </c>
      <c r="D26" s="35"/>
      <c r="E26" s="35"/>
      <c r="F26" s="35"/>
      <c r="G26" s="35"/>
      <c r="H26" s="35"/>
      <c r="I26" s="35"/>
      <c r="J26" s="94"/>
      <c r="K26" s="35"/>
      <c r="L26" s="76" t="s">
        <v>1420</v>
      </c>
      <c r="M26" s="35"/>
      <c r="N26" s="35"/>
    </row>
    <row r="27" ht="25.5" customHeight="1">
      <c r="A27" s="49" t="s">
        <v>3759</v>
      </c>
      <c r="B27" s="50"/>
      <c r="C27" s="50"/>
      <c r="D27" s="50"/>
      <c r="E27" s="50"/>
      <c r="F27" s="50"/>
      <c r="G27" s="50"/>
      <c r="H27" s="50"/>
      <c r="I27" s="52"/>
      <c r="L27" s="98">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1:N11"/>
    <mergeCell ref="A20:N20"/>
    <mergeCell ref="A27:I27"/>
  </mergeCells>
  <printOptions/>
  <pageMargins bottom="1.0" footer="0.0" header="0.0" left="0.75" right="0.75" top="1.0"/>
  <pageSetup paperSize="9"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89" t="s">
        <v>3751</v>
      </c>
      <c r="B1" s="3"/>
      <c r="C1" s="3"/>
      <c r="D1" s="3"/>
      <c r="E1" s="3"/>
      <c r="F1" s="3"/>
      <c r="G1" s="3"/>
      <c r="H1" s="3"/>
      <c r="I1" s="3"/>
      <c r="J1" s="3"/>
      <c r="K1" s="3"/>
      <c r="L1" s="3"/>
      <c r="M1" s="3"/>
      <c r="N1" s="4"/>
    </row>
    <row r="2" ht="27.75" customHeight="1">
      <c r="A2" s="80" t="s">
        <v>3753</v>
      </c>
      <c r="B2" s="3"/>
      <c r="C2" s="3"/>
      <c r="D2" s="3"/>
      <c r="E2" s="3"/>
      <c r="F2" s="3"/>
      <c r="G2" s="3"/>
      <c r="H2" s="3"/>
      <c r="I2" s="3"/>
      <c r="J2" s="3"/>
      <c r="K2" s="3"/>
      <c r="L2" s="3"/>
      <c r="M2" s="3"/>
      <c r="N2" s="4"/>
    </row>
    <row r="3" ht="24.75" customHeight="1">
      <c r="A3" s="97" t="s">
        <v>22</v>
      </c>
      <c r="B3" s="97" t="s">
        <v>14</v>
      </c>
      <c r="C3" s="97" t="s">
        <v>24</v>
      </c>
      <c r="D3" s="97" t="s">
        <v>25</v>
      </c>
      <c r="E3" s="97" t="s">
        <v>26</v>
      </c>
      <c r="F3" s="97" t="s">
        <v>27</v>
      </c>
      <c r="G3" s="97" t="s">
        <v>28</v>
      </c>
      <c r="H3" s="97" t="s">
        <v>29</v>
      </c>
      <c r="I3" s="97" t="s">
        <v>31</v>
      </c>
      <c r="J3" s="97" t="s">
        <v>32</v>
      </c>
      <c r="K3" s="97" t="s">
        <v>33</v>
      </c>
      <c r="L3" s="97" t="s">
        <v>17</v>
      </c>
      <c r="M3" s="97" t="s">
        <v>35</v>
      </c>
      <c r="N3" s="97" t="s">
        <v>36</v>
      </c>
    </row>
    <row r="4" ht="19.5" customHeight="1">
      <c r="A4" s="18" t="s">
        <v>3507</v>
      </c>
      <c r="B4" s="3"/>
      <c r="C4" s="3"/>
      <c r="D4" s="3"/>
      <c r="E4" s="3"/>
      <c r="F4" s="3"/>
      <c r="G4" s="3"/>
      <c r="H4" s="3"/>
      <c r="I4" s="3"/>
      <c r="J4" s="3"/>
      <c r="K4" s="3"/>
      <c r="L4" s="3"/>
      <c r="M4" s="3"/>
      <c r="N4" s="4"/>
    </row>
    <row r="5" ht="60.0" customHeight="1">
      <c r="A5" s="81" t="s">
        <v>3758</v>
      </c>
      <c r="B5" s="25"/>
      <c r="C5" s="27" t="s">
        <v>10</v>
      </c>
      <c r="D5" s="25"/>
      <c r="E5" s="25"/>
      <c r="F5" s="25"/>
      <c r="G5" s="25"/>
      <c r="H5" s="25"/>
      <c r="I5" s="25"/>
      <c r="J5" s="93"/>
      <c r="K5" s="25"/>
      <c r="L5" s="76" t="s">
        <v>1420</v>
      </c>
      <c r="M5" s="25"/>
      <c r="N5" s="25"/>
    </row>
    <row r="6" ht="60.0" customHeight="1">
      <c r="A6" s="81" t="s">
        <v>3760</v>
      </c>
      <c r="B6" s="35"/>
      <c r="C6" s="27" t="s">
        <v>10</v>
      </c>
      <c r="D6" s="35"/>
      <c r="E6" s="35"/>
      <c r="F6" s="35"/>
      <c r="G6" s="35"/>
      <c r="H6" s="35"/>
      <c r="I6" s="35"/>
      <c r="J6" s="94"/>
      <c r="K6" s="35"/>
      <c r="L6" s="76" t="s">
        <v>1420</v>
      </c>
      <c r="M6" s="35"/>
      <c r="N6" s="35"/>
    </row>
    <row r="7" ht="60.0" customHeight="1">
      <c r="A7" s="81" t="s">
        <v>3761</v>
      </c>
      <c r="B7" s="25"/>
      <c r="C7" s="27" t="s">
        <v>10</v>
      </c>
      <c r="D7" s="25"/>
      <c r="E7" s="25"/>
      <c r="F7" s="25"/>
      <c r="G7" s="25"/>
      <c r="H7" s="25"/>
      <c r="I7" s="25"/>
      <c r="J7" s="93"/>
      <c r="K7" s="25"/>
      <c r="L7" s="76" t="s">
        <v>1420</v>
      </c>
      <c r="M7" s="25"/>
      <c r="N7" s="25"/>
    </row>
    <row r="8" ht="60.0" customHeight="1">
      <c r="A8" s="81" t="s">
        <v>3762</v>
      </c>
      <c r="B8" s="35"/>
      <c r="C8" s="27" t="s">
        <v>10</v>
      </c>
      <c r="D8" s="35"/>
      <c r="E8" s="35"/>
      <c r="F8" s="35"/>
      <c r="G8" s="35"/>
      <c r="H8" s="35"/>
      <c r="I8" s="35"/>
      <c r="J8" s="94"/>
      <c r="K8" s="35"/>
      <c r="L8" s="76" t="s">
        <v>1420</v>
      </c>
      <c r="M8" s="35"/>
      <c r="N8" s="35"/>
    </row>
    <row r="9" ht="60.0" customHeight="1">
      <c r="A9" s="81" t="s">
        <v>3763</v>
      </c>
      <c r="B9" s="25"/>
      <c r="C9" s="27" t="s">
        <v>10</v>
      </c>
      <c r="D9" s="25"/>
      <c r="E9" s="25"/>
      <c r="F9" s="25"/>
      <c r="G9" s="25"/>
      <c r="H9" s="25"/>
      <c r="I9" s="25"/>
      <c r="J9" s="93"/>
      <c r="K9" s="25"/>
      <c r="L9" s="76" t="s">
        <v>1420</v>
      </c>
      <c r="M9" s="25"/>
      <c r="N9" s="25"/>
    </row>
    <row r="10" ht="60.0" customHeight="1">
      <c r="A10" s="81" t="s">
        <v>3764</v>
      </c>
      <c r="B10" s="35"/>
      <c r="C10" s="27" t="s">
        <v>10</v>
      </c>
      <c r="D10" s="35"/>
      <c r="E10" s="35"/>
      <c r="F10" s="35"/>
      <c r="G10" s="35"/>
      <c r="H10" s="35"/>
      <c r="I10" s="35"/>
      <c r="J10" s="94"/>
      <c r="K10" s="35"/>
      <c r="L10" s="76" t="s">
        <v>1420</v>
      </c>
      <c r="M10" s="35"/>
      <c r="N10" s="35"/>
    </row>
    <row r="11" ht="19.5" customHeight="1">
      <c r="A11" s="61" t="s">
        <v>3565</v>
      </c>
      <c r="B11" s="3"/>
      <c r="C11" s="3"/>
      <c r="D11" s="3"/>
      <c r="E11" s="3"/>
      <c r="F11" s="3"/>
      <c r="G11" s="3"/>
      <c r="H11" s="3"/>
      <c r="I11" s="3"/>
      <c r="J11" s="3"/>
      <c r="K11" s="3"/>
      <c r="L11" s="3"/>
      <c r="M11" s="3"/>
      <c r="N11" s="4"/>
    </row>
    <row r="12" ht="60.0" customHeight="1">
      <c r="A12" s="81" t="s">
        <v>3765</v>
      </c>
      <c r="B12" s="25"/>
      <c r="C12" s="17" t="s">
        <v>12</v>
      </c>
      <c r="D12" s="25"/>
      <c r="E12" s="25"/>
      <c r="F12" s="25"/>
      <c r="G12" s="25"/>
      <c r="H12" s="25"/>
      <c r="I12" s="25"/>
      <c r="J12" s="93"/>
      <c r="K12" s="25"/>
      <c r="L12" s="76" t="s">
        <v>1420</v>
      </c>
      <c r="M12" s="25"/>
      <c r="N12" s="25"/>
    </row>
    <row r="13" ht="60.0" customHeight="1">
      <c r="A13" s="81" t="s">
        <v>3766</v>
      </c>
      <c r="B13" s="35"/>
      <c r="C13" s="17" t="s">
        <v>12</v>
      </c>
      <c r="D13" s="35"/>
      <c r="E13" s="35"/>
      <c r="F13" s="35"/>
      <c r="G13" s="35"/>
      <c r="H13" s="35"/>
      <c r="I13" s="35"/>
      <c r="J13" s="94"/>
      <c r="K13" s="35"/>
      <c r="L13" s="76" t="s">
        <v>1420</v>
      </c>
      <c r="M13" s="35"/>
      <c r="N13" s="35"/>
    </row>
    <row r="14" ht="60.0" customHeight="1">
      <c r="A14" s="81" t="s">
        <v>3767</v>
      </c>
      <c r="B14" s="25"/>
      <c r="C14" s="17" t="s">
        <v>12</v>
      </c>
      <c r="D14" s="25"/>
      <c r="E14" s="25"/>
      <c r="F14" s="25"/>
      <c r="G14" s="25"/>
      <c r="H14" s="25"/>
      <c r="I14" s="25"/>
      <c r="J14" s="93"/>
      <c r="K14" s="25"/>
      <c r="L14" s="76" t="s">
        <v>1420</v>
      </c>
      <c r="M14" s="25"/>
      <c r="N14" s="25"/>
    </row>
    <row r="15" ht="60.0" customHeight="1">
      <c r="A15" s="81" t="s">
        <v>3768</v>
      </c>
      <c r="B15" s="35"/>
      <c r="C15" s="17" t="s">
        <v>12</v>
      </c>
      <c r="D15" s="35"/>
      <c r="E15" s="35"/>
      <c r="F15" s="35"/>
      <c r="G15" s="35"/>
      <c r="H15" s="35"/>
      <c r="I15" s="35"/>
      <c r="J15" s="94"/>
      <c r="K15" s="35"/>
      <c r="L15" s="76" t="s">
        <v>1420</v>
      </c>
      <c r="M15" s="35"/>
      <c r="N15" s="35"/>
    </row>
    <row r="16" ht="60.0" customHeight="1">
      <c r="A16" s="81" t="s">
        <v>3769</v>
      </c>
      <c r="B16" s="25"/>
      <c r="C16" s="17" t="s">
        <v>12</v>
      </c>
      <c r="D16" s="25"/>
      <c r="E16" s="25"/>
      <c r="F16" s="25"/>
      <c r="G16" s="25"/>
      <c r="H16" s="25"/>
      <c r="I16" s="25"/>
      <c r="J16" s="93"/>
      <c r="K16" s="25"/>
      <c r="L16" s="76" t="s">
        <v>1420</v>
      </c>
      <c r="M16" s="25"/>
      <c r="N16" s="25"/>
    </row>
    <row r="17" ht="60.0" customHeight="1">
      <c r="A17" s="81" t="s">
        <v>3770</v>
      </c>
      <c r="B17" s="35"/>
      <c r="C17" s="17" t="s">
        <v>12</v>
      </c>
      <c r="D17" s="35"/>
      <c r="E17" s="35"/>
      <c r="F17" s="35"/>
      <c r="G17" s="35"/>
      <c r="H17" s="35"/>
      <c r="I17" s="35"/>
      <c r="J17" s="94"/>
      <c r="K17" s="35"/>
      <c r="L17" s="76" t="s">
        <v>1420</v>
      </c>
      <c r="M17" s="35"/>
      <c r="N17" s="35"/>
    </row>
    <row r="18" ht="60.0" customHeight="1">
      <c r="A18" s="81" t="s">
        <v>3771</v>
      </c>
      <c r="B18" s="25"/>
      <c r="C18" s="17" t="s">
        <v>12</v>
      </c>
      <c r="D18" s="25"/>
      <c r="E18" s="25"/>
      <c r="F18" s="25"/>
      <c r="G18" s="25"/>
      <c r="H18" s="25"/>
      <c r="I18" s="25"/>
      <c r="J18" s="93"/>
      <c r="K18" s="25"/>
      <c r="L18" s="76" t="s">
        <v>1420</v>
      </c>
      <c r="M18" s="25"/>
      <c r="N18" s="25"/>
    </row>
    <row r="19" ht="60.0" customHeight="1">
      <c r="A19" s="81" t="s">
        <v>3772</v>
      </c>
      <c r="B19" s="35"/>
      <c r="C19" s="17" t="s">
        <v>12</v>
      </c>
      <c r="D19" s="35"/>
      <c r="E19" s="35"/>
      <c r="F19" s="35"/>
      <c r="G19" s="35"/>
      <c r="H19" s="35"/>
      <c r="I19" s="35"/>
      <c r="J19" s="94"/>
      <c r="K19" s="35"/>
      <c r="L19" s="76" t="s">
        <v>1420</v>
      </c>
      <c r="M19" s="35"/>
      <c r="N19" s="35"/>
    </row>
    <row r="20" ht="19.5" customHeight="1">
      <c r="A20" s="69" t="s">
        <v>3619</v>
      </c>
      <c r="B20" s="3"/>
      <c r="C20" s="3"/>
      <c r="D20" s="3"/>
      <c r="E20" s="3"/>
      <c r="F20" s="3"/>
      <c r="G20" s="3"/>
      <c r="H20" s="3"/>
      <c r="I20" s="3"/>
      <c r="J20" s="3"/>
      <c r="K20" s="3"/>
      <c r="L20" s="3"/>
      <c r="M20" s="3"/>
      <c r="N20" s="4"/>
    </row>
    <row r="21" ht="60.0" customHeight="1">
      <c r="A21" s="81" t="s">
        <v>3773</v>
      </c>
      <c r="B21" s="25"/>
      <c r="C21" s="38" t="s">
        <v>13</v>
      </c>
      <c r="D21" s="25"/>
      <c r="E21" s="25"/>
      <c r="F21" s="25"/>
      <c r="G21" s="25"/>
      <c r="H21" s="25"/>
      <c r="I21" s="25"/>
      <c r="J21" s="93"/>
      <c r="K21" s="25"/>
      <c r="L21" s="76" t="s">
        <v>1420</v>
      </c>
      <c r="M21" s="25"/>
      <c r="N21" s="25"/>
    </row>
    <row r="22" ht="60.0" customHeight="1">
      <c r="A22" s="81" t="s">
        <v>3774</v>
      </c>
      <c r="B22" s="35"/>
      <c r="C22" s="38" t="s">
        <v>13</v>
      </c>
      <c r="D22" s="35"/>
      <c r="E22" s="35"/>
      <c r="F22" s="35"/>
      <c r="G22" s="35"/>
      <c r="H22" s="35"/>
      <c r="I22" s="35"/>
      <c r="J22" s="94"/>
      <c r="K22" s="35"/>
      <c r="L22" s="76" t="s">
        <v>1420</v>
      </c>
      <c r="M22" s="35"/>
      <c r="N22" s="35"/>
    </row>
    <row r="23" ht="60.0" customHeight="1">
      <c r="A23" s="81" t="s">
        <v>3775</v>
      </c>
      <c r="B23" s="25"/>
      <c r="C23" s="38" t="s">
        <v>13</v>
      </c>
      <c r="D23" s="25"/>
      <c r="E23" s="25"/>
      <c r="F23" s="25"/>
      <c r="G23" s="25"/>
      <c r="H23" s="25"/>
      <c r="I23" s="25"/>
      <c r="J23" s="93"/>
      <c r="K23" s="25"/>
      <c r="L23" s="76" t="s">
        <v>1420</v>
      </c>
      <c r="M23" s="25"/>
      <c r="N23" s="25"/>
    </row>
    <row r="24" ht="60.0" customHeight="1">
      <c r="A24" s="81" t="s">
        <v>3776</v>
      </c>
      <c r="B24" s="35"/>
      <c r="C24" s="38" t="s">
        <v>13</v>
      </c>
      <c r="D24" s="35"/>
      <c r="E24" s="35"/>
      <c r="F24" s="35"/>
      <c r="G24" s="35"/>
      <c r="H24" s="35"/>
      <c r="I24" s="35"/>
      <c r="J24" s="94"/>
      <c r="K24" s="35"/>
      <c r="L24" s="76" t="s">
        <v>1420</v>
      </c>
      <c r="M24" s="35"/>
      <c r="N24" s="35"/>
    </row>
    <row r="25" ht="60.0" customHeight="1">
      <c r="A25" s="81" t="s">
        <v>3777</v>
      </c>
      <c r="B25" s="25"/>
      <c r="C25" s="38" t="s">
        <v>13</v>
      </c>
      <c r="D25" s="25"/>
      <c r="E25" s="25"/>
      <c r="F25" s="25"/>
      <c r="G25" s="25"/>
      <c r="H25" s="25"/>
      <c r="I25" s="25"/>
      <c r="J25" s="93"/>
      <c r="K25" s="25"/>
      <c r="L25" s="76" t="s">
        <v>1420</v>
      </c>
      <c r="M25" s="25"/>
      <c r="N25" s="25"/>
    </row>
    <row r="26" ht="60.0" customHeight="1">
      <c r="A26" s="81" t="s">
        <v>3778</v>
      </c>
      <c r="B26" s="35"/>
      <c r="C26" s="38" t="s">
        <v>13</v>
      </c>
      <c r="D26" s="35"/>
      <c r="E26" s="35"/>
      <c r="F26" s="35"/>
      <c r="G26" s="35"/>
      <c r="H26" s="35"/>
      <c r="I26" s="35"/>
      <c r="J26" s="94"/>
      <c r="K26" s="35"/>
      <c r="L26" s="76" t="s">
        <v>1420</v>
      </c>
      <c r="M26" s="35"/>
      <c r="N26" s="35"/>
    </row>
    <row r="27" ht="25.5" customHeight="1">
      <c r="A27" s="49" t="s">
        <v>3779</v>
      </c>
      <c r="B27" s="50"/>
      <c r="C27" s="50"/>
      <c r="D27" s="50"/>
      <c r="E27" s="50"/>
      <c r="F27" s="50"/>
      <c r="G27" s="50"/>
      <c r="H27" s="50"/>
      <c r="I27" s="52"/>
      <c r="L27" s="82">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1:N11"/>
    <mergeCell ref="A20:N20"/>
    <mergeCell ref="A27:I27"/>
  </mergeCells>
  <printOptions/>
  <pageMargins bottom="1.0" footer="0.0" header="0.0" left="0.75" right="0.75" top="1.0"/>
  <pageSetup paperSize="9" orientation="portrait"/>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89" t="s">
        <v>3477</v>
      </c>
      <c r="B1" s="3"/>
      <c r="C1" s="3"/>
      <c r="D1" s="3"/>
      <c r="E1" s="3"/>
      <c r="F1" s="3"/>
      <c r="G1" s="3"/>
      <c r="H1" s="3"/>
      <c r="I1" s="3"/>
      <c r="J1" s="3"/>
      <c r="K1" s="3"/>
      <c r="L1" s="3"/>
      <c r="M1" s="3"/>
      <c r="N1" s="4"/>
    </row>
    <row r="2" ht="27.75" customHeight="1">
      <c r="A2" s="90" t="s">
        <v>3485</v>
      </c>
      <c r="B2" s="3"/>
      <c r="C2" s="3"/>
      <c r="D2" s="3"/>
      <c r="E2" s="3"/>
      <c r="F2" s="3"/>
      <c r="G2" s="3"/>
      <c r="H2" s="3"/>
      <c r="I2" s="3"/>
      <c r="J2" s="3"/>
      <c r="K2" s="3"/>
      <c r="L2" s="3"/>
      <c r="M2" s="3"/>
      <c r="N2" s="4"/>
    </row>
    <row r="3" ht="24.75" customHeight="1">
      <c r="A3" s="91" t="s">
        <v>22</v>
      </c>
      <c r="B3" s="91" t="s">
        <v>14</v>
      </c>
      <c r="C3" s="91" t="s">
        <v>24</v>
      </c>
      <c r="D3" s="91" t="s">
        <v>25</v>
      </c>
      <c r="E3" s="91" t="s">
        <v>26</v>
      </c>
      <c r="F3" s="91" t="s">
        <v>27</v>
      </c>
      <c r="G3" s="91" t="s">
        <v>28</v>
      </c>
      <c r="H3" s="91" t="s">
        <v>29</v>
      </c>
      <c r="I3" s="91" t="s">
        <v>31</v>
      </c>
      <c r="J3" s="91" t="s">
        <v>32</v>
      </c>
      <c r="K3" s="91" t="s">
        <v>33</v>
      </c>
      <c r="L3" s="91" t="s">
        <v>17</v>
      </c>
      <c r="M3" s="91" t="s">
        <v>35</v>
      </c>
      <c r="N3" s="91" t="s">
        <v>36</v>
      </c>
    </row>
    <row r="4" ht="19.5" customHeight="1">
      <c r="A4" s="18" t="s">
        <v>3507</v>
      </c>
      <c r="B4" s="3"/>
      <c r="C4" s="3"/>
      <c r="D4" s="3"/>
      <c r="E4" s="3"/>
      <c r="F4" s="3"/>
      <c r="G4" s="3"/>
      <c r="H4" s="3"/>
      <c r="I4" s="3"/>
      <c r="J4" s="3"/>
      <c r="K4" s="3"/>
      <c r="L4" s="3"/>
      <c r="M4" s="3"/>
      <c r="N4" s="4"/>
    </row>
    <row r="5" ht="60.0" customHeight="1">
      <c r="A5" s="92" t="s">
        <v>3520</v>
      </c>
      <c r="B5" s="25"/>
      <c r="C5" s="27" t="s">
        <v>10</v>
      </c>
      <c r="D5" s="25"/>
      <c r="E5" s="25"/>
      <c r="F5" s="25"/>
      <c r="G5" s="25"/>
      <c r="H5" s="25"/>
      <c r="I5" s="25"/>
      <c r="J5" s="93"/>
      <c r="K5" s="25"/>
      <c r="L5" s="76" t="s">
        <v>1420</v>
      </c>
      <c r="M5" s="25"/>
      <c r="N5" s="25"/>
    </row>
    <row r="6" ht="60.0" customHeight="1">
      <c r="A6" s="92" t="s">
        <v>3531</v>
      </c>
      <c r="B6" s="35"/>
      <c r="C6" s="27" t="s">
        <v>10</v>
      </c>
      <c r="D6" s="35"/>
      <c r="E6" s="35"/>
      <c r="F6" s="35"/>
      <c r="G6" s="35"/>
      <c r="H6" s="35"/>
      <c r="I6" s="35"/>
      <c r="J6" s="94"/>
      <c r="K6" s="35"/>
      <c r="L6" s="76" t="s">
        <v>1420</v>
      </c>
      <c r="M6" s="35"/>
      <c r="N6" s="35"/>
    </row>
    <row r="7" ht="60.0" customHeight="1">
      <c r="A7" s="92" t="s">
        <v>3539</v>
      </c>
      <c r="B7" s="25"/>
      <c r="C7" s="27" t="s">
        <v>10</v>
      </c>
      <c r="D7" s="25"/>
      <c r="E7" s="25"/>
      <c r="F7" s="25"/>
      <c r="G7" s="25"/>
      <c r="H7" s="25"/>
      <c r="I7" s="25"/>
      <c r="J7" s="93"/>
      <c r="K7" s="25"/>
      <c r="L7" s="76" t="s">
        <v>1420</v>
      </c>
      <c r="M7" s="25"/>
      <c r="N7" s="25"/>
    </row>
    <row r="8" ht="60.0" customHeight="1">
      <c r="A8" s="92" t="s">
        <v>3543</v>
      </c>
      <c r="B8" s="35"/>
      <c r="C8" s="27" t="s">
        <v>10</v>
      </c>
      <c r="D8" s="35"/>
      <c r="E8" s="35"/>
      <c r="F8" s="35"/>
      <c r="G8" s="35"/>
      <c r="H8" s="35"/>
      <c r="I8" s="35"/>
      <c r="J8" s="94"/>
      <c r="K8" s="35"/>
      <c r="L8" s="76" t="s">
        <v>1420</v>
      </c>
      <c r="M8" s="35"/>
      <c r="N8" s="35"/>
    </row>
    <row r="9" ht="60.0" customHeight="1">
      <c r="A9" s="92" t="s">
        <v>3549</v>
      </c>
      <c r="B9" s="25"/>
      <c r="C9" s="27" t="s">
        <v>10</v>
      </c>
      <c r="D9" s="25"/>
      <c r="E9" s="25"/>
      <c r="F9" s="25"/>
      <c r="G9" s="25"/>
      <c r="H9" s="25"/>
      <c r="I9" s="25"/>
      <c r="J9" s="93"/>
      <c r="K9" s="25"/>
      <c r="L9" s="76" t="s">
        <v>1420</v>
      </c>
      <c r="M9" s="25"/>
      <c r="N9" s="25"/>
    </row>
    <row r="10" ht="60.0" customHeight="1">
      <c r="A10" s="92" t="s">
        <v>3557</v>
      </c>
      <c r="B10" s="35"/>
      <c r="C10" s="27" t="s">
        <v>10</v>
      </c>
      <c r="D10" s="35"/>
      <c r="E10" s="35"/>
      <c r="F10" s="35"/>
      <c r="G10" s="35"/>
      <c r="H10" s="35"/>
      <c r="I10" s="35"/>
      <c r="J10" s="94"/>
      <c r="K10" s="35"/>
      <c r="L10" s="76" t="s">
        <v>1420</v>
      </c>
      <c r="M10" s="35"/>
      <c r="N10" s="35"/>
    </row>
    <row r="11" ht="19.5" customHeight="1">
      <c r="A11" s="61" t="s">
        <v>3565</v>
      </c>
      <c r="B11" s="3"/>
      <c r="C11" s="3"/>
      <c r="D11" s="3"/>
      <c r="E11" s="3"/>
      <c r="F11" s="3"/>
      <c r="G11" s="3"/>
      <c r="H11" s="3"/>
      <c r="I11" s="3"/>
      <c r="J11" s="3"/>
      <c r="K11" s="3"/>
      <c r="L11" s="3"/>
      <c r="M11" s="3"/>
      <c r="N11" s="4"/>
    </row>
    <row r="12" ht="60.0" customHeight="1">
      <c r="A12" s="92" t="s">
        <v>3576</v>
      </c>
      <c r="B12" s="25"/>
      <c r="C12" s="17" t="s">
        <v>12</v>
      </c>
      <c r="D12" s="25"/>
      <c r="E12" s="25"/>
      <c r="F12" s="25"/>
      <c r="G12" s="25"/>
      <c r="H12" s="25"/>
      <c r="I12" s="25"/>
      <c r="J12" s="93"/>
      <c r="K12" s="25"/>
      <c r="L12" s="76" t="s">
        <v>1420</v>
      </c>
      <c r="M12" s="25"/>
      <c r="N12" s="25"/>
    </row>
    <row r="13" ht="60.0" customHeight="1">
      <c r="A13" s="92" t="s">
        <v>3583</v>
      </c>
      <c r="B13" s="35"/>
      <c r="C13" s="17" t="s">
        <v>12</v>
      </c>
      <c r="D13" s="35"/>
      <c r="E13" s="35"/>
      <c r="F13" s="35"/>
      <c r="G13" s="35"/>
      <c r="H13" s="35"/>
      <c r="I13" s="35"/>
      <c r="J13" s="94"/>
      <c r="K13" s="35"/>
      <c r="L13" s="76" t="s">
        <v>1420</v>
      </c>
      <c r="M13" s="35"/>
      <c r="N13" s="35"/>
    </row>
    <row r="14" ht="60.0" customHeight="1">
      <c r="A14" s="92" t="s">
        <v>3587</v>
      </c>
      <c r="B14" s="25"/>
      <c r="C14" s="17" t="s">
        <v>12</v>
      </c>
      <c r="D14" s="25"/>
      <c r="E14" s="25"/>
      <c r="F14" s="25"/>
      <c r="G14" s="25"/>
      <c r="H14" s="25"/>
      <c r="I14" s="25"/>
      <c r="J14" s="93"/>
      <c r="K14" s="25"/>
      <c r="L14" s="76" t="s">
        <v>1420</v>
      </c>
      <c r="M14" s="25"/>
      <c r="N14" s="25"/>
    </row>
    <row r="15" ht="60.0" customHeight="1">
      <c r="A15" s="92" t="s">
        <v>3593</v>
      </c>
      <c r="B15" s="35"/>
      <c r="C15" s="17" t="s">
        <v>12</v>
      </c>
      <c r="D15" s="35"/>
      <c r="E15" s="35"/>
      <c r="F15" s="35"/>
      <c r="G15" s="35"/>
      <c r="H15" s="35"/>
      <c r="I15" s="35"/>
      <c r="J15" s="94"/>
      <c r="K15" s="35"/>
      <c r="L15" s="76" t="s">
        <v>1420</v>
      </c>
      <c r="M15" s="35"/>
      <c r="N15" s="35"/>
    </row>
    <row r="16" ht="60.0" customHeight="1">
      <c r="A16" s="92" t="s">
        <v>3597</v>
      </c>
      <c r="B16" s="25"/>
      <c r="C16" s="17" t="s">
        <v>12</v>
      </c>
      <c r="D16" s="25"/>
      <c r="E16" s="25"/>
      <c r="F16" s="25"/>
      <c r="G16" s="25"/>
      <c r="H16" s="25"/>
      <c r="I16" s="25"/>
      <c r="J16" s="93"/>
      <c r="K16" s="25"/>
      <c r="L16" s="76" t="s">
        <v>1420</v>
      </c>
      <c r="M16" s="25"/>
      <c r="N16" s="25"/>
    </row>
    <row r="17" ht="60.0" customHeight="1">
      <c r="A17" s="92" t="s">
        <v>3602</v>
      </c>
      <c r="B17" s="35"/>
      <c r="C17" s="17" t="s">
        <v>12</v>
      </c>
      <c r="D17" s="35"/>
      <c r="E17" s="35"/>
      <c r="F17" s="35"/>
      <c r="G17" s="35"/>
      <c r="H17" s="35"/>
      <c r="I17" s="35"/>
      <c r="J17" s="94"/>
      <c r="K17" s="35"/>
      <c r="L17" s="76" t="s">
        <v>1420</v>
      </c>
      <c r="M17" s="35"/>
      <c r="N17" s="35"/>
    </row>
    <row r="18" ht="60.0" customHeight="1">
      <c r="A18" s="92" t="s">
        <v>3607</v>
      </c>
      <c r="B18" s="25"/>
      <c r="C18" s="17" t="s">
        <v>12</v>
      </c>
      <c r="D18" s="25"/>
      <c r="E18" s="25"/>
      <c r="F18" s="25"/>
      <c r="G18" s="25"/>
      <c r="H18" s="25"/>
      <c r="I18" s="25"/>
      <c r="J18" s="93"/>
      <c r="K18" s="25"/>
      <c r="L18" s="76" t="s">
        <v>1420</v>
      </c>
      <c r="M18" s="25"/>
      <c r="N18" s="25"/>
    </row>
    <row r="19" ht="60.0" customHeight="1">
      <c r="A19" s="92" t="s">
        <v>3615</v>
      </c>
      <c r="B19" s="35"/>
      <c r="C19" s="17" t="s">
        <v>12</v>
      </c>
      <c r="D19" s="35"/>
      <c r="E19" s="35"/>
      <c r="F19" s="35"/>
      <c r="G19" s="35"/>
      <c r="H19" s="35"/>
      <c r="I19" s="35"/>
      <c r="J19" s="94"/>
      <c r="K19" s="35"/>
      <c r="L19" s="76" t="s">
        <v>1420</v>
      </c>
      <c r="M19" s="35"/>
      <c r="N19" s="35"/>
    </row>
    <row r="20" ht="19.5" customHeight="1">
      <c r="A20" s="69" t="s">
        <v>3619</v>
      </c>
      <c r="B20" s="3"/>
      <c r="C20" s="3"/>
      <c r="D20" s="3"/>
      <c r="E20" s="3"/>
      <c r="F20" s="3"/>
      <c r="G20" s="3"/>
      <c r="H20" s="3"/>
      <c r="I20" s="3"/>
      <c r="J20" s="3"/>
      <c r="K20" s="3"/>
      <c r="L20" s="3"/>
      <c r="M20" s="3"/>
      <c r="N20" s="4"/>
    </row>
    <row r="21" ht="60.0" customHeight="1">
      <c r="A21" s="92" t="s">
        <v>3624</v>
      </c>
      <c r="B21" s="25"/>
      <c r="C21" s="38" t="s">
        <v>13</v>
      </c>
      <c r="D21" s="25"/>
      <c r="E21" s="25"/>
      <c r="F21" s="25"/>
      <c r="G21" s="25"/>
      <c r="H21" s="25"/>
      <c r="I21" s="25"/>
      <c r="J21" s="93"/>
      <c r="K21" s="25"/>
      <c r="L21" s="76" t="s">
        <v>1420</v>
      </c>
      <c r="M21" s="25"/>
      <c r="N21" s="25"/>
    </row>
    <row r="22" ht="60.0" customHeight="1">
      <c r="A22" s="92" t="s">
        <v>3629</v>
      </c>
      <c r="B22" s="35"/>
      <c r="C22" s="38" t="s">
        <v>13</v>
      </c>
      <c r="D22" s="35"/>
      <c r="E22" s="35"/>
      <c r="F22" s="35"/>
      <c r="G22" s="35"/>
      <c r="H22" s="35"/>
      <c r="I22" s="35"/>
      <c r="J22" s="94"/>
      <c r="K22" s="35"/>
      <c r="L22" s="76" t="s">
        <v>1420</v>
      </c>
      <c r="M22" s="35"/>
      <c r="N22" s="35"/>
    </row>
    <row r="23" ht="60.0" customHeight="1">
      <c r="A23" s="92" t="s">
        <v>3634</v>
      </c>
      <c r="B23" s="25"/>
      <c r="C23" s="38" t="s">
        <v>13</v>
      </c>
      <c r="D23" s="25"/>
      <c r="E23" s="25"/>
      <c r="F23" s="25"/>
      <c r="G23" s="25"/>
      <c r="H23" s="25"/>
      <c r="I23" s="25"/>
      <c r="J23" s="93"/>
      <c r="K23" s="25"/>
      <c r="L23" s="76" t="s">
        <v>1420</v>
      </c>
      <c r="M23" s="25"/>
      <c r="N23" s="25"/>
    </row>
    <row r="24" ht="60.0" customHeight="1">
      <c r="A24" s="92" t="s">
        <v>3638</v>
      </c>
      <c r="B24" s="35"/>
      <c r="C24" s="38" t="s">
        <v>13</v>
      </c>
      <c r="D24" s="35"/>
      <c r="E24" s="35"/>
      <c r="F24" s="35"/>
      <c r="G24" s="35"/>
      <c r="H24" s="35"/>
      <c r="I24" s="35"/>
      <c r="J24" s="94"/>
      <c r="K24" s="35"/>
      <c r="L24" s="76" t="s">
        <v>1420</v>
      </c>
      <c r="M24" s="35"/>
      <c r="N24" s="35"/>
    </row>
    <row r="25" ht="60.0" customHeight="1">
      <c r="A25" s="92" t="s">
        <v>3643</v>
      </c>
      <c r="B25" s="25"/>
      <c r="C25" s="38" t="s">
        <v>13</v>
      </c>
      <c r="D25" s="25"/>
      <c r="E25" s="25"/>
      <c r="F25" s="25"/>
      <c r="G25" s="25"/>
      <c r="H25" s="25"/>
      <c r="I25" s="25"/>
      <c r="J25" s="93"/>
      <c r="K25" s="25"/>
      <c r="L25" s="76" t="s">
        <v>1420</v>
      </c>
      <c r="M25" s="25"/>
      <c r="N25" s="25"/>
    </row>
    <row r="26" ht="60.0" customHeight="1">
      <c r="A26" s="92" t="s">
        <v>3649</v>
      </c>
      <c r="B26" s="35"/>
      <c r="C26" s="38" t="s">
        <v>13</v>
      </c>
      <c r="D26" s="35"/>
      <c r="E26" s="35"/>
      <c r="F26" s="35"/>
      <c r="G26" s="35"/>
      <c r="H26" s="35"/>
      <c r="I26" s="35"/>
      <c r="J26" s="94"/>
      <c r="K26" s="35"/>
      <c r="L26" s="76" t="s">
        <v>1420</v>
      </c>
      <c r="M26" s="35"/>
      <c r="N26" s="35"/>
    </row>
    <row r="27" ht="25.5" customHeight="1">
      <c r="A27" s="49" t="s">
        <v>3658</v>
      </c>
      <c r="B27" s="50"/>
      <c r="C27" s="50"/>
      <c r="D27" s="50"/>
      <c r="E27" s="50"/>
      <c r="F27" s="50"/>
      <c r="G27" s="50"/>
      <c r="H27" s="50"/>
      <c r="I27" s="52"/>
      <c r="L27" s="95">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1:N11"/>
    <mergeCell ref="A20:N20"/>
    <mergeCell ref="A27:I27"/>
  </mergeCells>
  <printOptions/>
  <pageMargins bottom="1.0" footer="0.0" header="0.0" left="0.75" right="0.75" top="1.0"/>
  <pageSetup paperSize="9" orientation="portrait"/>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89" t="s">
        <v>3734</v>
      </c>
      <c r="B1" s="3"/>
      <c r="C1" s="3"/>
      <c r="D1" s="3"/>
      <c r="E1" s="3"/>
      <c r="F1" s="3"/>
      <c r="G1" s="3"/>
      <c r="H1" s="3"/>
      <c r="I1" s="3"/>
      <c r="J1" s="3"/>
      <c r="K1" s="3"/>
      <c r="L1" s="3"/>
      <c r="M1" s="3"/>
      <c r="N1" s="4"/>
    </row>
    <row r="2" ht="27.75" customHeight="1">
      <c r="A2" s="68" t="s">
        <v>3735</v>
      </c>
      <c r="B2" s="3"/>
      <c r="C2" s="3"/>
      <c r="D2" s="3"/>
      <c r="E2" s="3"/>
      <c r="F2" s="3"/>
      <c r="G2" s="3"/>
      <c r="H2" s="3"/>
      <c r="I2" s="3"/>
      <c r="J2" s="3"/>
      <c r="K2" s="3"/>
      <c r="L2" s="3"/>
      <c r="M2" s="3"/>
      <c r="N2" s="4"/>
    </row>
    <row r="3" ht="24.75" customHeight="1">
      <c r="A3" s="9" t="s">
        <v>22</v>
      </c>
      <c r="B3" s="9" t="s">
        <v>14</v>
      </c>
      <c r="C3" s="9" t="s">
        <v>24</v>
      </c>
      <c r="D3" s="9" t="s">
        <v>25</v>
      </c>
      <c r="E3" s="9" t="s">
        <v>26</v>
      </c>
      <c r="F3" s="9" t="s">
        <v>27</v>
      </c>
      <c r="G3" s="9" t="s">
        <v>28</v>
      </c>
      <c r="H3" s="9" t="s">
        <v>29</v>
      </c>
      <c r="I3" s="9" t="s">
        <v>31</v>
      </c>
      <c r="J3" s="9" t="s">
        <v>32</v>
      </c>
      <c r="K3" s="9" t="s">
        <v>33</v>
      </c>
      <c r="L3" s="9" t="s">
        <v>17</v>
      </c>
      <c r="M3" s="9" t="s">
        <v>35</v>
      </c>
      <c r="N3" s="9" t="s">
        <v>36</v>
      </c>
    </row>
    <row r="4" ht="19.5" customHeight="1">
      <c r="A4" s="18" t="s">
        <v>3507</v>
      </c>
      <c r="B4" s="3"/>
      <c r="C4" s="3"/>
      <c r="D4" s="3"/>
      <c r="E4" s="3"/>
      <c r="F4" s="3"/>
      <c r="G4" s="3"/>
      <c r="H4" s="3"/>
      <c r="I4" s="3"/>
      <c r="J4" s="3"/>
      <c r="K4" s="3"/>
      <c r="L4" s="3"/>
      <c r="M4" s="3"/>
      <c r="N4" s="4"/>
    </row>
    <row r="5" ht="60.0" customHeight="1">
      <c r="A5" s="96" t="s">
        <v>3736</v>
      </c>
      <c r="B5" s="25"/>
      <c r="C5" s="27" t="s">
        <v>10</v>
      </c>
      <c r="D5" s="25"/>
      <c r="E5" s="25"/>
      <c r="F5" s="25"/>
      <c r="G5" s="25"/>
      <c r="H5" s="25"/>
      <c r="I5" s="25"/>
      <c r="J5" s="93"/>
      <c r="K5" s="25"/>
      <c r="L5" s="76" t="s">
        <v>1420</v>
      </c>
      <c r="M5" s="25"/>
      <c r="N5" s="25"/>
    </row>
    <row r="6" ht="60.0" customHeight="1">
      <c r="A6" s="96" t="s">
        <v>3737</v>
      </c>
      <c r="B6" s="35"/>
      <c r="C6" s="27" t="s">
        <v>10</v>
      </c>
      <c r="D6" s="35"/>
      <c r="E6" s="35"/>
      <c r="F6" s="35"/>
      <c r="G6" s="35"/>
      <c r="H6" s="35"/>
      <c r="I6" s="35"/>
      <c r="J6" s="94"/>
      <c r="K6" s="35"/>
      <c r="L6" s="76" t="s">
        <v>1420</v>
      </c>
      <c r="M6" s="35"/>
      <c r="N6" s="35"/>
    </row>
    <row r="7" ht="60.0" customHeight="1">
      <c r="A7" s="96" t="s">
        <v>3738</v>
      </c>
      <c r="B7" s="25"/>
      <c r="C7" s="27" t="s">
        <v>10</v>
      </c>
      <c r="D7" s="25"/>
      <c r="E7" s="25"/>
      <c r="F7" s="25"/>
      <c r="G7" s="25"/>
      <c r="H7" s="25"/>
      <c r="I7" s="25"/>
      <c r="J7" s="93"/>
      <c r="K7" s="25"/>
      <c r="L7" s="76" t="s">
        <v>1420</v>
      </c>
      <c r="M7" s="25"/>
      <c r="N7" s="25"/>
    </row>
    <row r="8" ht="60.0" customHeight="1">
      <c r="A8" s="96" t="s">
        <v>3739</v>
      </c>
      <c r="B8" s="35"/>
      <c r="C8" s="27" t="s">
        <v>10</v>
      </c>
      <c r="D8" s="35"/>
      <c r="E8" s="35"/>
      <c r="F8" s="35"/>
      <c r="G8" s="35"/>
      <c r="H8" s="35"/>
      <c r="I8" s="35"/>
      <c r="J8" s="94"/>
      <c r="K8" s="35"/>
      <c r="L8" s="76" t="s">
        <v>1420</v>
      </c>
      <c r="M8" s="35"/>
      <c r="N8" s="35"/>
    </row>
    <row r="9" ht="60.0" customHeight="1">
      <c r="A9" s="96" t="s">
        <v>3740</v>
      </c>
      <c r="B9" s="25"/>
      <c r="C9" s="27" t="s">
        <v>10</v>
      </c>
      <c r="D9" s="25"/>
      <c r="E9" s="25"/>
      <c r="F9" s="25"/>
      <c r="G9" s="25"/>
      <c r="H9" s="25"/>
      <c r="I9" s="25"/>
      <c r="J9" s="93"/>
      <c r="K9" s="25"/>
      <c r="L9" s="76" t="s">
        <v>1420</v>
      </c>
      <c r="M9" s="25"/>
      <c r="N9" s="25"/>
    </row>
    <row r="10" ht="60.0" customHeight="1">
      <c r="A10" s="96" t="s">
        <v>3741</v>
      </c>
      <c r="B10" s="35"/>
      <c r="C10" s="27" t="s">
        <v>10</v>
      </c>
      <c r="D10" s="35"/>
      <c r="E10" s="35"/>
      <c r="F10" s="35"/>
      <c r="G10" s="35"/>
      <c r="H10" s="35"/>
      <c r="I10" s="35"/>
      <c r="J10" s="94"/>
      <c r="K10" s="35"/>
      <c r="L10" s="76" t="s">
        <v>1420</v>
      </c>
      <c r="M10" s="35"/>
      <c r="N10" s="35"/>
    </row>
    <row r="11" ht="19.5" customHeight="1">
      <c r="A11" s="61" t="s">
        <v>3565</v>
      </c>
      <c r="B11" s="3"/>
      <c r="C11" s="3"/>
      <c r="D11" s="3"/>
      <c r="E11" s="3"/>
      <c r="F11" s="3"/>
      <c r="G11" s="3"/>
      <c r="H11" s="3"/>
      <c r="I11" s="3"/>
      <c r="J11" s="3"/>
      <c r="K11" s="3"/>
      <c r="L11" s="3"/>
      <c r="M11" s="3"/>
      <c r="N11" s="4"/>
    </row>
    <row r="12" ht="60.0" customHeight="1">
      <c r="A12" s="96" t="s">
        <v>3742</v>
      </c>
      <c r="B12" s="25"/>
      <c r="C12" s="17" t="s">
        <v>12</v>
      </c>
      <c r="D12" s="25"/>
      <c r="E12" s="25"/>
      <c r="F12" s="25"/>
      <c r="G12" s="25"/>
      <c r="H12" s="25"/>
      <c r="I12" s="25"/>
      <c r="J12" s="93"/>
      <c r="K12" s="25"/>
      <c r="L12" s="76" t="s">
        <v>1420</v>
      </c>
      <c r="M12" s="25"/>
      <c r="N12" s="25"/>
    </row>
    <row r="13" ht="60.0" customHeight="1">
      <c r="A13" s="96" t="s">
        <v>3743</v>
      </c>
      <c r="B13" s="35"/>
      <c r="C13" s="17" t="s">
        <v>12</v>
      </c>
      <c r="D13" s="35"/>
      <c r="E13" s="35"/>
      <c r="F13" s="35"/>
      <c r="G13" s="35"/>
      <c r="H13" s="35"/>
      <c r="I13" s="35"/>
      <c r="J13" s="94"/>
      <c r="K13" s="35"/>
      <c r="L13" s="76" t="s">
        <v>1420</v>
      </c>
      <c r="M13" s="35"/>
      <c r="N13" s="35"/>
    </row>
    <row r="14" ht="60.0" customHeight="1">
      <c r="A14" s="96" t="s">
        <v>3744</v>
      </c>
      <c r="B14" s="25"/>
      <c r="C14" s="17" t="s">
        <v>12</v>
      </c>
      <c r="D14" s="25"/>
      <c r="E14" s="25"/>
      <c r="F14" s="25"/>
      <c r="G14" s="25"/>
      <c r="H14" s="25"/>
      <c r="I14" s="25"/>
      <c r="J14" s="93"/>
      <c r="K14" s="25"/>
      <c r="L14" s="76" t="s">
        <v>1420</v>
      </c>
      <c r="M14" s="25"/>
      <c r="N14" s="25"/>
    </row>
    <row r="15" ht="60.0" customHeight="1">
      <c r="A15" s="96" t="s">
        <v>3745</v>
      </c>
      <c r="B15" s="35"/>
      <c r="C15" s="17" t="s">
        <v>12</v>
      </c>
      <c r="D15" s="35"/>
      <c r="E15" s="35"/>
      <c r="F15" s="35"/>
      <c r="G15" s="35"/>
      <c r="H15" s="35"/>
      <c r="I15" s="35"/>
      <c r="J15" s="94"/>
      <c r="K15" s="35"/>
      <c r="L15" s="76" t="s">
        <v>1420</v>
      </c>
      <c r="M15" s="35"/>
      <c r="N15" s="35"/>
    </row>
    <row r="16" ht="60.0" customHeight="1">
      <c r="A16" s="96" t="s">
        <v>3746</v>
      </c>
      <c r="B16" s="25"/>
      <c r="C16" s="17" t="s">
        <v>12</v>
      </c>
      <c r="D16" s="25"/>
      <c r="E16" s="25"/>
      <c r="F16" s="25"/>
      <c r="G16" s="25"/>
      <c r="H16" s="25"/>
      <c r="I16" s="25"/>
      <c r="J16" s="93"/>
      <c r="K16" s="25"/>
      <c r="L16" s="76" t="s">
        <v>1420</v>
      </c>
      <c r="M16" s="25"/>
      <c r="N16" s="25"/>
    </row>
    <row r="17" ht="60.0" customHeight="1">
      <c r="A17" s="96" t="s">
        <v>3747</v>
      </c>
      <c r="B17" s="35"/>
      <c r="C17" s="17" t="s">
        <v>12</v>
      </c>
      <c r="D17" s="35"/>
      <c r="E17" s="35"/>
      <c r="F17" s="35"/>
      <c r="G17" s="35"/>
      <c r="H17" s="35"/>
      <c r="I17" s="35"/>
      <c r="J17" s="94"/>
      <c r="K17" s="35"/>
      <c r="L17" s="76" t="s">
        <v>1420</v>
      </c>
      <c r="M17" s="35"/>
      <c r="N17" s="35"/>
    </row>
    <row r="18" ht="60.0" customHeight="1">
      <c r="A18" s="96" t="s">
        <v>3748</v>
      </c>
      <c r="B18" s="25"/>
      <c r="C18" s="17" t="s">
        <v>12</v>
      </c>
      <c r="D18" s="25"/>
      <c r="E18" s="25"/>
      <c r="F18" s="25"/>
      <c r="G18" s="25"/>
      <c r="H18" s="25"/>
      <c r="I18" s="25"/>
      <c r="J18" s="93"/>
      <c r="K18" s="25"/>
      <c r="L18" s="76" t="s">
        <v>1420</v>
      </c>
      <c r="M18" s="25"/>
      <c r="N18" s="25"/>
    </row>
    <row r="19" ht="60.0" customHeight="1">
      <c r="A19" s="96" t="s">
        <v>3749</v>
      </c>
      <c r="B19" s="35"/>
      <c r="C19" s="17" t="s">
        <v>12</v>
      </c>
      <c r="D19" s="35"/>
      <c r="E19" s="35"/>
      <c r="F19" s="35"/>
      <c r="G19" s="35"/>
      <c r="H19" s="35"/>
      <c r="I19" s="35"/>
      <c r="J19" s="94"/>
      <c r="K19" s="35"/>
      <c r="L19" s="76" t="s">
        <v>1420</v>
      </c>
      <c r="M19" s="35"/>
      <c r="N19" s="35"/>
    </row>
    <row r="20" ht="19.5" customHeight="1">
      <c r="A20" s="69" t="s">
        <v>3619</v>
      </c>
      <c r="B20" s="3"/>
      <c r="C20" s="3"/>
      <c r="D20" s="3"/>
      <c r="E20" s="3"/>
      <c r="F20" s="3"/>
      <c r="G20" s="3"/>
      <c r="H20" s="3"/>
      <c r="I20" s="3"/>
      <c r="J20" s="3"/>
      <c r="K20" s="3"/>
      <c r="L20" s="3"/>
      <c r="M20" s="3"/>
      <c r="N20" s="4"/>
    </row>
    <row r="21" ht="60.0" customHeight="1">
      <c r="A21" s="96" t="s">
        <v>3750</v>
      </c>
      <c r="B21" s="25"/>
      <c r="C21" s="38" t="s">
        <v>13</v>
      </c>
      <c r="D21" s="25"/>
      <c r="E21" s="25"/>
      <c r="F21" s="25"/>
      <c r="G21" s="25"/>
      <c r="H21" s="25"/>
      <c r="I21" s="25"/>
      <c r="J21" s="93"/>
      <c r="K21" s="25"/>
      <c r="L21" s="76" t="s">
        <v>1420</v>
      </c>
      <c r="M21" s="25"/>
      <c r="N21" s="25"/>
    </row>
    <row r="22" ht="60.0" customHeight="1">
      <c r="A22" s="96" t="s">
        <v>3752</v>
      </c>
      <c r="B22" s="35"/>
      <c r="C22" s="38" t="s">
        <v>13</v>
      </c>
      <c r="D22" s="35"/>
      <c r="E22" s="35"/>
      <c r="F22" s="35"/>
      <c r="G22" s="35"/>
      <c r="H22" s="35"/>
      <c r="I22" s="35"/>
      <c r="J22" s="94"/>
      <c r="K22" s="35"/>
      <c r="L22" s="76" t="s">
        <v>1420</v>
      </c>
      <c r="M22" s="35"/>
      <c r="N22" s="35"/>
    </row>
    <row r="23" ht="60.0" customHeight="1">
      <c r="A23" s="96" t="s">
        <v>3754</v>
      </c>
      <c r="B23" s="25"/>
      <c r="C23" s="38" t="s">
        <v>13</v>
      </c>
      <c r="D23" s="25"/>
      <c r="E23" s="25"/>
      <c r="F23" s="25"/>
      <c r="G23" s="25"/>
      <c r="H23" s="25"/>
      <c r="I23" s="25"/>
      <c r="J23" s="93"/>
      <c r="K23" s="25"/>
      <c r="L23" s="76" t="s">
        <v>1420</v>
      </c>
      <c r="M23" s="25"/>
      <c r="N23" s="25"/>
    </row>
    <row r="24" ht="60.0" customHeight="1">
      <c r="A24" s="96" t="s">
        <v>3755</v>
      </c>
      <c r="B24" s="35"/>
      <c r="C24" s="38" t="s">
        <v>13</v>
      </c>
      <c r="D24" s="35"/>
      <c r="E24" s="35"/>
      <c r="F24" s="35"/>
      <c r="G24" s="35"/>
      <c r="H24" s="35"/>
      <c r="I24" s="35"/>
      <c r="J24" s="94"/>
      <c r="K24" s="35"/>
      <c r="L24" s="76" t="s">
        <v>1420</v>
      </c>
      <c r="M24" s="35"/>
      <c r="N24" s="35"/>
    </row>
    <row r="25" ht="60.0" customHeight="1">
      <c r="A25" s="96" t="s">
        <v>3756</v>
      </c>
      <c r="B25" s="25"/>
      <c r="C25" s="38" t="s">
        <v>13</v>
      </c>
      <c r="D25" s="25"/>
      <c r="E25" s="25"/>
      <c r="F25" s="25"/>
      <c r="G25" s="25"/>
      <c r="H25" s="25"/>
      <c r="I25" s="25"/>
      <c r="J25" s="93"/>
      <c r="K25" s="25"/>
      <c r="L25" s="76" t="s">
        <v>1420</v>
      </c>
      <c r="M25" s="25"/>
      <c r="N25" s="25"/>
    </row>
    <row r="26" ht="60.0" customHeight="1">
      <c r="A26" s="96" t="s">
        <v>3757</v>
      </c>
      <c r="B26" s="35"/>
      <c r="C26" s="38" t="s">
        <v>13</v>
      </c>
      <c r="D26" s="35"/>
      <c r="E26" s="35"/>
      <c r="F26" s="35"/>
      <c r="G26" s="35"/>
      <c r="H26" s="35"/>
      <c r="I26" s="35"/>
      <c r="J26" s="94"/>
      <c r="K26" s="35"/>
      <c r="L26" s="76" t="s">
        <v>1420</v>
      </c>
      <c r="M26" s="35"/>
      <c r="N26" s="35"/>
    </row>
    <row r="27" ht="25.5" customHeight="1">
      <c r="A27" s="49" t="s">
        <v>3759</v>
      </c>
      <c r="B27" s="50"/>
      <c r="C27" s="50"/>
      <c r="D27" s="50"/>
      <c r="E27" s="50"/>
      <c r="F27" s="50"/>
      <c r="G27" s="50"/>
      <c r="H27" s="50"/>
      <c r="I27" s="52"/>
      <c r="L27" s="98">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1:N11"/>
    <mergeCell ref="A20:N20"/>
    <mergeCell ref="A27:I27"/>
  </mergeCells>
  <printOptions/>
  <pageMargins bottom="1.0" footer="0.0" header="0.0" left="0.75" right="0.75" top="1.0"/>
  <pageSetup paperSize="9" orientation="portrait"/>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89" t="s">
        <v>3751</v>
      </c>
      <c r="B1" s="3"/>
      <c r="C1" s="3"/>
      <c r="D1" s="3"/>
      <c r="E1" s="3"/>
      <c r="F1" s="3"/>
      <c r="G1" s="3"/>
      <c r="H1" s="3"/>
      <c r="I1" s="3"/>
      <c r="J1" s="3"/>
      <c r="K1" s="3"/>
      <c r="L1" s="3"/>
      <c r="M1" s="3"/>
      <c r="N1" s="4"/>
    </row>
    <row r="2" ht="27.75" customHeight="1">
      <c r="A2" s="80" t="s">
        <v>3753</v>
      </c>
      <c r="B2" s="3"/>
      <c r="C2" s="3"/>
      <c r="D2" s="3"/>
      <c r="E2" s="3"/>
      <c r="F2" s="3"/>
      <c r="G2" s="3"/>
      <c r="H2" s="3"/>
      <c r="I2" s="3"/>
      <c r="J2" s="3"/>
      <c r="K2" s="3"/>
      <c r="L2" s="3"/>
      <c r="M2" s="3"/>
      <c r="N2" s="4"/>
    </row>
    <row r="3" ht="24.75" customHeight="1">
      <c r="A3" s="97" t="s">
        <v>22</v>
      </c>
      <c r="B3" s="97" t="s">
        <v>14</v>
      </c>
      <c r="C3" s="97" t="s">
        <v>24</v>
      </c>
      <c r="D3" s="97" t="s">
        <v>25</v>
      </c>
      <c r="E3" s="97" t="s">
        <v>26</v>
      </c>
      <c r="F3" s="97" t="s">
        <v>27</v>
      </c>
      <c r="G3" s="97" t="s">
        <v>28</v>
      </c>
      <c r="H3" s="97" t="s">
        <v>29</v>
      </c>
      <c r="I3" s="97" t="s">
        <v>31</v>
      </c>
      <c r="J3" s="97" t="s">
        <v>32</v>
      </c>
      <c r="K3" s="97" t="s">
        <v>33</v>
      </c>
      <c r="L3" s="97" t="s">
        <v>17</v>
      </c>
      <c r="M3" s="97" t="s">
        <v>35</v>
      </c>
      <c r="N3" s="97" t="s">
        <v>36</v>
      </c>
    </row>
    <row r="4" ht="19.5" customHeight="1">
      <c r="A4" s="18" t="s">
        <v>3507</v>
      </c>
      <c r="B4" s="3"/>
      <c r="C4" s="3"/>
      <c r="D4" s="3"/>
      <c r="E4" s="3"/>
      <c r="F4" s="3"/>
      <c r="G4" s="3"/>
      <c r="H4" s="3"/>
      <c r="I4" s="3"/>
      <c r="J4" s="3"/>
      <c r="K4" s="3"/>
      <c r="L4" s="3"/>
      <c r="M4" s="3"/>
      <c r="N4" s="4"/>
    </row>
    <row r="5" ht="60.0" customHeight="1">
      <c r="A5" s="81" t="s">
        <v>3758</v>
      </c>
      <c r="B5" s="25"/>
      <c r="C5" s="27" t="s">
        <v>10</v>
      </c>
      <c r="D5" s="25"/>
      <c r="E5" s="25"/>
      <c r="F5" s="25"/>
      <c r="G5" s="25"/>
      <c r="H5" s="25"/>
      <c r="I5" s="25"/>
      <c r="J5" s="93"/>
      <c r="K5" s="25"/>
      <c r="L5" s="76" t="s">
        <v>1420</v>
      </c>
      <c r="M5" s="25"/>
      <c r="N5" s="25"/>
    </row>
    <row r="6" ht="60.0" customHeight="1">
      <c r="A6" s="81" t="s">
        <v>3760</v>
      </c>
      <c r="B6" s="35"/>
      <c r="C6" s="27" t="s">
        <v>10</v>
      </c>
      <c r="D6" s="35"/>
      <c r="E6" s="35"/>
      <c r="F6" s="35"/>
      <c r="G6" s="35"/>
      <c r="H6" s="35"/>
      <c r="I6" s="35"/>
      <c r="J6" s="94"/>
      <c r="K6" s="35"/>
      <c r="L6" s="76" t="s">
        <v>1420</v>
      </c>
      <c r="M6" s="35"/>
      <c r="N6" s="35"/>
    </row>
    <row r="7" ht="60.0" customHeight="1">
      <c r="A7" s="81" t="s">
        <v>3761</v>
      </c>
      <c r="B7" s="25"/>
      <c r="C7" s="27" t="s">
        <v>10</v>
      </c>
      <c r="D7" s="25"/>
      <c r="E7" s="25"/>
      <c r="F7" s="25"/>
      <c r="G7" s="25"/>
      <c r="H7" s="25"/>
      <c r="I7" s="25"/>
      <c r="J7" s="93"/>
      <c r="K7" s="25"/>
      <c r="L7" s="76" t="s">
        <v>1420</v>
      </c>
      <c r="M7" s="25"/>
      <c r="N7" s="25"/>
    </row>
    <row r="8" ht="60.0" customHeight="1">
      <c r="A8" s="81" t="s">
        <v>3762</v>
      </c>
      <c r="B8" s="35"/>
      <c r="C8" s="27" t="s">
        <v>10</v>
      </c>
      <c r="D8" s="35"/>
      <c r="E8" s="35"/>
      <c r="F8" s="35"/>
      <c r="G8" s="35"/>
      <c r="H8" s="35"/>
      <c r="I8" s="35"/>
      <c r="J8" s="94"/>
      <c r="K8" s="35"/>
      <c r="L8" s="76" t="s">
        <v>1420</v>
      </c>
      <c r="M8" s="35"/>
      <c r="N8" s="35"/>
    </row>
    <row r="9" ht="60.0" customHeight="1">
      <c r="A9" s="81" t="s">
        <v>3763</v>
      </c>
      <c r="B9" s="25"/>
      <c r="C9" s="27" t="s">
        <v>10</v>
      </c>
      <c r="D9" s="25"/>
      <c r="E9" s="25"/>
      <c r="F9" s="25"/>
      <c r="G9" s="25"/>
      <c r="H9" s="25"/>
      <c r="I9" s="25"/>
      <c r="J9" s="93"/>
      <c r="K9" s="25"/>
      <c r="L9" s="76" t="s">
        <v>1420</v>
      </c>
      <c r="M9" s="25"/>
      <c r="N9" s="25"/>
    </row>
    <row r="10" ht="60.0" customHeight="1">
      <c r="A10" s="81" t="s">
        <v>3764</v>
      </c>
      <c r="B10" s="35"/>
      <c r="C10" s="27" t="s">
        <v>10</v>
      </c>
      <c r="D10" s="35"/>
      <c r="E10" s="35"/>
      <c r="F10" s="35"/>
      <c r="G10" s="35"/>
      <c r="H10" s="35"/>
      <c r="I10" s="35"/>
      <c r="J10" s="94"/>
      <c r="K10" s="35"/>
      <c r="L10" s="76" t="s">
        <v>1420</v>
      </c>
      <c r="M10" s="35"/>
      <c r="N10" s="35"/>
    </row>
    <row r="11" ht="19.5" customHeight="1">
      <c r="A11" s="61" t="s">
        <v>3565</v>
      </c>
      <c r="B11" s="3"/>
      <c r="C11" s="3"/>
      <c r="D11" s="3"/>
      <c r="E11" s="3"/>
      <c r="F11" s="3"/>
      <c r="G11" s="3"/>
      <c r="H11" s="3"/>
      <c r="I11" s="3"/>
      <c r="J11" s="3"/>
      <c r="K11" s="3"/>
      <c r="L11" s="3"/>
      <c r="M11" s="3"/>
      <c r="N11" s="4"/>
    </row>
    <row r="12" ht="60.0" customHeight="1">
      <c r="A12" s="81" t="s">
        <v>3765</v>
      </c>
      <c r="B12" s="25"/>
      <c r="C12" s="17" t="s">
        <v>12</v>
      </c>
      <c r="D12" s="25"/>
      <c r="E12" s="25"/>
      <c r="F12" s="25"/>
      <c r="G12" s="25"/>
      <c r="H12" s="25"/>
      <c r="I12" s="25"/>
      <c r="J12" s="93"/>
      <c r="K12" s="25"/>
      <c r="L12" s="76" t="s">
        <v>1420</v>
      </c>
      <c r="M12" s="25"/>
      <c r="N12" s="25"/>
    </row>
    <row r="13" ht="60.0" customHeight="1">
      <c r="A13" s="81" t="s">
        <v>3766</v>
      </c>
      <c r="B13" s="35"/>
      <c r="C13" s="17" t="s">
        <v>12</v>
      </c>
      <c r="D13" s="35"/>
      <c r="E13" s="35"/>
      <c r="F13" s="35"/>
      <c r="G13" s="35"/>
      <c r="H13" s="35"/>
      <c r="I13" s="35"/>
      <c r="J13" s="94"/>
      <c r="K13" s="35"/>
      <c r="L13" s="76" t="s">
        <v>1420</v>
      </c>
      <c r="M13" s="35"/>
      <c r="N13" s="35"/>
    </row>
    <row r="14" ht="60.0" customHeight="1">
      <c r="A14" s="81" t="s">
        <v>3767</v>
      </c>
      <c r="B14" s="25"/>
      <c r="C14" s="17" t="s">
        <v>12</v>
      </c>
      <c r="D14" s="25"/>
      <c r="E14" s="25"/>
      <c r="F14" s="25"/>
      <c r="G14" s="25"/>
      <c r="H14" s="25"/>
      <c r="I14" s="25"/>
      <c r="J14" s="93"/>
      <c r="K14" s="25"/>
      <c r="L14" s="76" t="s">
        <v>1420</v>
      </c>
      <c r="M14" s="25"/>
      <c r="N14" s="25"/>
    </row>
    <row r="15" ht="60.0" customHeight="1">
      <c r="A15" s="81" t="s">
        <v>3768</v>
      </c>
      <c r="B15" s="35"/>
      <c r="C15" s="17" t="s">
        <v>12</v>
      </c>
      <c r="D15" s="35"/>
      <c r="E15" s="35"/>
      <c r="F15" s="35"/>
      <c r="G15" s="35"/>
      <c r="H15" s="35"/>
      <c r="I15" s="35"/>
      <c r="J15" s="94"/>
      <c r="K15" s="35"/>
      <c r="L15" s="76" t="s">
        <v>1420</v>
      </c>
      <c r="M15" s="35"/>
      <c r="N15" s="35"/>
    </row>
    <row r="16" ht="60.0" customHeight="1">
      <c r="A16" s="81" t="s">
        <v>3769</v>
      </c>
      <c r="B16" s="25"/>
      <c r="C16" s="17" t="s">
        <v>12</v>
      </c>
      <c r="D16" s="25"/>
      <c r="E16" s="25"/>
      <c r="F16" s="25"/>
      <c r="G16" s="25"/>
      <c r="H16" s="25"/>
      <c r="I16" s="25"/>
      <c r="J16" s="93"/>
      <c r="K16" s="25"/>
      <c r="L16" s="76" t="s">
        <v>1420</v>
      </c>
      <c r="M16" s="25"/>
      <c r="N16" s="25"/>
    </row>
    <row r="17" ht="60.0" customHeight="1">
      <c r="A17" s="81" t="s">
        <v>3770</v>
      </c>
      <c r="B17" s="35"/>
      <c r="C17" s="17" t="s">
        <v>12</v>
      </c>
      <c r="D17" s="35"/>
      <c r="E17" s="35"/>
      <c r="F17" s="35"/>
      <c r="G17" s="35"/>
      <c r="H17" s="35"/>
      <c r="I17" s="35"/>
      <c r="J17" s="94"/>
      <c r="K17" s="35"/>
      <c r="L17" s="76" t="s">
        <v>1420</v>
      </c>
      <c r="M17" s="35"/>
      <c r="N17" s="35"/>
    </row>
    <row r="18" ht="60.0" customHeight="1">
      <c r="A18" s="81" t="s">
        <v>3771</v>
      </c>
      <c r="B18" s="25"/>
      <c r="C18" s="17" t="s">
        <v>12</v>
      </c>
      <c r="D18" s="25"/>
      <c r="E18" s="25"/>
      <c r="F18" s="25"/>
      <c r="G18" s="25"/>
      <c r="H18" s="25"/>
      <c r="I18" s="25"/>
      <c r="J18" s="93"/>
      <c r="K18" s="25"/>
      <c r="L18" s="76" t="s">
        <v>1420</v>
      </c>
      <c r="M18" s="25"/>
      <c r="N18" s="25"/>
    </row>
    <row r="19" ht="60.0" customHeight="1">
      <c r="A19" s="81" t="s">
        <v>3772</v>
      </c>
      <c r="B19" s="35"/>
      <c r="C19" s="17" t="s">
        <v>12</v>
      </c>
      <c r="D19" s="35"/>
      <c r="E19" s="35"/>
      <c r="F19" s="35"/>
      <c r="G19" s="35"/>
      <c r="H19" s="35"/>
      <c r="I19" s="35"/>
      <c r="J19" s="94"/>
      <c r="K19" s="35"/>
      <c r="L19" s="76" t="s">
        <v>1420</v>
      </c>
      <c r="M19" s="35"/>
      <c r="N19" s="35"/>
    </row>
    <row r="20" ht="19.5" customHeight="1">
      <c r="A20" s="69" t="s">
        <v>3619</v>
      </c>
      <c r="B20" s="3"/>
      <c r="C20" s="3"/>
      <c r="D20" s="3"/>
      <c r="E20" s="3"/>
      <c r="F20" s="3"/>
      <c r="G20" s="3"/>
      <c r="H20" s="3"/>
      <c r="I20" s="3"/>
      <c r="J20" s="3"/>
      <c r="K20" s="3"/>
      <c r="L20" s="3"/>
      <c r="M20" s="3"/>
      <c r="N20" s="4"/>
    </row>
    <row r="21" ht="60.0" customHeight="1">
      <c r="A21" s="81" t="s">
        <v>3773</v>
      </c>
      <c r="B21" s="25"/>
      <c r="C21" s="38" t="s">
        <v>13</v>
      </c>
      <c r="D21" s="25"/>
      <c r="E21" s="25"/>
      <c r="F21" s="25"/>
      <c r="G21" s="25"/>
      <c r="H21" s="25"/>
      <c r="I21" s="25"/>
      <c r="J21" s="93"/>
      <c r="K21" s="25"/>
      <c r="L21" s="76" t="s">
        <v>1420</v>
      </c>
      <c r="M21" s="25"/>
      <c r="N21" s="25"/>
    </row>
    <row r="22" ht="60.0" customHeight="1">
      <c r="A22" s="81" t="s">
        <v>3774</v>
      </c>
      <c r="B22" s="35"/>
      <c r="C22" s="38" t="s">
        <v>13</v>
      </c>
      <c r="D22" s="35"/>
      <c r="E22" s="35"/>
      <c r="F22" s="35"/>
      <c r="G22" s="35"/>
      <c r="H22" s="35"/>
      <c r="I22" s="35"/>
      <c r="J22" s="94"/>
      <c r="K22" s="35"/>
      <c r="L22" s="76" t="s">
        <v>1420</v>
      </c>
      <c r="M22" s="35"/>
      <c r="N22" s="35"/>
    </row>
    <row r="23" ht="60.0" customHeight="1">
      <c r="A23" s="81" t="s">
        <v>3775</v>
      </c>
      <c r="B23" s="25"/>
      <c r="C23" s="38" t="s">
        <v>13</v>
      </c>
      <c r="D23" s="25"/>
      <c r="E23" s="25"/>
      <c r="F23" s="25"/>
      <c r="G23" s="25"/>
      <c r="H23" s="25"/>
      <c r="I23" s="25"/>
      <c r="J23" s="93"/>
      <c r="K23" s="25"/>
      <c r="L23" s="76" t="s">
        <v>1420</v>
      </c>
      <c r="M23" s="25"/>
      <c r="N23" s="25"/>
    </row>
    <row r="24" ht="60.0" customHeight="1">
      <c r="A24" s="81" t="s">
        <v>3776</v>
      </c>
      <c r="B24" s="35"/>
      <c r="C24" s="38" t="s">
        <v>13</v>
      </c>
      <c r="D24" s="35"/>
      <c r="E24" s="35"/>
      <c r="F24" s="35"/>
      <c r="G24" s="35"/>
      <c r="H24" s="35"/>
      <c r="I24" s="35"/>
      <c r="J24" s="94"/>
      <c r="K24" s="35"/>
      <c r="L24" s="76" t="s">
        <v>1420</v>
      </c>
      <c r="M24" s="35"/>
      <c r="N24" s="35"/>
    </row>
    <row r="25" ht="60.0" customHeight="1">
      <c r="A25" s="81" t="s">
        <v>3777</v>
      </c>
      <c r="B25" s="25"/>
      <c r="C25" s="38" t="s">
        <v>13</v>
      </c>
      <c r="D25" s="25"/>
      <c r="E25" s="25"/>
      <c r="F25" s="25"/>
      <c r="G25" s="25"/>
      <c r="H25" s="25"/>
      <c r="I25" s="25"/>
      <c r="J25" s="93"/>
      <c r="K25" s="25"/>
      <c r="L25" s="76" t="s">
        <v>1420</v>
      </c>
      <c r="M25" s="25"/>
      <c r="N25" s="25"/>
    </row>
    <row r="26" ht="60.0" customHeight="1">
      <c r="A26" s="81" t="s">
        <v>3778</v>
      </c>
      <c r="B26" s="35"/>
      <c r="C26" s="38" t="s">
        <v>13</v>
      </c>
      <c r="D26" s="35"/>
      <c r="E26" s="35"/>
      <c r="F26" s="35"/>
      <c r="G26" s="35"/>
      <c r="H26" s="35"/>
      <c r="I26" s="35"/>
      <c r="J26" s="94"/>
      <c r="K26" s="35"/>
      <c r="L26" s="76" t="s">
        <v>1420</v>
      </c>
      <c r="M26" s="35"/>
      <c r="N26" s="35"/>
    </row>
    <row r="27" ht="25.5" customHeight="1">
      <c r="A27" s="49" t="s">
        <v>3779</v>
      </c>
      <c r="B27" s="50"/>
      <c r="C27" s="50"/>
      <c r="D27" s="50"/>
      <c r="E27" s="50"/>
      <c r="F27" s="50"/>
      <c r="G27" s="50"/>
      <c r="H27" s="50"/>
      <c r="I27" s="52"/>
      <c r="L27" s="82">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1:N11"/>
    <mergeCell ref="A20:N20"/>
    <mergeCell ref="A27:I27"/>
  </mergeCells>
  <printOptions/>
  <pageMargins bottom="1.0" footer="0.0" header="0.0" left="0.75" right="0.75" top="1.0"/>
  <pageSetup paperSize="9" orientation="portrait"/>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89" t="s">
        <v>3477</v>
      </c>
      <c r="B1" s="3"/>
      <c r="C1" s="3"/>
      <c r="D1" s="3"/>
      <c r="E1" s="3"/>
      <c r="F1" s="3"/>
      <c r="G1" s="3"/>
      <c r="H1" s="3"/>
      <c r="I1" s="3"/>
      <c r="J1" s="3"/>
      <c r="K1" s="3"/>
      <c r="L1" s="3"/>
      <c r="M1" s="3"/>
      <c r="N1" s="4"/>
    </row>
    <row r="2" ht="27.75" customHeight="1">
      <c r="A2" s="90" t="s">
        <v>3485</v>
      </c>
      <c r="B2" s="3"/>
      <c r="C2" s="3"/>
      <c r="D2" s="3"/>
      <c r="E2" s="3"/>
      <c r="F2" s="3"/>
      <c r="G2" s="3"/>
      <c r="H2" s="3"/>
      <c r="I2" s="3"/>
      <c r="J2" s="3"/>
      <c r="K2" s="3"/>
      <c r="L2" s="3"/>
      <c r="M2" s="3"/>
      <c r="N2" s="4"/>
    </row>
    <row r="3" ht="24.75" customHeight="1">
      <c r="A3" s="91" t="s">
        <v>22</v>
      </c>
      <c r="B3" s="91" t="s">
        <v>14</v>
      </c>
      <c r="C3" s="91" t="s">
        <v>24</v>
      </c>
      <c r="D3" s="91" t="s">
        <v>25</v>
      </c>
      <c r="E3" s="91" t="s">
        <v>26</v>
      </c>
      <c r="F3" s="91" t="s">
        <v>27</v>
      </c>
      <c r="G3" s="91" t="s">
        <v>28</v>
      </c>
      <c r="H3" s="91" t="s">
        <v>29</v>
      </c>
      <c r="I3" s="91" t="s">
        <v>31</v>
      </c>
      <c r="J3" s="91" t="s">
        <v>32</v>
      </c>
      <c r="K3" s="91" t="s">
        <v>33</v>
      </c>
      <c r="L3" s="91" t="s">
        <v>17</v>
      </c>
      <c r="M3" s="91" t="s">
        <v>35</v>
      </c>
      <c r="N3" s="91" t="s">
        <v>36</v>
      </c>
    </row>
    <row r="4" ht="19.5" customHeight="1">
      <c r="A4" s="18" t="s">
        <v>3507</v>
      </c>
      <c r="B4" s="3"/>
      <c r="C4" s="3"/>
      <c r="D4" s="3"/>
      <c r="E4" s="3"/>
      <c r="F4" s="3"/>
      <c r="G4" s="3"/>
      <c r="H4" s="3"/>
      <c r="I4" s="3"/>
      <c r="J4" s="3"/>
      <c r="K4" s="3"/>
      <c r="L4" s="3"/>
      <c r="M4" s="3"/>
      <c r="N4" s="4"/>
    </row>
    <row r="5" ht="60.0" customHeight="1">
      <c r="A5" s="92" t="s">
        <v>3520</v>
      </c>
      <c r="B5" s="25"/>
      <c r="C5" s="27" t="s">
        <v>10</v>
      </c>
      <c r="D5" s="25"/>
      <c r="E5" s="25"/>
      <c r="F5" s="25"/>
      <c r="G5" s="25"/>
      <c r="H5" s="25"/>
      <c r="I5" s="25"/>
      <c r="J5" s="93"/>
      <c r="K5" s="25"/>
      <c r="L5" s="76" t="s">
        <v>1420</v>
      </c>
      <c r="M5" s="25"/>
      <c r="N5" s="25"/>
    </row>
    <row r="6" ht="60.0" customHeight="1">
      <c r="A6" s="92" t="s">
        <v>3531</v>
      </c>
      <c r="B6" s="35"/>
      <c r="C6" s="27" t="s">
        <v>10</v>
      </c>
      <c r="D6" s="35"/>
      <c r="E6" s="35"/>
      <c r="F6" s="35"/>
      <c r="G6" s="35"/>
      <c r="H6" s="35"/>
      <c r="I6" s="35"/>
      <c r="J6" s="94"/>
      <c r="K6" s="35"/>
      <c r="L6" s="76" t="s">
        <v>1420</v>
      </c>
      <c r="M6" s="35"/>
      <c r="N6" s="35"/>
    </row>
    <row r="7" ht="60.0" customHeight="1">
      <c r="A7" s="92" t="s">
        <v>3539</v>
      </c>
      <c r="B7" s="25"/>
      <c r="C7" s="27" t="s">
        <v>10</v>
      </c>
      <c r="D7" s="25"/>
      <c r="E7" s="25"/>
      <c r="F7" s="25"/>
      <c r="G7" s="25"/>
      <c r="H7" s="25"/>
      <c r="I7" s="25"/>
      <c r="J7" s="93"/>
      <c r="K7" s="25"/>
      <c r="L7" s="76" t="s">
        <v>1420</v>
      </c>
      <c r="M7" s="25"/>
      <c r="N7" s="25"/>
    </row>
    <row r="8" ht="60.0" customHeight="1">
      <c r="A8" s="92" t="s">
        <v>3543</v>
      </c>
      <c r="B8" s="35"/>
      <c r="C8" s="27" t="s">
        <v>10</v>
      </c>
      <c r="D8" s="35"/>
      <c r="E8" s="35"/>
      <c r="F8" s="35"/>
      <c r="G8" s="35"/>
      <c r="H8" s="35"/>
      <c r="I8" s="35"/>
      <c r="J8" s="94"/>
      <c r="K8" s="35"/>
      <c r="L8" s="76" t="s">
        <v>1420</v>
      </c>
      <c r="M8" s="35"/>
      <c r="N8" s="35"/>
    </row>
    <row r="9" ht="60.0" customHeight="1">
      <c r="A9" s="92" t="s">
        <v>3549</v>
      </c>
      <c r="B9" s="25"/>
      <c r="C9" s="27" t="s">
        <v>10</v>
      </c>
      <c r="D9" s="25"/>
      <c r="E9" s="25"/>
      <c r="F9" s="25"/>
      <c r="G9" s="25"/>
      <c r="H9" s="25"/>
      <c r="I9" s="25"/>
      <c r="J9" s="93"/>
      <c r="K9" s="25"/>
      <c r="L9" s="76" t="s">
        <v>1420</v>
      </c>
      <c r="M9" s="25"/>
      <c r="N9" s="25"/>
    </row>
    <row r="10" ht="60.0" customHeight="1">
      <c r="A10" s="92" t="s">
        <v>3557</v>
      </c>
      <c r="B10" s="35"/>
      <c r="C10" s="27" t="s">
        <v>10</v>
      </c>
      <c r="D10" s="35"/>
      <c r="E10" s="35"/>
      <c r="F10" s="35"/>
      <c r="G10" s="35"/>
      <c r="H10" s="35"/>
      <c r="I10" s="35"/>
      <c r="J10" s="94"/>
      <c r="K10" s="35"/>
      <c r="L10" s="76" t="s">
        <v>1420</v>
      </c>
      <c r="M10" s="35"/>
      <c r="N10" s="35"/>
    </row>
    <row r="11" ht="19.5" customHeight="1">
      <c r="A11" s="61" t="s">
        <v>3565</v>
      </c>
      <c r="B11" s="3"/>
      <c r="C11" s="3"/>
      <c r="D11" s="3"/>
      <c r="E11" s="3"/>
      <c r="F11" s="3"/>
      <c r="G11" s="3"/>
      <c r="H11" s="3"/>
      <c r="I11" s="3"/>
      <c r="J11" s="3"/>
      <c r="K11" s="3"/>
      <c r="L11" s="3"/>
      <c r="M11" s="3"/>
      <c r="N11" s="4"/>
    </row>
    <row r="12" ht="60.0" customHeight="1">
      <c r="A12" s="92" t="s">
        <v>3576</v>
      </c>
      <c r="B12" s="25"/>
      <c r="C12" s="17" t="s">
        <v>12</v>
      </c>
      <c r="D12" s="25"/>
      <c r="E12" s="25"/>
      <c r="F12" s="25"/>
      <c r="G12" s="25"/>
      <c r="H12" s="25"/>
      <c r="I12" s="25"/>
      <c r="J12" s="93"/>
      <c r="K12" s="25"/>
      <c r="L12" s="76" t="s">
        <v>1420</v>
      </c>
      <c r="M12" s="25"/>
      <c r="N12" s="25"/>
    </row>
    <row r="13" ht="60.0" customHeight="1">
      <c r="A13" s="92" t="s">
        <v>3583</v>
      </c>
      <c r="B13" s="35"/>
      <c r="C13" s="17" t="s">
        <v>12</v>
      </c>
      <c r="D13" s="35"/>
      <c r="E13" s="35"/>
      <c r="F13" s="35"/>
      <c r="G13" s="35"/>
      <c r="H13" s="35"/>
      <c r="I13" s="35"/>
      <c r="J13" s="94"/>
      <c r="K13" s="35"/>
      <c r="L13" s="76" t="s">
        <v>1420</v>
      </c>
      <c r="M13" s="35"/>
      <c r="N13" s="35"/>
    </row>
    <row r="14" ht="60.0" customHeight="1">
      <c r="A14" s="92" t="s">
        <v>3587</v>
      </c>
      <c r="B14" s="25"/>
      <c r="C14" s="17" t="s">
        <v>12</v>
      </c>
      <c r="D14" s="25"/>
      <c r="E14" s="25"/>
      <c r="F14" s="25"/>
      <c r="G14" s="25"/>
      <c r="H14" s="25"/>
      <c r="I14" s="25"/>
      <c r="J14" s="93"/>
      <c r="K14" s="25"/>
      <c r="L14" s="76" t="s">
        <v>1420</v>
      </c>
      <c r="M14" s="25"/>
      <c r="N14" s="25"/>
    </row>
    <row r="15" ht="60.0" customHeight="1">
      <c r="A15" s="92" t="s">
        <v>3593</v>
      </c>
      <c r="B15" s="35"/>
      <c r="C15" s="17" t="s">
        <v>12</v>
      </c>
      <c r="D15" s="35"/>
      <c r="E15" s="35"/>
      <c r="F15" s="35"/>
      <c r="G15" s="35"/>
      <c r="H15" s="35"/>
      <c r="I15" s="35"/>
      <c r="J15" s="94"/>
      <c r="K15" s="35"/>
      <c r="L15" s="76" t="s">
        <v>1420</v>
      </c>
      <c r="M15" s="35"/>
      <c r="N15" s="35"/>
    </row>
    <row r="16" ht="60.0" customHeight="1">
      <c r="A16" s="92" t="s">
        <v>3597</v>
      </c>
      <c r="B16" s="25"/>
      <c r="C16" s="17" t="s">
        <v>12</v>
      </c>
      <c r="D16" s="25"/>
      <c r="E16" s="25"/>
      <c r="F16" s="25"/>
      <c r="G16" s="25"/>
      <c r="H16" s="25"/>
      <c r="I16" s="25"/>
      <c r="J16" s="93"/>
      <c r="K16" s="25"/>
      <c r="L16" s="76" t="s">
        <v>1420</v>
      </c>
      <c r="M16" s="25"/>
      <c r="N16" s="25"/>
    </row>
    <row r="17" ht="60.0" customHeight="1">
      <c r="A17" s="92" t="s">
        <v>3602</v>
      </c>
      <c r="B17" s="35"/>
      <c r="C17" s="17" t="s">
        <v>12</v>
      </c>
      <c r="D17" s="35"/>
      <c r="E17" s="35"/>
      <c r="F17" s="35"/>
      <c r="G17" s="35"/>
      <c r="H17" s="35"/>
      <c r="I17" s="35"/>
      <c r="J17" s="94"/>
      <c r="K17" s="35"/>
      <c r="L17" s="76" t="s">
        <v>1420</v>
      </c>
      <c r="M17" s="35"/>
      <c r="N17" s="35"/>
    </row>
    <row r="18" ht="60.0" customHeight="1">
      <c r="A18" s="92" t="s">
        <v>3607</v>
      </c>
      <c r="B18" s="25"/>
      <c r="C18" s="17" t="s">
        <v>12</v>
      </c>
      <c r="D18" s="25"/>
      <c r="E18" s="25"/>
      <c r="F18" s="25"/>
      <c r="G18" s="25"/>
      <c r="H18" s="25"/>
      <c r="I18" s="25"/>
      <c r="J18" s="93"/>
      <c r="K18" s="25"/>
      <c r="L18" s="76" t="s">
        <v>1420</v>
      </c>
      <c r="M18" s="25"/>
      <c r="N18" s="25"/>
    </row>
    <row r="19" ht="60.0" customHeight="1">
      <c r="A19" s="92" t="s">
        <v>3615</v>
      </c>
      <c r="B19" s="35"/>
      <c r="C19" s="17" t="s">
        <v>12</v>
      </c>
      <c r="D19" s="35"/>
      <c r="E19" s="35"/>
      <c r="F19" s="35"/>
      <c r="G19" s="35"/>
      <c r="H19" s="35"/>
      <c r="I19" s="35"/>
      <c r="J19" s="94"/>
      <c r="K19" s="35"/>
      <c r="L19" s="76" t="s">
        <v>1420</v>
      </c>
      <c r="M19" s="35"/>
      <c r="N19" s="35"/>
    </row>
    <row r="20" ht="19.5" customHeight="1">
      <c r="A20" s="69" t="s">
        <v>3619</v>
      </c>
      <c r="B20" s="3"/>
      <c r="C20" s="3"/>
      <c r="D20" s="3"/>
      <c r="E20" s="3"/>
      <c r="F20" s="3"/>
      <c r="G20" s="3"/>
      <c r="H20" s="3"/>
      <c r="I20" s="3"/>
      <c r="J20" s="3"/>
      <c r="K20" s="3"/>
      <c r="L20" s="3"/>
      <c r="M20" s="3"/>
      <c r="N20" s="4"/>
    </row>
    <row r="21" ht="60.0" customHeight="1">
      <c r="A21" s="92" t="s">
        <v>3624</v>
      </c>
      <c r="B21" s="25"/>
      <c r="C21" s="38" t="s">
        <v>13</v>
      </c>
      <c r="D21" s="25"/>
      <c r="E21" s="25"/>
      <c r="F21" s="25"/>
      <c r="G21" s="25"/>
      <c r="H21" s="25"/>
      <c r="I21" s="25"/>
      <c r="J21" s="93"/>
      <c r="K21" s="25"/>
      <c r="L21" s="76" t="s">
        <v>1420</v>
      </c>
      <c r="M21" s="25"/>
      <c r="N21" s="25"/>
    </row>
    <row r="22" ht="60.0" customHeight="1">
      <c r="A22" s="92" t="s">
        <v>3629</v>
      </c>
      <c r="B22" s="35"/>
      <c r="C22" s="38" t="s">
        <v>13</v>
      </c>
      <c r="D22" s="35"/>
      <c r="E22" s="35"/>
      <c r="F22" s="35"/>
      <c r="G22" s="35"/>
      <c r="H22" s="35"/>
      <c r="I22" s="35"/>
      <c r="J22" s="94"/>
      <c r="K22" s="35"/>
      <c r="L22" s="76" t="s">
        <v>1420</v>
      </c>
      <c r="M22" s="35"/>
      <c r="N22" s="35"/>
    </row>
    <row r="23" ht="60.0" customHeight="1">
      <c r="A23" s="92" t="s">
        <v>3634</v>
      </c>
      <c r="B23" s="25"/>
      <c r="C23" s="38" t="s">
        <v>13</v>
      </c>
      <c r="D23" s="25"/>
      <c r="E23" s="25"/>
      <c r="F23" s="25"/>
      <c r="G23" s="25"/>
      <c r="H23" s="25"/>
      <c r="I23" s="25"/>
      <c r="J23" s="93"/>
      <c r="K23" s="25"/>
      <c r="L23" s="76" t="s">
        <v>1420</v>
      </c>
      <c r="M23" s="25"/>
      <c r="N23" s="25"/>
    </row>
    <row r="24" ht="60.0" customHeight="1">
      <c r="A24" s="92" t="s">
        <v>3638</v>
      </c>
      <c r="B24" s="35"/>
      <c r="C24" s="38" t="s">
        <v>13</v>
      </c>
      <c r="D24" s="35"/>
      <c r="E24" s="35"/>
      <c r="F24" s="35"/>
      <c r="G24" s="35"/>
      <c r="H24" s="35"/>
      <c r="I24" s="35"/>
      <c r="J24" s="94"/>
      <c r="K24" s="35"/>
      <c r="L24" s="76" t="s">
        <v>1420</v>
      </c>
      <c r="M24" s="35"/>
      <c r="N24" s="35"/>
    </row>
    <row r="25" ht="60.0" customHeight="1">
      <c r="A25" s="92" t="s">
        <v>3643</v>
      </c>
      <c r="B25" s="25"/>
      <c r="C25" s="38" t="s">
        <v>13</v>
      </c>
      <c r="D25" s="25"/>
      <c r="E25" s="25"/>
      <c r="F25" s="25"/>
      <c r="G25" s="25"/>
      <c r="H25" s="25"/>
      <c r="I25" s="25"/>
      <c r="J25" s="93"/>
      <c r="K25" s="25"/>
      <c r="L25" s="76" t="s">
        <v>1420</v>
      </c>
      <c r="M25" s="25"/>
      <c r="N25" s="25"/>
    </row>
    <row r="26" ht="60.0" customHeight="1">
      <c r="A26" s="92" t="s">
        <v>3649</v>
      </c>
      <c r="B26" s="35"/>
      <c r="C26" s="38" t="s">
        <v>13</v>
      </c>
      <c r="D26" s="35"/>
      <c r="E26" s="35"/>
      <c r="F26" s="35"/>
      <c r="G26" s="35"/>
      <c r="H26" s="35"/>
      <c r="I26" s="35"/>
      <c r="J26" s="94"/>
      <c r="K26" s="35"/>
      <c r="L26" s="76" t="s">
        <v>1420</v>
      </c>
      <c r="M26" s="35"/>
      <c r="N26" s="35"/>
    </row>
    <row r="27" ht="25.5" customHeight="1">
      <c r="A27" s="49" t="s">
        <v>3658</v>
      </c>
      <c r="B27" s="50"/>
      <c r="C27" s="50"/>
      <c r="D27" s="50"/>
      <c r="E27" s="50"/>
      <c r="F27" s="50"/>
      <c r="G27" s="50"/>
      <c r="H27" s="50"/>
      <c r="I27" s="52"/>
      <c r="L27" s="95">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1:N11"/>
    <mergeCell ref="A20:N20"/>
    <mergeCell ref="A27:I27"/>
  </mergeCells>
  <printOptions/>
  <pageMargins bottom="1.0" footer="0.0" header="0.0" left="0.75" right="0.75" top="1.0"/>
  <pageSetup paperSize="9" orientation="portrait"/>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89" t="s">
        <v>3734</v>
      </c>
      <c r="B1" s="3"/>
      <c r="C1" s="3"/>
      <c r="D1" s="3"/>
      <c r="E1" s="3"/>
      <c r="F1" s="3"/>
      <c r="G1" s="3"/>
      <c r="H1" s="3"/>
      <c r="I1" s="3"/>
      <c r="J1" s="3"/>
      <c r="K1" s="3"/>
      <c r="L1" s="3"/>
      <c r="M1" s="3"/>
      <c r="N1" s="4"/>
    </row>
    <row r="2" ht="27.75" customHeight="1">
      <c r="A2" s="68" t="s">
        <v>3735</v>
      </c>
      <c r="B2" s="3"/>
      <c r="C2" s="3"/>
      <c r="D2" s="3"/>
      <c r="E2" s="3"/>
      <c r="F2" s="3"/>
      <c r="G2" s="3"/>
      <c r="H2" s="3"/>
      <c r="I2" s="3"/>
      <c r="J2" s="3"/>
      <c r="K2" s="3"/>
      <c r="L2" s="3"/>
      <c r="M2" s="3"/>
      <c r="N2" s="4"/>
    </row>
    <row r="3" ht="24.75" customHeight="1">
      <c r="A3" s="9" t="s">
        <v>22</v>
      </c>
      <c r="B3" s="9" t="s">
        <v>14</v>
      </c>
      <c r="C3" s="9" t="s">
        <v>24</v>
      </c>
      <c r="D3" s="9" t="s">
        <v>25</v>
      </c>
      <c r="E3" s="9" t="s">
        <v>26</v>
      </c>
      <c r="F3" s="9" t="s">
        <v>27</v>
      </c>
      <c r="G3" s="9" t="s">
        <v>28</v>
      </c>
      <c r="H3" s="9" t="s">
        <v>29</v>
      </c>
      <c r="I3" s="9" t="s">
        <v>31</v>
      </c>
      <c r="J3" s="9" t="s">
        <v>32</v>
      </c>
      <c r="K3" s="9" t="s">
        <v>33</v>
      </c>
      <c r="L3" s="9" t="s">
        <v>17</v>
      </c>
      <c r="M3" s="9" t="s">
        <v>35</v>
      </c>
      <c r="N3" s="9" t="s">
        <v>36</v>
      </c>
    </row>
    <row r="4" ht="19.5" customHeight="1">
      <c r="A4" s="18" t="s">
        <v>3507</v>
      </c>
      <c r="B4" s="3"/>
      <c r="C4" s="3"/>
      <c r="D4" s="3"/>
      <c r="E4" s="3"/>
      <c r="F4" s="3"/>
      <c r="G4" s="3"/>
      <c r="H4" s="3"/>
      <c r="I4" s="3"/>
      <c r="J4" s="3"/>
      <c r="K4" s="3"/>
      <c r="L4" s="3"/>
      <c r="M4" s="3"/>
      <c r="N4" s="4"/>
    </row>
    <row r="5" ht="60.0" customHeight="1">
      <c r="A5" s="96" t="s">
        <v>3736</v>
      </c>
      <c r="B5" s="25"/>
      <c r="C5" s="27" t="s">
        <v>10</v>
      </c>
      <c r="D5" s="25"/>
      <c r="E5" s="25"/>
      <c r="F5" s="25"/>
      <c r="G5" s="25"/>
      <c r="H5" s="25"/>
      <c r="I5" s="25"/>
      <c r="J5" s="93"/>
      <c r="K5" s="25"/>
      <c r="L5" s="76" t="s">
        <v>1420</v>
      </c>
      <c r="M5" s="25"/>
      <c r="N5" s="25"/>
    </row>
    <row r="6" ht="60.0" customHeight="1">
      <c r="A6" s="96" t="s">
        <v>3737</v>
      </c>
      <c r="B6" s="35"/>
      <c r="C6" s="27" t="s">
        <v>10</v>
      </c>
      <c r="D6" s="35"/>
      <c r="E6" s="35"/>
      <c r="F6" s="35"/>
      <c r="G6" s="35"/>
      <c r="H6" s="35"/>
      <c r="I6" s="35"/>
      <c r="J6" s="94"/>
      <c r="K6" s="35"/>
      <c r="L6" s="76" t="s">
        <v>1420</v>
      </c>
      <c r="M6" s="35"/>
      <c r="N6" s="35"/>
    </row>
    <row r="7" ht="60.0" customHeight="1">
      <c r="A7" s="96" t="s">
        <v>3738</v>
      </c>
      <c r="B7" s="25"/>
      <c r="C7" s="27" t="s">
        <v>10</v>
      </c>
      <c r="D7" s="25"/>
      <c r="E7" s="25"/>
      <c r="F7" s="25"/>
      <c r="G7" s="25"/>
      <c r="H7" s="25"/>
      <c r="I7" s="25"/>
      <c r="J7" s="93"/>
      <c r="K7" s="25"/>
      <c r="L7" s="76" t="s">
        <v>1420</v>
      </c>
      <c r="M7" s="25"/>
      <c r="N7" s="25"/>
    </row>
    <row r="8" ht="60.0" customHeight="1">
      <c r="A8" s="96" t="s">
        <v>3739</v>
      </c>
      <c r="B8" s="35"/>
      <c r="C8" s="27" t="s">
        <v>10</v>
      </c>
      <c r="D8" s="35"/>
      <c r="E8" s="35"/>
      <c r="F8" s="35"/>
      <c r="G8" s="35"/>
      <c r="H8" s="35"/>
      <c r="I8" s="35"/>
      <c r="J8" s="94"/>
      <c r="K8" s="35"/>
      <c r="L8" s="76" t="s">
        <v>1420</v>
      </c>
      <c r="M8" s="35"/>
      <c r="N8" s="35"/>
    </row>
    <row r="9" ht="60.0" customHeight="1">
      <c r="A9" s="96" t="s">
        <v>3740</v>
      </c>
      <c r="B9" s="25"/>
      <c r="C9" s="27" t="s">
        <v>10</v>
      </c>
      <c r="D9" s="25"/>
      <c r="E9" s="25"/>
      <c r="F9" s="25"/>
      <c r="G9" s="25"/>
      <c r="H9" s="25"/>
      <c r="I9" s="25"/>
      <c r="J9" s="93"/>
      <c r="K9" s="25"/>
      <c r="L9" s="76" t="s">
        <v>1420</v>
      </c>
      <c r="M9" s="25"/>
      <c r="N9" s="25"/>
    </row>
    <row r="10" ht="60.0" customHeight="1">
      <c r="A10" s="96" t="s">
        <v>3741</v>
      </c>
      <c r="B10" s="35"/>
      <c r="C10" s="27" t="s">
        <v>10</v>
      </c>
      <c r="D10" s="35"/>
      <c r="E10" s="35"/>
      <c r="F10" s="35"/>
      <c r="G10" s="35"/>
      <c r="H10" s="35"/>
      <c r="I10" s="35"/>
      <c r="J10" s="94"/>
      <c r="K10" s="35"/>
      <c r="L10" s="76" t="s">
        <v>1420</v>
      </c>
      <c r="M10" s="35"/>
      <c r="N10" s="35"/>
    </row>
    <row r="11" ht="19.5" customHeight="1">
      <c r="A11" s="61" t="s">
        <v>3565</v>
      </c>
      <c r="B11" s="3"/>
      <c r="C11" s="3"/>
      <c r="D11" s="3"/>
      <c r="E11" s="3"/>
      <c r="F11" s="3"/>
      <c r="G11" s="3"/>
      <c r="H11" s="3"/>
      <c r="I11" s="3"/>
      <c r="J11" s="3"/>
      <c r="K11" s="3"/>
      <c r="L11" s="3"/>
      <c r="M11" s="3"/>
      <c r="N11" s="4"/>
    </row>
    <row r="12" ht="60.0" customHeight="1">
      <c r="A12" s="96" t="s">
        <v>3742</v>
      </c>
      <c r="B12" s="25"/>
      <c r="C12" s="17" t="s">
        <v>12</v>
      </c>
      <c r="D12" s="25"/>
      <c r="E12" s="25"/>
      <c r="F12" s="25"/>
      <c r="G12" s="25"/>
      <c r="H12" s="25"/>
      <c r="I12" s="25"/>
      <c r="J12" s="93"/>
      <c r="K12" s="25"/>
      <c r="L12" s="76" t="s">
        <v>1420</v>
      </c>
      <c r="M12" s="25"/>
      <c r="N12" s="25"/>
    </row>
    <row r="13" ht="60.0" customHeight="1">
      <c r="A13" s="96" t="s">
        <v>3743</v>
      </c>
      <c r="B13" s="35"/>
      <c r="C13" s="17" t="s">
        <v>12</v>
      </c>
      <c r="D13" s="35"/>
      <c r="E13" s="35"/>
      <c r="F13" s="35"/>
      <c r="G13" s="35"/>
      <c r="H13" s="35"/>
      <c r="I13" s="35"/>
      <c r="J13" s="94"/>
      <c r="K13" s="35"/>
      <c r="L13" s="76" t="s">
        <v>1420</v>
      </c>
      <c r="M13" s="35"/>
      <c r="N13" s="35"/>
    </row>
    <row r="14" ht="60.0" customHeight="1">
      <c r="A14" s="96" t="s">
        <v>3744</v>
      </c>
      <c r="B14" s="25"/>
      <c r="C14" s="17" t="s">
        <v>12</v>
      </c>
      <c r="D14" s="25"/>
      <c r="E14" s="25"/>
      <c r="F14" s="25"/>
      <c r="G14" s="25"/>
      <c r="H14" s="25"/>
      <c r="I14" s="25"/>
      <c r="J14" s="93"/>
      <c r="K14" s="25"/>
      <c r="L14" s="76" t="s">
        <v>1420</v>
      </c>
      <c r="M14" s="25"/>
      <c r="N14" s="25"/>
    </row>
    <row r="15" ht="60.0" customHeight="1">
      <c r="A15" s="96" t="s">
        <v>3745</v>
      </c>
      <c r="B15" s="35"/>
      <c r="C15" s="17" t="s">
        <v>12</v>
      </c>
      <c r="D15" s="35"/>
      <c r="E15" s="35"/>
      <c r="F15" s="35"/>
      <c r="G15" s="35"/>
      <c r="H15" s="35"/>
      <c r="I15" s="35"/>
      <c r="J15" s="94"/>
      <c r="K15" s="35"/>
      <c r="L15" s="76" t="s">
        <v>1420</v>
      </c>
      <c r="M15" s="35"/>
      <c r="N15" s="35"/>
    </row>
    <row r="16" ht="60.0" customHeight="1">
      <c r="A16" s="96" t="s">
        <v>3746</v>
      </c>
      <c r="B16" s="25"/>
      <c r="C16" s="17" t="s">
        <v>12</v>
      </c>
      <c r="D16" s="25"/>
      <c r="E16" s="25"/>
      <c r="F16" s="25"/>
      <c r="G16" s="25"/>
      <c r="H16" s="25"/>
      <c r="I16" s="25"/>
      <c r="J16" s="93"/>
      <c r="K16" s="25"/>
      <c r="L16" s="76" t="s">
        <v>1420</v>
      </c>
      <c r="M16" s="25"/>
      <c r="N16" s="25"/>
    </row>
    <row r="17" ht="60.0" customHeight="1">
      <c r="A17" s="96" t="s">
        <v>3747</v>
      </c>
      <c r="B17" s="35"/>
      <c r="C17" s="17" t="s">
        <v>12</v>
      </c>
      <c r="D17" s="35"/>
      <c r="E17" s="35"/>
      <c r="F17" s="35"/>
      <c r="G17" s="35"/>
      <c r="H17" s="35"/>
      <c r="I17" s="35"/>
      <c r="J17" s="94"/>
      <c r="K17" s="35"/>
      <c r="L17" s="76" t="s">
        <v>1420</v>
      </c>
      <c r="M17" s="35"/>
      <c r="N17" s="35"/>
    </row>
    <row r="18" ht="60.0" customHeight="1">
      <c r="A18" s="96" t="s">
        <v>3748</v>
      </c>
      <c r="B18" s="25"/>
      <c r="C18" s="17" t="s">
        <v>12</v>
      </c>
      <c r="D18" s="25"/>
      <c r="E18" s="25"/>
      <c r="F18" s="25"/>
      <c r="G18" s="25"/>
      <c r="H18" s="25"/>
      <c r="I18" s="25"/>
      <c r="J18" s="93"/>
      <c r="K18" s="25"/>
      <c r="L18" s="76" t="s">
        <v>1420</v>
      </c>
      <c r="M18" s="25"/>
      <c r="N18" s="25"/>
    </row>
    <row r="19" ht="60.0" customHeight="1">
      <c r="A19" s="96" t="s">
        <v>3749</v>
      </c>
      <c r="B19" s="35"/>
      <c r="C19" s="17" t="s">
        <v>12</v>
      </c>
      <c r="D19" s="35"/>
      <c r="E19" s="35"/>
      <c r="F19" s="35"/>
      <c r="G19" s="35"/>
      <c r="H19" s="35"/>
      <c r="I19" s="35"/>
      <c r="J19" s="94"/>
      <c r="K19" s="35"/>
      <c r="L19" s="76" t="s">
        <v>1420</v>
      </c>
      <c r="M19" s="35"/>
      <c r="N19" s="35"/>
    </row>
    <row r="20" ht="19.5" customHeight="1">
      <c r="A20" s="69" t="s">
        <v>3619</v>
      </c>
      <c r="B20" s="3"/>
      <c r="C20" s="3"/>
      <c r="D20" s="3"/>
      <c r="E20" s="3"/>
      <c r="F20" s="3"/>
      <c r="G20" s="3"/>
      <c r="H20" s="3"/>
      <c r="I20" s="3"/>
      <c r="J20" s="3"/>
      <c r="K20" s="3"/>
      <c r="L20" s="3"/>
      <c r="M20" s="3"/>
      <c r="N20" s="4"/>
    </row>
    <row r="21" ht="60.0" customHeight="1">
      <c r="A21" s="96" t="s">
        <v>3750</v>
      </c>
      <c r="B21" s="25"/>
      <c r="C21" s="38" t="s">
        <v>13</v>
      </c>
      <c r="D21" s="25"/>
      <c r="E21" s="25"/>
      <c r="F21" s="25"/>
      <c r="G21" s="25"/>
      <c r="H21" s="25"/>
      <c r="I21" s="25"/>
      <c r="J21" s="93"/>
      <c r="K21" s="25"/>
      <c r="L21" s="76" t="s">
        <v>1420</v>
      </c>
      <c r="M21" s="25"/>
      <c r="N21" s="25"/>
    </row>
    <row r="22" ht="60.0" customHeight="1">
      <c r="A22" s="96" t="s">
        <v>3752</v>
      </c>
      <c r="B22" s="35"/>
      <c r="C22" s="38" t="s">
        <v>13</v>
      </c>
      <c r="D22" s="35"/>
      <c r="E22" s="35"/>
      <c r="F22" s="35"/>
      <c r="G22" s="35"/>
      <c r="H22" s="35"/>
      <c r="I22" s="35"/>
      <c r="J22" s="94"/>
      <c r="K22" s="35"/>
      <c r="L22" s="76" t="s">
        <v>1420</v>
      </c>
      <c r="M22" s="35"/>
      <c r="N22" s="35"/>
    </row>
    <row r="23" ht="60.0" customHeight="1">
      <c r="A23" s="96" t="s">
        <v>3754</v>
      </c>
      <c r="B23" s="25"/>
      <c r="C23" s="38" t="s">
        <v>13</v>
      </c>
      <c r="D23" s="25"/>
      <c r="E23" s="25"/>
      <c r="F23" s="25"/>
      <c r="G23" s="25"/>
      <c r="H23" s="25"/>
      <c r="I23" s="25"/>
      <c r="J23" s="93"/>
      <c r="K23" s="25"/>
      <c r="L23" s="76" t="s">
        <v>1420</v>
      </c>
      <c r="M23" s="25"/>
      <c r="N23" s="25"/>
    </row>
    <row r="24" ht="60.0" customHeight="1">
      <c r="A24" s="96" t="s">
        <v>3755</v>
      </c>
      <c r="B24" s="35"/>
      <c r="C24" s="38" t="s">
        <v>13</v>
      </c>
      <c r="D24" s="35"/>
      <c r="E24" s="35"/>
      <c r="F24" s="35"/>
      <c r="G24" s="35"/>
      <c r="H24" s="35"/>
      <c r="I24" s="35"/>
      <c r="J24" s="94"/>
      <c r="K24" s="35"/>
      <c r="L24" s="76" t="s">
        <v>1420</v>
      </c>
      <c r="M24" s="35"/>
      <c r="N24" s="35"/>
    </row>
    <row r="25" ht="60.0" customHeight="1">
      <c r="A25" s="96" t="s">
        <v>3756</v>
      </c>
      <c r="B25" s="25"/>
      <c r="C25" s="38" t="s">
        <v>13</v>
      </c>
      <c r="D25" s="25"/>
      <c r="E25" s="25"/>
      <c r="F25" s="25"/>
      <c r="G25" s="25"/>
      <c r="H25" s="25"/>
      <c r="I25" s="25"/>
      <c r="J25" s="93"/>
      <c r="K25" s="25"/>
      <c r="L25" s="76" t="s">
        <v>1420</v>
      </c>
      <c r="M25" s="25"/>
      <c r="N25" s="25"/>
    </row>
    <row r="26" ht="60.0" customHeight="1">
      <c r="A26" s="96" t="s">
        <v>3757</v>
      </c>
      <c r="B26" s="35"/>
      <c r="C26" s="38" t="s">
        <v>13</v>
      </c>
      <c r="D26" s="35"/>
      <c r="E26" s="35"/>
      <c r="F26" s="35"/>
      <c r="G26" s="35"/>
      <c r="H26" s="35"/>
      <c r="I26" s="35"/>
      <c r="J26" s="94"/>
      <c r="K26" s="35"/>
      <c r="L26" s="76" t="s">
        <v>1420</v>
      </c>
      <c r="M26" s="35"/>
      <c r="N26" s="35"/>
    </row>
    <row r="27" ht="25.5" customHeight="1">
      <c r="A27" s="49" t="s">
        <v>3759</v>
      </c>
      <c r="B27" s="50"/>
      <c r="C27" s="50"/>
      <c r="D27" s="50"/>
      <c r="E27" s="50"/>
      <c r="F27" s="50"/>
      <c r="G27" s="50"/>
      <c r="H27" s="50"/>
      <c r="I27" s="52"/>
      <c r="L27" s="98">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1:N11"/>
    <mergeCell ref="A20:N20"/>
    <mergeCell ref="A27:I27"/>
  </mergeCells>
  <printOptions/>
  <pageMargins bottom="1.0" footer="0.0" header="0.0" left="0.75" right="0.75" top="1.0"/>
  <pageSetup paperSize="9" orientation="portrait"/>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89" t="s">
        <v>3751</v>
      </c>
      <c r="B1" s="3"/>
      <c r="C1" s="3"/>
      <c r="D1" s="3"/>
      <c r="E1" s="3"/>
      <c r="F1" s="3"/>
      <c r="G1" s="3"/>
      <c r="H1" s="3"/>
      <c r="I1" s="3"/>
      <c r="J1" s="3"/>
      <c r="K1" s="3"/>
      <c r="L1" s="3"/>
      <c r="M1" s="3"/>
      <c r="N1" s="4"/>
    </row>
    <row r="2" ht="27.75" customHeight="1">
      <c r="A2" s="80" t="s">
        <v>3753</v>
      </c>
      <c r="B2" s="3"/>
      <c r="C2" s="3"/>
      <c r="D2" s="3"/>
      <c r="E2" s="3"/>
      <c r="F2" s="3"/>
      <c r="G2" s="3"/>
      <c r="H2" s="3"/>
      <c r="I2" s="3"/>
      <c r="J2" s="3"/>
      <c r="K2" s="3"/>
      <c r="L2" s="3"/>
      <c r="M2" s="3"/>
      <c r="N2" s="4"/>
    </row>
    <row r="3" ht="24.75" customHeight="1">
      <c r="A3" s="97" t="s">
        <v>22</v>
      </c>
      <c r="B3" s="97" t="s">
        <v>14</v>
      </c>
      <c r="C3" s="97" t="s">
        <v>24</v>
      </c>
      <c r="D3" s="97" t="s">
        <v>25</v>
      </c>
      <c r="E3" s="97" t="s">
        <v>26</v>
      </c>
      <c r="F3" s="97" t="s">
        <v>27</v>
      </c>
      <c r="G3" s="97" t="s">
        <v>28</v>
      </c>
      <c r="H3" s="97" t="s">
        <v>29</v>
      </c>
      <c r="I3" s="97" t="s">
        <v>31</v>
      </c>
      <c r="J3" s="97" t="s">
        <v>32</v>
      </c>
      <c r="K3" s="97" t="s">
        <v>33</v>
      </c>
      <c r="L3" s="97" t="s">
        <v>17</v>
      </c>
      <c r="M3" s="97" t="s">
        <v>35</v>
      </c>
      <c r="N3" s="97" t="s">
        <v>36</v>
      </c>
    </row>
    <row r="4" ht="19.5" customHeight="1">
      <c r="A4" s="18" t="s">
        <v>3507</v>
      </c>
      <c r="B4" s="3"/>
      <c r="C4" s="3"/>
      <c r="D4" s="3"/>
      <c r="E4" s="3"/>
      <c r="F4" s="3"/>
      <c r="G4" s="3"/>
      <c r="H4" s="3"/>
      <c r="I4" s="3"/>
      <c r="J4" s="3"/>
      <c r="K4" s="3"/>
      <c r="L4" s="3"/>
      <c r="M4" s="3"/>
      <c r="N4" s="4"/>
    </row>
    <row r="5" ht="60.0" customHeight="1">
      <c r="A5" s="81" t="s">
        <v>3758</v>
      </c>
      <c r="B5" s="25"/>
      <c r="C5" s="27" t="s">
        <v>10</v>
      </c>
      <c r="D5" s="25"/>
      <c r="E5" s="25"/>
      <c r="F5" s="25"/>
      <c r="G5" s="25"/>
      <c r="H5" s="25"/>
      <c r="I5" s="25"/>
      <c r="J5" s="93"/>
      <c r="K5" s="25"/>
      <c r="L5" s="76" t="s">
        <v>1420</v>
      </c>
      <c r="M5" s="25"/>
      <c r="N5" s="25"/>
    </row>
    <row r="6" ht="60.0" customHeight="1">
      <c r="A6" s="81" t="s">
        <v>3760</v>
      </c>
      <c r="B6" s="35"/>
      <c r="C6" s="27" t="s">
        <v>10</v>
      </c>
      <c r="D6" s="35"/>
      <c r="E6" s="35"/>
      <c r="F6" s="35"/>
      <c r="G6" s="35"/>
      <c r="H6" s="35"/>
      <c r="I6" s="35"/>
      <c r="J6" s="94"/>
      <c r="K6" s="35"/>
      <c r="L6" s="76" t="s">
        <v>1420</v>
      </c>
      <c r="M6" s="35"/>
      <c r="N6" s="35"/>
    </row>
    <row r="7" ht="60.0" customHeight="1">
      <c r="A7" s="81" t="s">
        <v>3761</v>
      </c>
      <c r="B7" s="25"/>
      <c r="C7" s="27" t="s">
        <v>10</v>
      </c>
      <c r="D7" s="25"/>
      <c r="E7" s="25"/>
      <c r="F7" s="25"/>
      <c r="G7" s="25"/>
      <c r="H7" s="25"/>
      <c r="I7" s="25"/>
      <c r="J7" s="93"/>
      <c r="K7" s="25"/>
      <c r="L7" s="76" t="s">
        <v>1420</v>
      </c>
      <c r="M7" s="25"/>
      <c r="N7" s="25"/>
    </row>
    <row r="8" ht="60.0" customHeight="1">
      <c r="A8" s="81" t="s">
        <v>3762</v>
      </c>
      <c r="B8" s="35"/>
      <c r="C8" s="27" t="s">
        <v>10</v>
      </c>
      <c r="D8" s="35"/>
      <c r="E8" s="35"/>
      <c r="F8" s="35"/>
      <c r="G8" s="35"/>
      <c r="H8" s="35"/>
      <c r="I8" s="35"/>
      <c r="J8" s="94"/>
      <c r="K8" s="35"/>
      <c r="L8" s="76" t="s">
        <v>1420</v>
      </c>
      <c r="M8" s="35"/>
      <c r="N8" s="35"/>
    </row>
    <row r="9" ht="60.0" customHeight="1">
      <c r="A9" s="81" t="s">
        <v>3763</v>
      </c>
      <c r="B9" s="25"/>
      <c r="C9" s="27" t="s">
        <v>10</v>
      </c>
      <c r="D9" s="25"/>
      <c r="E9" s="25"/>
      <c r="F9" s="25"/>
      <c r="G9" s="25"/>
      <c r="H9" s="25"/>
      <c r="I9" s="25"/>
      <c r="J9" s="93"/>
      <c r="K9" s="25"/>
      <c r="L9" s="76" t="s">
        <v>1420</v>
      </c>
      <c r="M9" s="25"/>
      <c r="N9" s="25"/>
    </row>
    <row r="10" ht="60.0" customHeight="1">
      <c r="A10" s="81" t="s">
        <v>3764</v>
      </c>
      <c r="B10" s="35"/>
      <c r="C10" s="27" t="s">
        <v>10</v>
      </c>
      <c r="D10" s="35"/>
      <c r="E10" s="35"/>
      <c r="F10" s="35"/>
      <c r="G10" s="35"/>
      <c r="H10" s="35"/>
      <c r="I10" s="35"/>
      <c r="J10" s="94"/>
      <c r="K10" s="35"/>
      <c r="L10" s="76" t="s">
        <v>1420</v>
      </c>
      <c r="M10" s="35"/>
      <c r="N10" s="35"/>
    </row>
    <row r="11" ht="19.5" customHeight="1">
      <c r="A11" s="61" t="s">
        <v>3565</v>
      </c>
      <c r="B11" s="3"/>
      <c r="C11" s="3"/>
      <c r="D11" s="3"/>
      <c r="E11" s="3"/>
      <c r="F11" s="3"/>
      <c r="G11" s="3"/>
      <c r="H11" s="3"/>
      <c r="I11" s="3"/>
      <c r="J11" s="3"/>
      <c r="K11" s="3"/>
      <c r="L11" s="3"/>
      <c r="M11" s="3"/>
      <c r="N11" s="4"/>
    </row>
    <row r="12" ht="60.0" customHeight="1">
      <c r="A12" s="81" t="s">
        <v>3765</v>
      </c>
      <c r="B12" s="25"/>
      <c r="C12" s="17" t="s">
        <v>12</v>
      </c>
      <c r="D12" s="25"/>
      <c r="E12" s="25"/>
      <c r="F12" s="25"/>
      <c r="G12" s="25"/>
      <c r="H12" s="25"/>
      <c r="I12" s="25"/>
      <c r="J12" s="93"/>
      <c r="K12" s="25"/>
      <c r="L12" s="76" t="s">
        <v>1420</v>
      </c>
      <c r="M12" s="25"/>
      <c r="N12" s="25"/>
    </row>
    <row r="13" ht="60.0" customHeight="1">
      <c r="A13" s="81" t="s">
        <v>3766</v>
      </c>
      <c r="B13" s="35"/>
      <c r="C13" s="17" t="s">
        <v>12</v>
      </c>
      <c r="D13" s="35"/>
      <c r="E13" s="35"/>
      <c r="F13" s="35"/>
      <c r="G13" s="35"/>
      <c r="H13" s="35"/>
      <c r="I13" s="35"/>
      <c r="J13" s="94"/>
      <c r="K13" s="35"/>
      <c r="L13" s="76" t="s">
        <v>1420</v>
      </c>
      <c r="M13" s="35"/>
      <c r="N13" s="35"/>
    </row>
    <row r="14" ht="60.0" customHeight="1">
      <c r="A14" s="81" t="s">
        <v>3767</v>
      </c>
      <c r="B14" s="25"/>
      <c r="C14" s="17" t="s">
        <v>12</v>
      </c>
      <c r="D14" s="25"/>
      <c r="E14" s="25"/>
      <c r="F14" s="25"/>
      <c r="G14" s="25"/>
      <c r="H14" s="25"/>
      <c r="I14" s="25"/>
      <c r="J14" s="93"/>
      <c r="K14" s="25"/>
      <c r="L14" s="76" t="s">
        <v>1420</v>
      </c>
      <c r="M14" s="25"/>
      <c r="N14" s="25"/>
    </row>
    <row r="15" ht="60.0" customHeight="1">
      <c r="A15" s="81" t="s">
        <v>3768</v>
      </c>
      <c r="B15" s="35"/>
      <c r="C15" s="17" t="s">
        <v>12</v>
      </c>
      <c r="D15" s="35"/>
      <c r="E15" s="35"/>
      <c r="F15" s="35"/>
      <c r="G15" s="35"/>
      <c r="H15" s="35"/>
      <c r="I15" s="35"/>
      <c r="J15" s="94"/>
      <c r="K15" s="35"/>
      <c r="L15" s="76" t="s">
        <v>1420</v>
      </c>
      <c r="M15" s="35"/>
      <c r="N15" s="35"/>
    </row>
    <row r="16" ht="60.0" customHeight="1">
      <c r="A16" s="81" t="s">
        <v>3769</v>
      </c>
      <c r="B16" s="25"/>
      <c r="C16" s="17" t="s">
        <v>12</v>
      </c>
      <c r="D16" s="25"/>
      <c r="E16" s="25"/>
      <c r="F16" s="25"/>
      <c r="G16" s="25"/>
      <c r="H16" s="25"/>
      <c r="I16" s="25"/>
      <c r="J16" s="93"/>
      <c r="K16" s="25"/>
      <c r="L16" s="76" t="s">
        <v>1420</v>
      </c>
      <c r="M16" s="25"/>
      <c r="N16" s="25"/>
    </row>
    <row r="17" ht="60.0" customHeight="1">
      <c r="A17" s="81" t="s">
        <v>3770</v>
      </c>
      <c r="B17" s="35"/>
      <c r="C17" s="17" t="s">
        <v>12</v>
      </c>
      <c r="D17" s="35"/>
      <c r="E17" s="35"/>
      <c r="F17" s="35"/>
      <c r="G17" s="35"/>
      <c r="H17" s="35"/>
      <c r="I17" s="35"/>
      <c r="J17" s="94"/>
      <c r="K17" s="35"/>
      <c r="L17" s="76" t="s">
        <v>1420</v>
      </c>
      <c r="M17" s="35"/>
      <c r="N17" s="35"/>
    </row>
    <row r="18" ht="60.0" customHeight="1">
      <c r="A18" s="81" t="s">
        <v>3771</v>
      </c>
      <c r="B18" s="25"/>
      <c r="C18" s="17" t="s">
        <v>12</v>
      </c>
      <c r="D18" s="25"/>
      <c r="E18" s="25"/>
      <c r="F18" s="25"/>
      <c r="G18" s="25"/>
      <c r="H18" s="25"/>
      <c r="I18" s="25"/>
      <c r="J18" s="93"/>
      <c r="K18" s="25"/>
      <c r="L18" s="76" t="s">
        <v>1420</v>
      </c>
      <c r="M18" s="25"/>
      <c r="N18" s="25"/>
    </row>
    <row r="19" ht="60.0" customHeight="1">
      <c r="A19" s="81" t="s">
        <v>3772</v>
      </c>
      <c r="B19" s="35"/>
      <c r="C19" s="17" t="s">
        <v>12</v>
      </c>
      <c r="D19" s="35"/>
      <c r="E19" s="35"/>
      <c r="F19" s="35"/>
      <c r="G19" s="35"/>
      <c r="H19" s="35"/>
      <c r="I19" s="35"/>
      <c r="J19" s="94"/>
      <c r="K19" s="35"/>
      <c r="L19" s="76" t="s">
        <v>1420</v>
      </c>
      <c r="M19" s="35"/>
      <c r="N19" s="35"/>
    </row>
    <row r="20" ht="19.5" customHeight="1">
      <c r="A20" s="69" t="s">
        <v>3619</v>
      </c>
      <c r="B20" s="3"/>
      <c r="C20" s="3"/>
      <c r="D20" s="3"/>
      <c r="E20" s="3"/>
      <c r="F20" s="3"/>
      <c r="G20" s="3"/>
      <c r="H20" s="3"/>
      <c r="I20" s="3"/>
      <c r="J20" s="3"/>
      <c r="K20" s="3"/>
      <c r="L20" s="3"/>
      <c r="M20" s="3"/>
      <c r="N20" s="4"/>
    </row>
    <row r="21" ht="60.0" customHeight="1">
      <c r="A21" s="81" t="s">
        <v>3773</v>
      </c>
      <c r="B21" s="25"/>
      <c r="C21" s="38" t="s">
        <v>13</v>
      </c>
      <c r="D21" s="25"/>
      <c r="E21" s="25"/>
      <c r="F21" s="25"/>
      <c r="G21" s="25"/>
      <c r="H21" s="25"/>
      <c r="I21" s="25"/>
      <c r="J21" s="93"/>
      <c r="K21" s="25"/>
      <c r="L21" s="76" t="s">
        <v>1420</v>
      </c>
      <c r="M21" s="25"/>
      <c r="N21" s="25"/>
    </row>
    <row r="22" ht="60.0" customHeight="1">
      <c r="A22" s="81" t="s">
        <v>3774</v>
      </c>
      <c r="B22" s="35"/>
      <c r="C22" s="38" t="s">
        <v>13</v>
      </c>
      <c r="D22" s="35"/>
      <c r="E22" s="35"/>
      <c r="F22" s="35"/>
      <c r="G22" s="35"/>
      <c r="H22" s="35"/>
      <c r="I22" s="35"/>
      <c r="J22" s="94"/>
      <c r="K22" s="35"/>
      <c r="L22" s="76" t="s">
        <v>1420</v>
      </c>
      <c r="M22" s="35"/>
      <c r="N22" s="35"/>
    </row>
    <row r="23" ht="60.0" customHeight="1">
      <c r="A23" s="81" t="s">
        <v>3775</v>
      </c>
      <c r="B23" s="25"/>
      <c r="C23" s="38" t="s">
        <v>13</v>
      </c>
      <c r="D23" s="25"/>
      <c r="E23" s="25"/>
      <c r="F23" s="25"/>
      <c r="G23" s="25"/>
      <c r="H23" s="25"/>
      <c r="I23" s="25"/>
      <c r="J23" s="93"/>
      <c r="K23" s="25"/>
      <c r="L23" s="76" t="s">
        <v>1420</v>
      </c>
      <c r="M23" s="25"/>
      <c r="N23" s="25"/>
    </row>
    <row r="24" ht="60.0" customHeight="1">
      <c r="A24" s="81" t="s">
        <v>3776</v>
      </c>
      <c r="B24" s="35"/>
      <c r="C24" s="38" t="s">
        <v>13</v>
      </c>
      <c r="D24" s="35"/>
      <c r="E24" s="35"/>
      <c r="F24" s="35"/>
      <c r="G24" s="35"/>
      <c r="H24" s="35"/>
      <c r="I24" s="35"/>
      <c r="J24" s="94"/>
      <c r="K24" s="35"/>
      <c r="L24" s="76" t="s">
        <v>1420</v>
      </c>
      <c r="M24" s="35"/>
      <c r="N24" s="35"/>
    </row>
    <row r="25" ht="60.0" customHeight="1">
      <c r="A25" s="81" t="s">
        <v>3777</v>
      </c>
      <c r="B25" s="25"/>
      <c r="C25" s="38" t="s">
        <v>13</v>
      </c>
      <c r="D25" s="25"/>
      <c r="E25" s="25"/>
      <c r="F25" s="25"/>
      <c r="G25" s="25"/>
      <c r="H25" s="25"/>
      <c r="I25" s="25"/>
      <c r="J25" s="93"/>
      <c r="K25" s="25"/>
      <c r="L25" s="76" t="s">
        <v>1420</v>
      </c>
      <c r="M25" s="25"/>
      <c r="N25" s="25"/>
    </row>
    <row r="26" ht="60.0" customHeight="1">
      <c r="A26" s="81" t="s">
        <v>3778</v>
      </c>
      <c r="B26" s="35"/>
      <c r="C26" s="38" t="s">
        <v>13</v>
      </c>
      <c r="D26" s="35"/>
      <c r="E26" s="35"/>
      <c r="F26" s="35"/>
      <c r="G26" s="35"/>
      <c r="H26" s="35"/>
      <c r="I26" s="35"/>
      <c r="J26" s="94"/>
      <c r="K26" s="35"/>
      <c r="L26" s="76" t="s">
        <v>1420</v>
      </c>
      <c r="M26" s="35"/>
      <c r="N26" s="35"/>
    </row>
    <row r="27" ht="25.5" customHeight="1">
      <c r="A27" s="49" t="s">
        <v>3779</v>
      </c>
      <c r="B27" s="50"/>
      <c r="C27" s="50"/>
      <c r="D27" s="50"/>
      <c r="E27" s="50"/>
      <c r="F27" s="50"/>
      <c r="G27" s="50"/>
      <c r="H27" s="50"/>
      <c r="I27" s="52"/>
      <c r="L27" s="82">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1:N11"/>
    <mergeCell ref="A20:N20"/>
    <mergeCell ref="A27:I27"/>
  </mergeCells>
  <printOptions/>
  <pageMargins bottom="1.0" footer="0.0" header="0.0" left="0.75" right="0.75" top="1.0"/>
  <pageSetup paperSize="9" orientation="portrait"/>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89" t="s">
        <v>3477</v>
      </c>
      <c r="B1" s="3"/>
      <c r="C1" s="3"/>
      <c r="D1" s="3"/>
      <c r="E1" s="3"/>
      <c r="F1" s="3"/>
      <c r="G1" s="3"/>
      <c r="H1" s="3"/>
      <c r="I1" s="3"/>
      <c r="J1" s="3"/>
      <c r="K1" s="3"/>
      <c r="L1" s="3"/>
      <c r="M1" s="3"/>
      <c r="N1" s="4"/>
    </row>
    <row r="2" ht="27.75" customHeight="1">
      <c r="A2" s="90" t="s">
        <v>3485</v>
      </c>
      <c r="B2" s="3"/>
      <c r="C2" s="3"/>
      <c r="D2" s="3"/>
      <c r="E2" s="3"/>
      <c r="F2" s="3"/>
      <c r="G2" s="3"/>
      <c r="H2" s="3"/>
      <c r="I2" s="3"/>
      <c r="J2" s="3"/>
      <c r="K2" s="3"/>
      <c r="L2" s="3"/>
      <c r="M2" s="3"/>
      <c r="N2" s="4"/>
    </row>
    <row r="3" ht="24.75" customHeight="1">
      <c r="A3" s="91" t="s">
        <v>22</v>
      </c>
      <c r="B3" s="91" t="s">
        <v>14</v>
      </c>
      <c r="C3" s="91" t="s">
        <v>24</v>
      </c>
      <c r="D3" s="91" t="s">
        <v>25</v>
      </c>
      <c r="E3" s="91" t="s">
        <v>26</v>
      </c>
      <c r="F3" s="91" t="s">
        <v>27</v>
      </c>
      <c r="G3" s="91" t="s">
        <v>28</v>
      </c>
      <c r="H3" s="91" t="s">
        <v>29</v>
      </c>
      <c r="I3" s="91" t="s">
        <v>31</v>
      </c>
      <c r="J3" s="91" t="s">
        <v>32</v>
      </c>
      <c r="K3" s="91" t="s">
        <v>33</v>
      </c>
      <c r="L3" s="91" t="s">
        <v>17</v>
      </c>
      <c r="M3" s="91" t="s">
        <v>35</v>
      </c>
      <c r="N3" s="91" t="s">
        <v>36</v>
      </c>
    </row>
    <row r="4" ht="19.5" customHeight="1">
      <c r="A4" s="18" t="s">
        <v>3507</v>
      </c>
      <c r="B4" s="3"/>
      <c r="C4" s="3"/>
      <c r="D4" s="3"/>
      <c r="E4" s="3"/>
      <c r="F4" s="3"/>
      <c r="G4" s="3"/>
      <c r="H4" s="3"/>
      <c r="I4" s="3"/>
      <c r="J4" s="3"/>
      <c r="K4" s="3"/>
      <c r="L4" s="3"/>
      <c r="M4" s="3"/>
      <c r="N4" s="4"/>
    </row>
    <row r="5" ht="60.0" customHeight="1">
      <c r="A5" s="92" t="s">
        <v>3520</v>
      </c>
      <c r="B5" s="25"/>
      <c r="C5" s="27" t="s">
        <v>10</v>
      </c>
      <c r="D5" s="25"/>
      <c r="E5" s="25"/>
      <c r="F5" s="25"/>
      <c r="G5" s="25"/>
      <c r="H5" s="25"/>
      <c r="I5" s="25"/>
      <c r="J5" s="93"/>
      <c r="K5" s="25"/>
      <c r="L5" s="76" t="s">
        <v>1420</v>
      </c>
      <c r="M5" s="25"/>
      <c r="N5" s="25"/>
    </row>
    <row r="6" ht="60.0" customHeight="1">
      <c r="A6" s="92" t="s">
        <v>3531</v>
      </c>
      <c r="B6" s="35"/>
      <c r="C6" s="27" t="s">
        <v>10</v>
      </c>
      <c r="D6" s="35"/>
      <c r="E6" s="35"/>
      <c r="F6" s="35"/>
      <c r="G6" s="35"/>
      <c r="H6" s="35"/>
      <c r="I6" s="35"/>
      <c r="J6" s="94"/>
      <c r="K6" s="35"/>
      <c r="L6" s="76" t="s">
        <v>1420</v>
      </c>
      <c r="M6" s="35"/>
      <c r="N6" s="35"/>
    </row>
    <row r="7" ht="60.0" customHeight="1">
      <c r="A7" s="92" t="s">
        <v>3539</v>
      </c>
      <c r="B7" s="25"/>
      <c r="C7" s="27" t="s">
        <v>10</v>
      </c>
      <c r="D7" s="25"/>
      <c r="E7" s="25"/>
      <c r="F7" s="25"/>
      <c r="G7" s="25"/>
      <c r="H7" s="25"/>
      <c r="I7" s="25"/>
      <c r="J7" s="93"/>
      <c r="K7" s="25"/>
      <c r="L7" s="76" t="s">
        <v>1420</v>
      </c>
      <c r="M7" s="25"/>
      <c r="N7" s="25"/>
    </row>
    <row r="8" ht="60.0" customHeight="1">
      <c r="A8" s="92" t="s">
        <v>3543</v>
      </c>
      <c r="B8" s="35"/>
      <c r="C8" s="27" t="s">
        <v>10</v>
      </c>
      <c r="D8" s="35"/>
      <c r="E8" s="35"/>
      <c r="F8" s="35"/>
      <c r="G8" s="35"/>
      <c r="H8" s="35"/>
      <c r="I8" s="35"/>
      <c r="J8" s="94"/>
      <c r="K8" s="35"/>
      <c r="L8" s="76" t="s">
        <v>1420</v>
      </c>
      <c r="M8" s="35"/>
      <c r="N8" s="35"/>
    </row>
    <row r="9" ht="60.0" customHeight="1">
      <c r="A9" s="92" t="s">
        <v>3549</v>
      </c>
      <c r="B9" s="25"/>
      <c r="C9" s="27" t="s">
        <v>10</v>
      </c>
      <c r="D9" s="25"/>
      <c r="E9" s="25"/>
      <c r="F9" s="25"/>
      <c r="G9" s="25"/>
      <c r="H9" s="25"/>
      <c r="I9" s="25"/>
      <c r="J9" s="93"/>
      <c r="K9" s="25"/>
      <c r="L9" s="76" t="s">
        <v>1420</v>
      </c>
      <c r="M9" s="25"/>
      <c r="N9" s="25"/>
    </row>
    <row r="10" ht="60.0" customHeight="1">
      <c r="A10" s="92" t="s">
        <v>3557</v>
      </c>
      <c r="B10" s="35"/>
      <c r="C10" s="27" t="s">
        <v>10</v>
      </c>
      <c r="D10" s="35"/>
      <c r="E10" s="35"/>
      <c r="F10" s="35"/>
      <c r="G10" s="35"/>
      <c r="H10" s="35"/>
      <c r="I10" s="35"/>
      <c r="J10" s="94"/>
      <c r="K10" s="35"/>
      <c r="L10" s="76" t="s">
        <v>1420</v>
      </c>
      <c r="M10" s="35"/>
      <c r="N10" s="35"/>
    </row>
    <row r="11" ht="19.5" customHeight="1">
      <c r="A11" s="61" t="s">
        <v>3565</v>
      </c>
      <c r="B11" s="3"/>
      <c r="C11" s="3"/>
      <c r="D11" s="3"/>
      <c r="E11" s="3"/>
      <c r="F11" s="3"/>
      <c r="G11" s="3"/>
      <c r="H11" s="3"/>
      <c r="I11" s="3"/>
      <c r="J11" s="3"/>
      <c r="K11" s="3"/>
      <c r="L11" s="3"/>
      <c r="M11" s="3"/>
      <c r="N11" s="4"/>
    </row>
    <row r="12" ht="60.0" customHeight="1">
      <c r="A12" s="92" t="s">
        <v>3576</v>
      </c>
      <c r="B12" s="25"/>
      <c r="C12" s="17" t="s">
        <v>12</v>
      </c>
      <c r="D12" s="25"/>
      <c r="E12" s="25"/>
      <c r="F12" s="25"/>
      <c r="G12" s="25"/>
      <c r="H12" s="25"/>
      <c r="I12" s="25"/>
      <c r="J12" s="93"/>
      <c r="K12" s="25"/>
      <c r="L12" s="76" t="s">
        <v>1420</v>
      </c>
      <c r="M12" s="25"/>
      <c r="N12" s="25"/>
    </row>
    <row r="13" ht="60.0" customHeight="1">
      <c r="A13" s="92" t="s">
        <v>3583</v>
      </c>
      <c r="B13" s="35"/>
      <c r="C13" s="17" t="s">
        <v>12</v>
      </c>
      <c r="D13" s="35"/>
      <c r="E13" s="35"/>
      <c r="F13" s="35"/>
      <c r="G13" s="35"/>
      <c r="H13" s="35"/>
      <c r="I13" s="35"/>
      <c r="J13" s="94"/>
      <c r="K13" s="35"/>
      <c r="L13" s="76" t="s">
        <v>1420</v>
      </c>
      <c r="M13" s="35"/>
      <c r="N13" s="35"/>
    </row>
    <row r="14" ht="60.0" customHeight="1">
      <c r="A14" s="92" t="s">
        <v>3587</v>
      </c>
      <c r="B14" s="25"/>
      <c r="C14" s="17" t="s">
        <v>12</v>
      </c>
      <c r="D14" s="25"/>
      <c r="E14" s="25"/>
      <c r="F14" s="25"/>
      <c r="G14" s="25"/>
      <c r="H14" s="25"/>
      <c r="I14" s="25"/>
      <c r="J14" s="93"/>
      <c r="K14" s="25"/>
      <c r="L14" s="76" t="s">
        <v>1420</v>
      </c>
      <c r="M14" s="25"/>
      <c r="N14" s="25"/>
    </row>
    <row r="15" ht="60.0" customHeight="1">
      <c r="A15" s="92" t="s">
        <v>3593</v>
      </c>
      <c r="B15" s="35"/>
      <c r="C15" s="17" t="s">
        <v>12</v>
      </c>
      <c r="D15" s="35"/>
      <c r="E15" s="35"/>
      <c r="F15" s="35"/>
      <c r="G15" s="35"/>
      <c r="H15" s="35"/>
      <c r="I15" s="35"/>
      <c r="J15" s="94"/>
      <c r="K15" s="35"/>
      <c r="L15" s="76" t="s">
        <v>1420</v>
      </c>
      <c r="M15" s="35"/>
      <c r="N15" s="35"/>
    </row>
    <row r="16" ht="60.0" customHeight="1">
      <c r="A16" s="92" t="s">
        <v>3597</v>
      </c>
      <c r="B16" s="25"/>
      <c r="C16" s="17" t="s">
        <v>12</v>
      </c>
      <c r="D16" s="25"/>
      <c r="E16" s="25"/>
      <c r="F16" s="25"/>
      <c r="G16" s="25"/>
      <c r="H16" s="25"/>
      <c r="I16" s="25"/>
      <c r="J16" s="93"/>
      <c r="K16" s="25"/>
      <c r="L16" s="76" t="s">
        <v>1420</v>
      </c>
      <c r="M16" s="25"/>
      <c r="N16" s="25"/>
    </row>
    <row r="17" ht="60.0" customHeight="1">
      <c r="A17" s="92" t="s">
        <v>3602</v>
      </c>
      <c r="B17" s="35"/>
      <c r="C17" s="17" t="s">
        <v>12</v>
      </c>
      <c r="D17" s="35"/>
      <c r="E17" s="35"/>
      <c r="F17" s="35"/>
      <c r="G17" s="35"/>
      <c r="H17" s="35"/>
      <c r="I17" s="35"/>
      <c r="J17" s="94"/>
      <c r="K17" s="35"/>
      <c r="L17" s="76" t="s">
        <v>1420</v>
      </c>
      <c r="M17" s="35"/>
      <c r="N17" s="35"/>
    </row>
    <row r="18" ht="60.0" customHeight="1">
      <c r="A18" s="92" t="s">
        <v>3607</v>
      </c>
      <c r="B18" s="25"/>
      <c r="C18" s="17" t="s">
        <v>12</v>
      </c>
      <c r="D18" s="25"/>
      <c r="E18" s="25"/>
      <c r="F18" s="25"/>
      <c r="G18" s="25"/>
      <c r="H18" s="25"/>
      <c r="I18" s="25"/>
      <c r="J18" s="93"/>
      <c r="K18" s="25"/>
      <c r="L18" s="76" t="s">
        <v>1420</v>
      </c>
      <c r="M18" s="25"/>
      <c r="N18" s="25"/>
    </row>
    <row r="19" ht="60.0" customHeight="1">
      <c r="A19" s="92" t="s">
        <v>3615</v>
      </c>
      <c r="B19" s="35"/>
      <c r="C19" s="17" t="s">
        <v>12</v>
      </c>
      <c r="D19" s="35"/>
      <c r="E19" s="35"/>
      <c r="F19" s="35"/>
      <c r="G19" s="35"/>
      <c r="H19" s="35"/>
      <c r="I19" s="35"/>
      <c r="J19" s="94"/>
      <c r="K19" s="35"/>
      <c r="L19" s="76" t="s">
        <v>1420</v>
      </c>
      <c r="M19" s="35"/>
      <c r="N19" s="35"/>
    </row>
    <row r="20" ht="19.5" customHeight="1">
      <c r="A20" s="69" t="s">
        <v>3619</v>
      </c>
      <c r="B20" s="3"/>
      <c r="C20" s="3"/>
      <c r="D20" s="3"/>
      <c r="E20" s="3"/>
      <c r="F20" s="3"/>
      <c r="G20" s="3"/>
      <c r="H20" s="3"/>
      <c r="I20" s="3"/>
      <c r="J20" s="3"/>
      <c r="K20" s="3"/>
      <c r="L20" s="3"/>
      <c r="M20" s="3"/>
      <c r="N20" s="4"/>
    </row>
    <row r="21" ht="60.0" customHeight="1">
      <c r="A21" s="92" t="s">
        <v>3624</v>
      </c>
      <c r="B21" s="25"/>
      <c r="C21" s="38" t="s">
        <v>13</v>
      </c>
      <c r="D21" s="25"/>
      <c r="E21" s="25"/>
      <c r="F21" s="25"/>
      <c r="G21" s="25"/>
      <c r="H21" s="25"/>
      <c r="I21" s="25"/>
      <c r="J21" s="93"/>
      <c r="K21" s="25"/>
      <c r="L21" s="76" t="s">
        <v>1420</v>
      </c>
      <c r="M21" s="25"/>
      <c r="N21" s="25"/>
    </row>
    <row r="22" ht="60.0" customHeight="1">
      <c r="A22" s="92" t="s">
        <v>3629</v>
      </c>
      <c r="B22" s="35"/>
      <c r="C22" s="38" t="s">
        <v>13</v>
      </c>
      <c r="D22" s="35"/>
      <c r="E22" s="35"/>
      <c r="F22" s="35"/>
      <c r="G22" s="35"/>
      <c r="H22" s="35"/>
      <c r="I22" s="35"/>
      <c r="J22" s="94"/>
      <c r="K22" s="35"/>
      <c r="L22" s="76" t="s">
        <v>1420</v>
      </c>
      <c r="M22" s="35"/>
      <c r="N22" s="35"/>
    </row>
    <row r="23" ht="60.0" customHeight="1">
      <c r="A23" s="92" t="s">
        <v>3634</v>
      </c>
      <c r="B23" s="25"/>
      <c r="C23" s="38" t="s">
        <v>13</v>
      </c>
      <c r="D23" s="25"/>
      <c r="E23" s="25"/>
      <c r="F23" s="25"/>
      <c r="G23" s="25"/>
      <c r="H23" s="25"/>
      <c r="I23" s="25"/>
      <c r="J23" s="93"/>
      <c r="K23" s="25"/>
      <c r="L23" s="76" t="s">
        <v>1420</v>
      </c>
      <c r="M23" s="25"/>
      <c r="N23" s="25"/>
    </row>
    <row r="24" ht="60.0" customHeight="1">
      <c r="A24" s="92" t="s">
        <v>3638</v>
      </c>
      <c r="B24" s="35"/>
      <c r="C24" s="38" t="s">
        <v>13</v>
      </c>
      <c r="D24" s="35"/>
      <c r="E24" s="35"/>
      <c r="F24" s="35"/>
      <c r="G24" s="35"/>
      <c r="H24" s="35"/>
      <c r="I24" s="35"/>
      <c r="J24" s="94"/>
      <c r="K24" s="35"/>
      <c r="L24" s="76" t="s">
        <v>1420</v>
      </c>
      <c r="M24" s="35"/>
      <c r="N24" s="35"/>
    </row>
    <row r="25" ht="60.0" customHeight="1">
      <c r="A25" s="92" t="s">
        <v>3643</v>
      </c>
      <c r="B25" s="25"/>
      <c r="C25" s="38" t="s">
        <v>13</v>
      </c>
      <c r="D25" s="25"/>
      <c r="E25" s="25"/>
      <c r="F25" s="25"/>
      <c r="G25" s="25"/>
      <c r="H25" s="25"/>
      <c r="I25" s="25"/>
      <c r="J25" s="93"/>
      <c r="K25" s="25"/>
      <c r="L25" s="76" t="s">
        <v>1420</v>
      </c>
      <c r="M25" s="25"/>
      <c r="N25" s="25"/>
    </row>
    <row r="26" ht="60.0" customHeight="1">
      <c r="A26" s="92" t="s">
        <v>3649</v>
      </c>
      <c r="B26" s="35"/>
      <c r="C26" s="38" t="s">
        <v>13</v>
      </c>
      <c r="D26" s="35"/>
      <c r="E26" s="35"/>
      <c r="F26" s="35"/>
      <c r="G26" s="35"/>
      <c r="H26" s="35"/>
      <c r="I26" s="35"/>
      <c r="J26" s="94"/>
      <c r="K26" s="35"/>
      <c r="L26" s="76" t="s">
        <v>1420</v>
      </c>
      <c r="M26" s="35"/>
      <c r="N26" s="35"/>
    </row>
    <row r="27" ht="25.5" customHeight="1">
      <c r="A27" s="49" t="s">
        <v>3658</v>
      </c>
      <c r="B27" s="50"/>
      <c r="C27" s="50"/>
      <c r="D27" s="50"/>
      <c r="E27" s="50"/>
      <c r="F27" s="50"/>
      <c r="G27" s="50"/>
      <c r="H27" s="50"/>
      <c r="I27" s="52"/>
      <c r="L27" s="95">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1:N11"/>
    <mergeCell ref="A20:N20"/>
    <mergeCell ref="A27:I27"/>
  </mergeCells>
  <printOptions/>
  <pageMargins bottom="1.0" footer="0.0" header="0.0" left="0.75" right="0.75" top="1.0"/>
  <pageSetup paperSize="9" orientation="portrait"/>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89" t="s">
        <v>3734</v>
      </c>
      <c r="B1" s="3"/>
      <c r="C1" s="3"/>
      <c r="D1" s="3"/>
      <c r="E1" s="3"/>
      <c r="F1" s="3"/>
      <c r="G1" s="3"/>
      <c r="H1" s="3"/>
      <c r="I1" s="3"/>
      <c r="J1" s="3"/>
      <c r="K1" s="3"/>
      <c r="L1" s="3"/>
      <c r="M1" s="3"/>
      <c r="N1" s="4"/>
    </row>
    <row r="2" ht="27.75" customHeight="1">
      <c r="A2" s="68" t="s">
        <v>3735</v>
      </c>
      <c r="B2" s="3"/>
      <c r="C2" s="3"/>
      <c r="D2" s="3"/>
      <c r="E2" s="3"/>
      <c r="F2" s="3"/>
      <c r="G2" s="3"/>
      <c r="H2" s="3"/>
      <c r="I2" s="3"/>
      <c r="J2" s="3"/>
      <c r="K2" s="3"/>
      <c r="L2" s="3"/>
      <c r="M2" s="3"/>
      <c r="N2" s="4"/>
    </row>
    <row r="3" ht="24.75" customHeight="1">
      <c r="A3" s="9" t="s">
        <v>22</v>
      </c>
      <c r="B3" s="9" t="s">
        <v>14</v>
      </c>
      <c r="C3" s="9" t="s">
        <v>24</v>
      </c>
      <c r="D3" s="9" t="s">
        <v>25</v>
      </c>
      <c r="E3" s="9" t="s">
        <v>26</v>
      </c>
      <c r="F3" s="9" t="s">
        <v>27</v>
      </c>
      <c r="G3" s="9" t="s">
        <v>28</v>
      </c>
      <c r="H3" s="9" t="s">
        <v>29</v>
      </c>
      <c r="I3" s="9" t="s">
        <v>31</v>
      </c>
      <c r="J3" s="9" t="s">
        <v>32</v>
      </c>
      <c r="K3" s="9" t="s">
        <v>33</v>
      </c>
      <c r="L3" s="9" t="s">
        <v>17</v>
      </c>
      <c r="M3" s="9" t="s">
        <v>35</v>
      </c>
      <c r="N3" s="9" t="s">
        <v>36</v>
      </c>
    </row>
    <row r="4" ht="19.5" customHeight="1">
      <c r="A4" s="18" t="s">
        <v>3507</v>
      </c>
      <c r="B4" s="3"/>
      <c r="C4" s="3"/>
      <c r="D4" s="3"/>
      <c r="E4" s="3"/>
      <c r="F4" s="3"/>
      <c r="G4" s="3"/>
      <c r="H4" s="3"/>
      <c r="I4" s="3"/>
      <c r="J4" s="3"/>
      <c r="K4" s="3"/>
      <c r="L4" s="3"/>
      <c r="M4" s="3"/>
      <c r="N4" s="4"/>
    </row>
    <row r="5" ht="60.0" customHeight="1">
      <c r="A5" s="96" t="s">
        <v>3736</v>
      </c>
      <c r="B5" s="25"/>
      <c r="C5" s="27" t="s">
        <v>10</v>
      </c>
      <c r="D5" s="25"/>
      <c r="E5" s="25"/>
      <c r="F5" s="25"/>
      <c r="G5" s="25"/>
      <c r="H5" s="25"/>
      <c r="I5" s="25"/>
      <c r="J5" s="93"/>
      <c r="K5" s="25"/>
      <c r="L5" s="76" t="s">
        <v>1420</v>
      </c>
      <c r="M5" s="25"/>
      <c r="N5" s="25"/>
    </row>
    <row r="6" ht="60.0" customHeight="1">
      <c r="A6" s="96" t="s">
        <v>3737</v>
      </c>
      <c r="B6" s="35"/>
      <c r="C6" s="27" t="s">
        <v>10</v>
      </c>
      <c r="D6" s="35"/>
      <c r="E6" s="35"/>
      <c r="F6" s="35"/>
      <c r="G6" s="35"/>
      <c r="H6" s="35"/>
      <c r="I6" s="35"/>
      <c r="J6" s="94"/>
      <c r="K6" s="35"/>
      <c r="L6" s="76" t="s">
        <v>1420</v>
      </c>
      <c r="M6" s="35"/>
      <c r="N6" s="35"/>
    </row>
    <row r="7" ht="60.0" customHeight="1">
      <c r="A7" s="96" t="s">
        <v>3738</v>
      </c>
      <c r="B7" s="25"/>
      <c r="C7" s="27" t="s">
        <v>10</v>
      </c>
      <c r="D7" s="25"/>
      <c r="E7" s="25"/>
      <c r="F7" s="25"/>
      <c r="G7" s="25"/>
      <c r="H7" s="25"/>
      <c r="I7" s="25"/>
      <c r="J7" s="93"/>
      <c r="K7" s="25"/>
      <c r="L7" s="76" t="s">
        <v>1420</v>
      </c>
      <c r="M7" s="25"/>
      <c r="N7" s="25"/>
    </row>
    <row r="8" ht="60.0" customHeight="1">
      <c r="A8" s="96" t="s">
        <v>3739</v>
      </c>
      <c r="B8" s="35"/>
      <c r="C8" s="27" t="s">
        <v>10</v>
      </c>
      <c r="D8" s="35"/>
      <c r="E8" s="35"/>
      <c r="F8" s="35"/>
      <c r="G8" s="35"/>
      <c r="H8" s="35"/>
      <c r="I8" s="35"/>
      <c r="J8" s="94"/>
      <c r="K8" s="35"/>
      <c r="L8" s="76" t="s">
        <v>1420</v>
      </c>
      <c r="M8" s="35"/>
      <c r="N8" s="35"/>
    </row>
    <row r="9" ht="60.0" customHeight="1">
      <c r="A9" s="96" t="s">
        <v>3740</v>
      </c>
      <c r="B9" s="25"/>
      <c r="C9" s="27" t="s">
        <v>10</v>
      </c>
      <c r="D9" s="25"/>
      <c r="E9" s="25"/>
      <c r="F9" s="25"/>
      <c r="G9" s="25"/>
      <c r="H9" s="25"/>
      <c r="I9" s="25"/>
      <c r="J9" s="93"/>
      <c r="K9" s="25"/>
      <c r="L9" s="76" t="s">
        <v>1420</v>
      </c>
      <c r="M9" s="25"/>
      <c r="N9" s="25"/>
    </row>
    <row r="10" ht="60.0" customHeight="1">
      <c r="A10" s="96" t="s">
        <v>3741</v>
      </c>
      <c r="B10" s="35"/>
      <c r="C10" s="27" t="s">
        <v>10</v>
      </c>
      <c r="D10" s="35"/>
      <c r="E10" s="35"/>
      <c r="F10" s="35"/>
      <c r="G10" s="35"/>
      <c r="H10" s="35"/>
      <c r="I10" s="35"/>
      <c r="J10" s="94"/>
      <c r="K10" s="35"/>
      <c r="L10" s="76" t="s">
        <v>1420</v>
      </c>
      <c r="M10" s="35"/>
      <c r="N10" s="35"/>
    </row>
    <row r="11" ht="19.5" customHeight="1">
      <c r="A11" s="61" t="s">
        <v>3565</v>
      </c>
      <c r="B11" s="3"/>
      <c r="C11" s="3"/>
      <c r="D11" s="3"/>
      <c r="E11" s="3"/>
      <c r="F11" s="3"/>
      <c r="G11" s="3"/>
      <c r="H11" s="3"/>
      <c r="I11" s="3"/>
      <c r="J11" s="3"/>
      <c r="K11" s="3"/>
      <c r="L11" s="3"/>
      <c r="M11" s="3"/>
      <c r="N11" s="4"/>
    </row>
    <row r="12" ht="60.0" customHeight="1">
      <c r="A12" s="96" t="s">
        <v>3742</v>
      </c>
      <c r="B12" s="25"/>
      <c r="C12" s="17" t="s">
        <v>12</v>
      </c>
      <c r="D12" s="25"/>
      <c r="E12" s="25"/>
      <c r="F12" s="25"/>
      <c r="G12" s="25"/>
      <c r="H12" s="25"/>
      <c r="I12" s="25"/>
      <c r="J12" s="93"/>
      <c r="K12" s="25"/>
      <c r="L12" s="76" t="s">
        <v>1420</v>
      </c>
      <c r="M12" s="25"/>
      <c r="N12" s="25"/>
    </row>
    <row r="13" ht="60.0" customHeight="1">
      <c r="A13" s="96" t="s">
        <v>3743</v>
      </c>
      <c r="B13" s="35"/>
      <c r="C13" s="17" t="s">
        <v>12</v>
      </c>
      <c r="D13" s="35"/>
      <c r="E13" s="35"/>
      <c r="F13" s="35"/>
      <c r="G13" s="35"/>
      <c r="H13" s="35"/>
      <c r="I13" s="35"/>
      <c r="J13" s="94"/>
      <c r="K13" s="35"/>
      <c r="L13" s="76" t="s">
        <v>1420</v>
      </c>
      <c r="M13" s="35"/>
      <c r="N13" s="35"/>
    </row>
    <row r="14" ht="60.0" customHeight="1">
      <c r="A14" s="96" t="s">
        <v>3744</v>
      </c>
      <c r="B14" s="25"/>
      <c r="C14" s="17" t="s">
        <v>12</v>
      </c>
      <c r="D14" s="25"/>
      <c r="E14" s="25"/>
      <c r="F14" s="25"/>
      <c r="G14" s="25"/>
      <c r="H14" s="25"/>
      <c r="I14" s="25"/>
      <c r="J14" s="93"/>
      <c r="K14" s="25"/>
      <c r="L14" s="76" t="s">
        <v>1420</v>
      </c>
      <c r="M14" s="25"/>
      <c r="N14" s="25"/>
    </row>
    <row r="15" ht="60.0" customHeight="1">
      <c r="A15" s="96" t="s">
        <v>3745</v>
      </c>
      <c r="B15" s="35"/>
      <c r="C15" s="17" t="s">
        <v>12</v>
      </c>
      <c r="D15" s="35"/>
      <c r="E15" s="35"/>
      <c r="F15" s="35"/>
      <c r="G15" s="35"/>
      <c r="H15" s="35"/>
      <c r="I15" s="35"/>
      <c r="J15" s="94"/>
      <c r="K15" s="35"/>
      <c r="L15" s="76" t="s">
        <v>1420</v>
      </c>
      <c r="M15" s="35"/>
      <c r="N15" s="35"/>
    </row>
    <row r="16" ht="60.0" customHeight="1">
      <c r="A16" s="96" t="s">
        <v>3746</v>
      </c>
      <c r="B16" s="25"/>
      <c r="C16" s="17" t="s">
        <v>12</v>
      </c>
      <c r="D16" s="25"/>
      <c r="E16" s="25"/>
      <c r="F16" s="25"/>
      <c r="G16" s="25"/>
      <c r="H16" s="25"/>
      <c r="I16" s="25"/>
      <c r="J16" s="93"/>
      <c r="K16" s="25"/>
      <c r="L16" s="76" t="s">
        <v>1420</v>
      </c>
      <c r="M16" s="25"/>
      <c r="N16" s="25"/>
    </row>
    <row r="17" ht="60.0" customHeight="1">
      <c r="A17" s="96" t="s">
        <v>3747</v>
      </c>
      <c r="B17" s="35"/>
      <c r="C17" s="17" t="s">
        <v>12</v>
      </c>
      <c r="D17" s="35"/>
      <c r="E17" s="35"/>
      <c r="F17" s="35"/>
      <c r="G17" s="35"/>
      <c r="H17" s="35"/>
      <c r="I17" s="35"/>
      <c r="J17" s="94"/>
      <c r="K17" s="35"/>
      <c r="L17" s="76" t="s">
        <v>1420</v>
      </c>
      <c r="M17" s="35"/>
      <c r="N17" s="35"/>
    </row>
    <row r="18" ht="60.0" customHeight="1">
      <c r="A18" s="96" t="s">
        <v>3748</v>
      </c>
      <c r="B18" s="25"/>
      <c r="C18" s="17" t="s">
        <v>12</v>
      </c>
      <c r="D18" s="25"/>
      <c r="E18" s="25"/>
      <c r="F18" s="25"/>
      <c r="G18" s="25"/>
      <c r="H18" s="25"/>
      <c r="I18" s="25"/>
      <c r="J18" s="93"/>
      <c r="K18" s="25"/>
      <c r="L18" s="76" t="s">
        <v>1420</v>
      </c>
      <c r="M18" s="25"/>
      <c r="N18" s="25"/>
    </row>
    <row r="19" ht="60.0" customHeight="1">
      <c r="A19" s="96" t="s">
        <v>3749</v>
      </c>
      <c r="B19" s="35"/>
      <c r="C19" s="17" t="s">
        <v>12</v>
      </c>
      <c r="D19" s="35"/>
      <c r="E19" s="35"/>
      <c r="F19" s="35"/>
      <c r="G19" s="35"/>
      <c r="H19" s="35"/>
      <c r="I19" s="35"/>
      <c r="J19" s="94"/>
      <c r="K19" s="35"/>
      <c r="L19" s="76" t="s">
        <v>1420</v>
      </c>
      <c r="M19" s="35"/>
      <c r="N19" s="35"/>
    </row>
    <row r="20" ht="19.5" customHeight="1">
      <c r="A20" s="69" t="s">
        <v>3619</v>
      </c>
      <c r="B20" s="3"/>
      <c r="C20" s="3"/>
      <c r="D20" s="3"/>
      <c r="E20" s="3"/>
      <c r="F20" s="3"/>
      <c r="G20" s="3"/>
      <c r="H20" s="3"/>
      <c r="I20" s="3"/>
      <c r="J20" s="3"/>
      <c r="K20" s="3"/>
      <c r="L20" s="3"/>
      <c r="M20" s="3"/>
      <c r="N20" s="4"/>
    </row>
    <row r="21" ht="60.0" customHeight="1">
      <c r="A21" s="96" t="s">
        <v>3750</v>
      </c>
      <c r="B21" s="25"/>
      <c r="C21" s="38" t="s">
        <v>13</v>
      </c>
      <c r="D21" s="25"/>
      <c r="E21" s="25"/>
      <c r="F21" s="25"/>
      <c r="G21" s="25"/>
      <c r="H21" s="25"/>
      <c r="I21" s="25"/>
      <c r="J21" s="93"/>
      <c r="K21" s="25"/>
      <c r="L21" s="76" t="s">
        <v>1420</v>
      </c>
      <c r="M21" s="25"/>
      <c r="N21" s="25"/>
    </row>
    <row r="22" ht="60.0" customHeight="1">
      <c r="A22" s="96" t="s">
        <v>3752</v>
      </c>
      <c r="B22" s="35"/>
      <c r="C22" s="38" t="s">
        <v>13</v>
      </c>
      <c r="D22" s="35"/>
      <c r="E22" s="35"/>
      <c r="F22" s="35"/>
      <c r="G22" s="35"/>
      <c r="H22" s="35"/>
      <c r="I22" s="35"/>
      <c r="J22" s="94"/>
      <c r="K22" s="35"/>
      <c r="L22" s="76" t="s">
        <v>1420</v>
      </c>
      <c r="M22" s="35"/>
      <c r="N22" s="35"/>
    </row>
    <row r="23" ht="60.0" customHeight="1">
      <c r="A23" s="96" t="s">
        <v>3754</v>
      </c>
      <c r="B23" s="25"/>
      <c r="C23" s="38" t="s">
        <v>13</v>
      </c>
      <c r="D23" s="25"/>
      <c r="E23" s="25"/>
      <c r="F23" s="25"/>
      <c r="G23" s="25"/>
      <c r="H23" s="25"/>
      <c r="I23" s="25"/>
      <c r="J23" s="93"/>
      <c r="K23" s="25"/>
      <c r="L23" s="76" t="s">
        <v>1420</v>
      </c>
      <c r="M23" s="25"/>
      <c r="N23" s="25"/>
    </row>
    <row r="24" ht="60.0" customHeight="1">
      <c r="A24" s="96" t="s">
        <v>3755</v>
      </c>
      <c r="B24" s="35"/>
      <c r="C24" s="38" t="s">
        <v>13</v>
      </c>
      <c r="D24" s="35"/>
      <c r="E24" s="35"/>
      <c r="F24" s="35"/>
      <c r="G24" s="35"/>
      <c r="H24" s="35"/>
      <c r="I24" s="35"/>
      <c r="J24" s="94"/>
      <c r="K24" s="35"/>
      <c r="L24" s="76" t="s">
        <v>1420</v>
      </c>
      <c r="M24" s="35"/>
      <c r="N24" s="35"/>
    </row>
    <row r="25" ht="60.0" customHeight="1">
      <c r="A25" s="96" t="s">
        <v>3756</v>
      </c>
      <c r="B25" s="25"/>
      <c r="C25" s="38" t="s">
        <v>13</v>
      </c>
      <c r="D25" s="25"/>
      <c r="E25" s="25"/>
      <c r="F25" s="25"/>
      <c r="G25" s="25"/>
      <c r="H25" s="25"/>
      <c r="I25" s="25"/>
      <c r="J25" s="93"/>
      <c r="K25" s="25"/>
      <c r="L25" s="76" t="s">
        <v>1420</v>
      </c>
      <c r="M25" s="25"/>
      <c r="N25" s="25"/>
    </row>
    <row r="26" ht="60.0" customHeight="1">
      <c r="A26" s="96" t="s">
        <v>3757</v>
      </c>
      <c r="B26" s="35"/>
      <c r="C26" s="38" t="s">
        <v>13</v>
      </c>
      <c r="D26" s="35"/>
      <c r="E26" s="35"/>
      <c r="F26" s="35"/>
      <c r="G26" s="35"/>
      <c r="H26" s="35"/>
      <c r="I26" s="35"/>
      <c r="J26" s="94"/>
      <c r="K26" s="35"/>
      <c r="L26" s="76" t="s">
        <v>1420</v>
      </c>
      <c r="M26" s="35"/>
      <c r="N26" s="35"/>
    </row>
    <row r="27" ht="25.5" customHeight="1">
      <c r="A27" s="49" t="s">
        <v>3759</v>
      </c>
      <c r="B27" s="50"/>
      <c r="C27" s="50"/>
      <c r="D27" s="50"/>
      <c r="E27" s="50"/>
      <c r="F27" s="50"/>
      <c r="G27" s="50"/>
      <c r="H27" s="50"/>
      <c r="I27" s="52"/>
      <c r="L27" s="98">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1:N11"/>
    <mergeCell ref="A20:N20"/>
    <mergeCell ref="A27:I27"/>
  </mergeCells>
  <printOptions/>
  <pageMargins bottom="1.0" footer="0.0" header="0.0" left="0.75" right="0.75" top="1.0"/>
  <pageSetup paperSize="9" orientation="portrait"/>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89" t="s">
        <v>3751</v>
      </c>
      <c r="B1" s="3"/>
      <c r="C1" s="3"/>
      <c r="D1" s="3"/>
      <c r="E1" s="3"/>
      <c r="F1" s="3"/>
      <c r="G1" s="3"/>
      <c r="H1" s="3"/>
      <c r="I1" s="3"/>
      <c r="J1" s="3"/>
      <c r="K1" s="3"/>
      <c r="L1" s="3"/>
      <c r="M1" s="3"/>
      <c r="N1" s="4"/>
    </row>
    <row r="2" ht="27.75" customHeight="1">
      <c r="A2" s="80" t="s">
        <v>3753</v>
      </c>
      <c r="B2" s="3"/>
      <c r="C2" s="3"/>
      <c r="D2" s="3"/>
      <c r="E2" s="3"/>
      <c r="F2" s="3"/>
      <c r="G2" s="3"/>
      <c r="H2" s="3"/>
      <c r="I2" s="3"/>
      <c r="J2" s="3"/>
      <c r="K2" s="3"/>
      <c r="L2" s="3"/>
      <c r="M2" s="3"/>
      <c r="N2" s="4"/>
    </row>
    <row r="3" ht="24.75" customHeight="1">
      <c r="A3" s="97" t="s">
        <v>22</v>
      </c>
      <c r="B3" s="97" t="s">
        <v>14</v>
      </c>
      <c r="C3" s="97" t="s">
        <v>24</v>
      </c>
      <c r="D3" s="97" t="s">
        <v>25</v>
      </c>
      <c r="E3" s="97" t="s">
        <v>26</v>
      </c>
      <c r="F3" s="97" t="s">
        <v>27</v>
      </c>
      <c r="G3" s="97" t="s">
        <v>28</v>
      </c>
      <c r="H3" s="97" t="s">
        <v>29</v>
      </c>
      <c r="I3" s="97" t="s">
        <v>31</v>
      </c>
      <c r="J3" s="97" t="s">
        <v>32</v>
      </c>
      <c r="K3" s="97" t="s">
        <v>33</v>
      </c>
      <c r="L3" s="97" t="s">
        <v>17</v>
      </c>
      <c r="M3" s="97" t="s">
        <v>35</v>
      </c>
      <c r="N3" s="97" t="s">
        <v>36</v>
      </c>
    </row>
    <row r="4" ht="19.5" customHeight="1">
      <c r="A4" s="18" t="s">
        <v>3507</v>
      </c>
      <c r="B4" s="3"/>
      <c r="C4" s="3"/>
      <c r="D4" s="3"/>
      <c r="E4" s="3"/>
      <c r="F4" s="3"/>
      <c r="G4" s="3"/>
      <c r="H4" s="3"/>
      <c r="I4" s="3"/>
      <c r="J4" s="3"/>
      <c r="K4" s="3"/>
      <c r="L4" s="3"/>
      <c r="M4" s="3"/>
      <c r="N4" s="4"/>
    </row>
    <row r="5" ht="60.0" customHeight="1">
      <c r="A5" s="81" t="s">
        <v>3758</v>
      </c>
      <c r="B5" s="25"/>
      <c r="C5" s="27" t="s">
        <v>10</v>
      </c>
      <c r="D5" s="25"/>
      <c r="E5" s="25"/>
      <c r="F5" s="25"/>
      <c r="G5" s="25"/>
      <c r="H5" s="25"/>
      <c r="I5" s="25"/>
      <c r="J5" s="93"/>
      <c r="K5" s="25"/>
      <c r="L5" s="76" t="s">
        <v>1420</v>
      </c>
      <c r="M5" s="25"/>
      <c r="N5" s="25"/>
    </row>
    <row r="6" ht="60.0" customHeight="1">
      <c r="A6" s="81" t="s">
        <v>3760</v>
      </c>
      <c r="B6" s="35"/>
      <c r="C6" s="27" t="s">
        <v>10</v>
      </c>
      <c r="D6" s="35"/>
      <c r="E6" s="35"/>
      <c r="F6" s="35"/>
      <c r="G6" s="35"/>
      <c r="H6" s="35"/>
      <c r="I6" s="35"/>
      <c r="J6" s="94"/>
      <c r="K6" s="35"/>
      <c r="L6" s="76" t="s">
        <v>1420</v>
      </c>
      <c r="M6" s="35"/>
      <c r="N6" s="35"/>
    </row>
    <row r="7" ht="60.0" customHeight="1">
      <c r="A7" s="81" t="s">
        <v>3761</v>
      </c>
      <c r="B7" s="25"/>
      <c r="C7" s="27" t="s">
        <v>10</v>
      </c>
      <c r="D7" s="25"/>
      <c r="E7" s="25"/>
      <c r="F7" s="25"/>
      <c r="G7" s="25"/>
      <c r="H7" s="25"/>
      <c r="I7" s="25"/>
      <c r="J7" s="93"/>
      <c r="K7" s="25"/>
      <c r="L7" s="76" t="s">
        <v>1420</v>
      </c>
      <c r="M7" s="25"/>
      <c r="N7" s="25"/>
    </row>
    <row r="8" ht="60.0" customHeight="1">
      <c r="A8" s="81" t="s">
        <v>3762</v>
      </c>
      <c r="B8" s="35"/>
      <c r="C8" s="27" t="s">
        <v>10</v>
      </c>
      <c r="D8" s="35"/>
      <c r="E8" s="35"/>
      <c r="F8" s="35"/>
      <c r="G8" s="35"/>
      <c r="H8" s="35"/>
      <c r="I8" s="35"/>
      <c r="J8" s="94"/>
      <c r="K8" s="35"/>
      <c r="L8" s="76" t="s">
        <v>1420</v>
      </c>
      <c r="M8" s="35"/>
      <c r="N8" s="35"/>
    </row>
    <row r="9" ht="60.0" customHeight="1">
      <c r="A9" s="81" t="s">
        <v>3763</v>
      </c>
      <c r="B9" s="25"/>
      <c r="C9" s="27" t="s">
        <v>10</v>
      </c>
      <c r="D9" s="25"/>
      <c r="E9" s="25"/>
      <c r="F9" s="25"/>
      <c r="G9" s="25"/>
      <c r="H9" s="25"/>
      <c r="I9" s="25"/>
      <c r="J9" s="93"/>
      <c r="K9" s="25"/>
      <c r="L9" s="76" t="s">
        <v>1420</v>
      </c>
      <c r="M9" s="25"/>
      <c r="N9" s="25"/>
    </row>
    <row r="10" ht="60.0" customHeight="1">
      <c r="A10" s="81" t="s">
        <v>3764</v>
      </c>
      <c r="B10" s="35"/>
      <c r="C10" s="27" t="s">
        <v>10</v>
      </c>
      <c r="D10" s="35"/>
      <c r="E10" s="35"/>
      <c r="F10" s="35"/>
      <c r="G10" s="35"/>
      <c r="H10" s="35"/>
      <c r="I10" s="35"/>
      <c r="J10" s="94"/>
      <c r="K10" s="35"/>
      <c r="L10" s="76" t="s">
        <v>1420</v>
      </c>
      <c r="M10" s="35"/>
      <c r="N10" s="35"/>
    </row>
    <row r="11" ht="19.5" customHeight="1">
      <c r="A11" s="61" t="s">
        <v>3565</v>
      </c>
      <c r="B11" s="3"/>
      <c r="C11" s="3"/>
      <c r="D11" s="3"/>
      <c r="E11" s="3"/>
      <c r="F11" s="3"/>
      <c r="G11" s="3"/>
      <c r="H11" s="3"/>
      <c r="I11" s="3"/>
      <c r="J11" s="3"/>
      <c r="K11" s="3"/>
      <c r="L11" s="3"/>
      <c r="M11" s="3"/>
      <c r="N11" s="4"/>
    </row>
    <row r="12" ht="60.0" customHeight="1">
      <c r="A12" s="81" t="s">
        <v>3765</v>
      </c>
      <c r="B12" s="25"/>
      <c r="C12" s="17" t="s">
        <v>12</v>
      </c>
      <c r="D12" s="25"/>
      <c r="E12" s="25"/>
      <c r="F12" s="25"/>
      <c r="G12" s="25"/>
      <c r="H12" s="25"/>
      <c r="I12" s="25"/>
      <c r="J12" s="93"/>
      <c r="K12" s="25"/>
      <c r="L12" s="76" t="s">
        <v>1420</v>
      </c>
      <c r="M12" s="25"/>
      <c r="N12" s="25"/>
    </row>
    <row r="13" ht="60.0" customHeight="1">
      <c r="A13" s="81" t="s">
        <v>3766</v>
      </c>
      <c r="B13" s="35"/>
      <c r="C13" s="17" t="s">
        <v>12</v>
      </c>
      <c r="D13" s="35"/>
      <c r="E13" s="35"/>
      <c r="F13" s="35"/>
      <c r="G13" s="35"/>
      <c r="H13" s="35"/>
      <c r="I13" s="35"/>
      <c r="J13" s="94"/>
      <c r="K13" s="35"/>
      <c r="L13" s="76" t="s">
        <v>1420</v>
      </c>
      <c r="M13" s="35"/>
      <c r="N13" s="35"/>
    </row>
    <row r="14" ht="60.0" customHeight="1">
      <c r="A14" s="81" t="s">
        <v>3767</v>
      </c>
      <c r="B14" s="25"/>
      <c r="C14" s="17" t="s">
        <v>12</v>
      </c>
      <c r="D14" s="25"/>
      <c r="E14" s="25"/>
      <c r="F14" s="25"/>
      <c r="G14" s="25"/>
      <c r="H14" s="25"/>
      <c r="I14" s="25"/>
      <c r="J14" s="93"/>
      <c r="K14" s="25"/>
      <c r="L14" s="76" t="s">
        <v>1420</v>
      </c>
      <c r="M14" s="25"/>
      <c r="N14" s="25"/>
    </row>
    <row r="15" ht="60.0" customHeight="1">
      <c r="A15" s="81" t="s">
        <v>3768</v>
      </c>
      <c r="B15" s="35"/>
      <c r="C15" s="17" t="s">
        <v>12</v>
      </c>
      <c r="D15" s="35"/>
      <c r="E15" s="35"/>
      <c r="F15" s="35"/>
      <c r="G15" s="35"/>
      <c r="H15" s="35"/>
      <c r="I15" s="35"/>
      <c r="J15" s="94"/>
      <c r="K15" s="35"/>
      <c r="L15" s="76" t="s">
        <v>1420</v>
      </c>
      <c r="M15" s="35"/>
      <c r="N15" s="35"/>
    </row>
    <row r="16" ht="60.0" customHeight="1">
      <c r="A16" s="81" t="s">
        <v>3769</v>
      </c>
      <c r="B16" s="25"/>
      <c r="C16" s="17" t="s">
        <v>12</v>
      </c>
      <c r="D16" s="25"/>
      <c r="E16" s="25"/>
      <c r="F16" s="25"/>
      <c r="G16" s="25"/>
      <c r="H16" s="25"/>
      <c r="I16" s="25"/>
      <c r="J16" s="93"/>
      <c r="K16" s="25"/>
      <c r="L16" s="76" t="s">
        <v>1420</v>
      </c>
      <c r="M16" s="25"/>
      <c r="N16" s="25"/>
    </row>
    <row r="17" ht="60.0" customHeight="1">
      <c r="A17" s="81" t="s">
        <v>3770</v>
      </c>
      <c r="B17" s="35"/>
      <c r="C17" s="17" t="s">
        <v>12</v>
      </c>
      <c r="D17" s="35"/>
      <c r="E17" s="35"/>
      <c r="F17" s="35"/>
      <c r="G17" s="35"/>
      <c r="H17" s="35"/>
      <c r="I17" s="35"/>
      <c r="J17" s="94"/>
      <c r="K17" s="35"/>
      <c r="L17" s="76" t="s">
        <v>1420</v>
      </c>
      <c r="M17" s="35"/>
      <c r="N17" s="35"/>
    </row>
    <row r="18" ht="60.0" customHeight="1">
      <c r="A18" s="81" t="s">
        <v>3771</v>
      </c>
      <c r="B18" s="25"/>
      <c r="C18" s="17" t="s">
        <v>12</v>
      </c>
      <c r="D18" s="25"/>
      <c r="E18" s="25"/>
      <c r="F18" s="25"/>
      <c r="G18" s="25"/>
      <c r="H18" s="25"/>
      <c r="I18" s="25"/>
      <c r="J18" s="93"/>
      <c r="K18" s="25"/>
      <c r="L18" s="76" t="s">
        <v>1420</v>
      </c>
      <c r="M18" s="25"/>
      <c r="N18" s="25"/>
    </row>
    <row r="19" ht="60.0" customHeight="1">
      <c r="A19" s="81" t="s">
        <v>3772</v>
      </c>
      <c r="B19" s="35"/>
      <c r="C19" s="17" t="s">
        <v>12</v>
      </c>
      <c r="D19" s="35"/>
      <c r="E19" s="35"/>
      <c r="F19" s="35"/>
      <c r="G19" s="35"/>
      <c r="H19" s="35"/>
      <c r="I19" s="35"/>
      <c r="J19" s="94"/>
      <c r="K19" s="35"/>
      <c r="L19" s="76" t="s">
        <v>1420</v>
      </c>
      <c r="M19" s="35"/>
      <c r="N19" s="35"/>
    </row>
    <row r="20" ht="19.5" customHeight="1">
      <c r="A20" s="69" t="s">
        <v>3619</v>
      </c>
      <c r="B20" s="3"/>
      <c r="C20" s="3"/>
      <c r="D20" s="3"/>
      <c r="E20" s="3"/>
      <c r="F20" s="3"/>
      <c r="G20" s="3"/>
      <c r="H20" s="3"/>
      <c r="I20" s="3"/>
      <c r="J20" s="3"/>
      <c r="K20" s="3"/>
      <c r="L20" s="3"/>
      <c r="M20" s="3"/>
      <c r="N20" s="4"/>
    </row>
    <row r="21" ht="60.0" customHeight="1">
      <c r="A21" s="81" t="s">
        <v>3773</v>
      </c>
      <c r="B21" s="25"/>
      <c r="C21" s="38" t="s">
        <v>13</v>
      </c>
      <c r="D21" s="25"/>
      <c r="E21" s="25"/>
      <c r="F21" s="25"/>
      <c r="G21" s="25"/>
      <c r="H21" s="25"/>
      <c r="I21" s="25"/>
      <c r="J21" s="93"/>
      <c r="K21" s="25"/>
      <c r="L21" s="76" t="s">
        <v>1420</v>
      </c>
      <c r="M21" s="25"/>
      <c r="N21" s="25"/>
    </row>
    <row r="22" ht="60.0" customHeight="1">
      <c r="A22" s="81" t="s">
        <v>3774</v>
      </c>
      <c r="B22" s="35"/>
      <c r="C22" s="38" t="s">
        <v>13</v>
      </c>
      <c r="D22" s="35"/>
      <c r="E22" s="35"/>
      <c r="F22" s="35"/>
      <c r="G22" s="35"/>
      <c r="H22" s="35"/>
      <c r="I22" s="35"/>
      <c r="J22" s="94"/>
      <c r="K22" s="35"/>
      <c r="L22" s="76" t="s">
        <v>1420</v>
      </c>
      <c r="M22" s="35"/>
      <c r="N22" s="35"/>
    </row>
    <row r="23" ht="60.0" customHeight="1">
      <c r="A23" s="81" t="s">
        <v>3775</v>
      </c>
      <c r="B23" s="25"/>
      <c r="C23" s="38" t="s">
        <v>13</v>
      </c>
      <c r="D23" s="25"/>
      <c r="E23" s="25"/>
      <c r="F23" s="25"/>
      <c r="G23" s="25"/>
      <c r="H23" s="25"/>
      <c r="I23" s="25"/>
      <c r="J23" s="93"/>
      <c r="K23" s="25"/>
      <c r="L23" s="76" t="s">
        <v>1420</v>
      </c>
      <c r="M23" s="25"/>
      <c r="N23" s="25"/>
    </row>
    <row r="24" ht="60.0" customHeight="1">
      <c r="A24" s="81" t="s">
        <v>3776</v>
      </c>
      <c r="B24" s="35"/>
      <c r="C24" s="38" t="s">
        <v>13</v>
      </c>
      <c r="D24" s="35"/>
      <c r="E24" s="35"/>
      <c r="F24" s="35"/>
      <c r="G24" s="35"/>
      <c r="H24" s="35"/>
      <c r="I24" s="35"/>
      <c r="J24" s="94"/>
      <c r="K24" s="35"/>
      <c r="L24" s="76" t="s">
        <v>1420</v>
      </c>
      <c r="M24" s="35"/>
      <c r="N24" s="35"/>
    </row>
    <row r="25" ht="60.0" customHeight="1">
      <c r="A25" s="81" t="s">
        <v>3777</v>
      </c>
      <c r="B25" s="25"/>
      <c r="C25" s="38" t="s">
        <v>13</v>
      </c>
      <c r="D25" s="25"/>
      <c r="E25" s="25"/>
      <c r="F25" s="25"/>
      <c r="G25" s="25"/>
      <c r="H25" s="25"/>
      <c r="I25" s="25"/>
      <c r="J25" s="93"/>
      <c r="K25" s="25"/>
      <c r="L25" s="76" t="s">
        <v>1420</v>
      </c>
      <c r="M25" s="25"/>
      <c r="N25" s="25"/>
    </row>
    <row r="26" ht="60.0" customHeight="1">
      <c r="A26" s="81" t="s">
        <v>3778</v>
      </c>
      <c r="B26" s="35"/>
      <c r="C26" s="38" t="s">
        <v>13</v>
      </c>
      <c r="D26" s="35"/>
      <c r="E26" s="35"/>
      <c r="F26" s="35"/>
      <c r="G26" s="35"/>
      <c r="H26" s="35"/>
      <c r="I26" s="35"/>
      <c r="J26" s="94"/>
      <c r="K26" s="35"/>
      <c r="L26" s="76" t="s">
        <v>1420</v>
      </c>
      <c r="M26" s="35"/>
      <c r="N26" s="35"/>
    </row>
    <row r="27" ht="25.5" customHeight="1">
      <c r="A27" s="49" t="s">
        <v>3779</v>
      </c>
      <c r="B27" s="50"/>
      <c r="C27" s="50"/>
      <c r="D27" s="50"/>
      <c r="E27" s="50"/>
      <c r="F27" s="50"/>
      <c r="G27" s="50"/>
      <c r="H27" s="50"/>
      <c r="I27" s="52"/>
      <c r="L27" s="82">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1:N11"/>
    <mergeCell ref="A20:N20"/>
    <mergeCell ref="A27:I27"/>
  </mergeCells>
  <printOptions/>
  <pageMargins bottom="1.0" footer="0.0" header="0.0" left="0.75" right="0.75" top="1.0"/>
  <pageSetup paperSize="9" orientation="portrait"/>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89" t="s">
        <v>3477</v>
      </c>
      <c r="B1" s="3"/>
      <c r="C1" s="3"/>
      <c r="D1" s="3"/>
      <c r="E1" s="3"/>
      <c r="F1" s="3"/>
      <c r="G1" s="3"/>
      <c r="H1" s="3"/>
      <c r="I1" s="3"/>
      <c r="J1" s="3"/>
      <c r="K1" s="3"/>
      <c r="L1" s="3"/>
      <c r="M1" s="3"/>
      <c r="N1" s="4"/>
    </row>
    <row r="2" ht="27.75" customHeight="1">
      <c r="A2" s="90" t="s">
        <v>3485</v>
      </c>
      <c r="B2" s="3"/>
      <c r="C2" s="3"/>
      <c r="D2" s="3"/>
      <c r="E2" s="3"/>
      <c r="F2" s="3"/>
      <c r="G2" s="3"/>
      <c r="H2" s="3"/>
      <c r="I2" s="3"/>
      <c r="J2" s="3"/>
      <c r="K2" s="3"/>
      <c r="L2" s="3"/>
      <c r="M2" s="3"/>
      <c r="N2" s="4"/>
    </row>
    <row r="3" ht="24.75" customHeight="1">
      <c r="A3" s="91" t="s">
        <v>22</v>
      </c>
      <c r="B3" s="91" t="s">
        <v>14</v>
      </c>
      <c r="C3" s="91" t="s">
        <v>24</v>
      </c>
      <c r="D3" s="91" t="s">
        <v>25</v>
      </c>
      <c r="E3" s="91" t="s">
        <v>26</v>
      </c>
      <c r="F3" s="91" t="s">
        <v>27</v>
      </c>
      <c r="G3" s="91" t="s">
        <v>28</v>
      </c>
      <c r="H3" s="91" t="s">
        <v>29</v>
      </c>
      <c r="I3" s="91" t="s">
        <v>31</v>
      </c>
      <c r="J3" s="91" t="s">
        <v>32</v>
      </c>
      <c r="K3" s="91" t="s">
        <v>33</v>
      </c>
      <c r="L3" s="91" t="s">
        <v>17</v>
      </c>
      <c r="M3" s="91" t="s">
        <v>35</v>
      </c>
      <c r="N3" s="91" t="s">
        <v>36</v>
      </c>
    </row>
    <row r="4" ht="19.5" customHeight="1">
      <c r="A4" s="18" t="s">
        <v>3507</v>
      </c>
      <c r="B4" s="3"/>
      <c r="C4" s="3"/>
      <c r="D4" s="3"/>
      <c r="E4" s="3"/>
      <c r="F4" s="3"/>
      <c r="G4" s="3"/>
      <c r="H4" s="3"/>
      <c r="I4" s="3"/>
      <c r="J4" s="3"/>
      <c r="K4" s="3"/>
      <c r="L4" s="3"/>
      <c r="M4" s="3"/>
      <c r="N4" s="4"/>
    </row>
    <row r="5" ht="60.0" customHeight="1">
      <c r="A5" s="92" t="s">
        <v>3520</v>
      </c>
      <c r="B5" s="25"/>
      <c r="C5" s="27" t="s">
        <v>10</v>
      </c>
      <c r="D5" s="25"/>
      <c r="E5" s="25"/>
      <c r="F5" s="25"/>
      <c r="G5" s="25"/>
      <c r="H5" s="25"/>
      <c r="I5" s="25"/>
      <c r="J5" s="93"/>
      <c r="K5" s="25"/>
      <c r="L5" s="76" t="s">
        <v>1420</v>
      </c>
      <c r="M5" s="25"/>
      <c r="N5" s="25"/>
    </row>
    <row r="6" ht="60.0" customHeight="1">
      <c r="A6" s="92" t="s">
        <v>3531</v>
      </c>
      <c r="B6" s="35"/>
      <c r="C6" s="27" t="s">
        <v>10</v>
      </c>
      <c r="D6" s="35"/>
      <c r="E6" s="35"/>
      <c r="F6" s="35"/>
      <c r="G6" s="35"/>
      <c r="H6" s="35"/>
      <c r="I6" s="35"/>
      <c r="J6" s="94"/>
      <c r="K6" s="35"/>
      <c r="L6" s="76" t="s">
        <v>1420</v>
      </c>
      <c r="M6" s="35"/>
      <c r="N6" s="35"/>
    </row>
    <row r="7" ht="60.0" customHeight="1">
      <c r="A7" s="92" t="s">
        <v>3539</v>
      </c>
      <c r="B7" s="25"/>
      <c r="C7" s="27" t="s">
        <v>10</v>
      </c>
      <c r="D7" s="25"/>
      <c r="E7" s="25"/>
      <c r="F7" s="25"/>
      <c r="G7" s="25"/>
      <c r="H7" s="25"/>
      <c r="I7" s="25"/>
      <c r="J7" s="93"/>
      <c r="K7" s="25"/>
      <c r="L7" s="76" t="s">
        <v>1420</v>
      </c>
      <c r="M7" s="25"/>
      <c r="N7" s="25"/>
    </row>
    <row r="8" ht="60.0" customHeight="1">
      <c r="A8" s="92" t="s">
        <v>3543</v>
      </c>
      <c r="B8" s="35"/>
      <c r="C8" s="27" t="s">
        <v>10</v>
      </c>
      <c r="D8" s="35"/>
      <c r="E8" s="35"/>
      <c r="F8" s="35"/>
      <c r="G8" s="35"/>
      <c r="H8" s="35"/>
      <c r="I8" s="35"/>
      <c r="J8" s="94"/>
      <c r="K8" s="35"/>
      <c r="L8" s="76" t="s">
        <v>1420</v>
      </c>
      <c r="M8" s="35"/>
      <c r="N8" s="35"/>
    </row>
    <row r="9" ht="60.0" customHeight="1">
      <c r="A9" s="92" t="s">
        <v>3549</v>
      </c>
      <c r="B9" s="25"/>
      <c r="C9" s="27" t="s">
        <v>10</v>
      </c>
      <c r="D9" s="25"/>
      <c r="E9" s="25"/>
      <c r="F9" s="25"/>
      <c r="G9" s="25"/>
      <c r="H9" s="25"/>
      <c r="I9" s="25"/>
      <c r="J9" s="93"/>
      <c r="K9" s="25"/>
      <c r="L9" s="76" t="s">
        <v>1420</v>
      </c>
      <c r="M9" s="25"/>
      <c r="N9" s="25"/>
    </row>
    <row r="10" ht="60.0" customHeight="1">
      <c r="A10" s="92" t="s">
        <v>3557</v>
      </c>
      <c r="B10" s="35"/>
      <c r="C10" s="27" t="s">
        <v>10</v>
      </c>
      <c r="D10" s="35"/>
      <c r="E10" s="35"/>
      <c r="F10" s="35"/>
      <c r="G10" s="35"/>
      <c r="H10" s="35"/>
      <c r="I10" s="35"/>
      <c r="J10" s="94"/>
      <c r="K10" s="35"/>
      <c r="L10" s="76" t="s">
        <v>1420</v>
      </c>
      <c r="M10" s="35"/>
      <c r="N10" s="35"/>
    </row>
    <row r="11" ht="19.5" customHeight="1">
      <c r="A11" s="61" t="s">
        <v>3565</v>
      </c>
      <c r="B11" s="3"/>
      <c r="C11" s="3"/>
      <c r="D11" s="3"/>
      <c r="E11" s="3"/>
      <c r="F11" s="3"/>
      <c r="G11" s="3"/>
      <c r="H11" s="3"/>
      <c r="I11" s="3"/>
      <c r="J11" s="3"/>
      <c r="K11" s="3"/>
      <c r="L11" s="3"/>
      <c r="M11" s="3"/>
      <c r="N11" s="4"/>
    </row>
    <row r="12" ht="60.0" customHeight="1">
      <c r="A12" s="92" t="s">
        <v>3576</v>
      </c>
      <c r="B12" s="25"/>
      <c r="C12" s="17" t="s">
        <v>12</v>
      </c>
      <c r="D12" s="25"/>
      <c r="E12" s="25"/>
      <c r="F12" s="25"/>
      <c r="G12" s="25"/>
      <c r="H12" s="25"/>
      <c r="I12" s="25"/>
      <c r="J12" s="93"/>
      <c r="K12" s="25"/>
      <c r="L12" s="76" t="s">
        <v>1420</v>
      </c>
      <c r="M12" s="25"/>
      <c r="N12" s="25"/>
    </row>
    <row r="13" ht="60.0" customHeight="1">
      <c r="A13" s="92" t="s">
        <v>3583</v>
      </c>
      <c r="B13" s="35"/>
      <c r="C13" s="17" t="s">
        <v>12</v>
      </c>
      <c r="D13" s="35"/>
      <c r="E13" s="35"/>
      <c r="F13" s="35"/>
      <c r="G13" s="35"/>
      <c r="H13" s="35"/>
      <c r="I13" s="35"/>
      <c r="J13" s="94"/>
      <c r="K13" s="35"/>
      <c r="L13" s="76" t="s">
        <v>1420</v>
      </c>
      <c r="M13" s="35"/>
      <c r="N13" s="35"/>
    </row>
    <row r="14" ht="60.0" customHeight="1">
      <c r="A14" s="92" t="s">
        <v>3587</v>
      </c>
      <c r="B14" s="25"/>
      <c r="C14" s="17" t="s">
        <v>12</v>
      </c>
      <c r="D14" s="25"/>
      <c r="E14" s="25"/>
      <c r="F14" s="25"/>
      <c r="G14" s="25"/>
      <c r="H14" s="25"/>
      <c r="I14" s="25"/>
      <c r="J14" s="93"/>
      <c r="K14" s="25"/>
      <c r="L14" s="76" t="s">
        <v>1420</v>
      </c>
      <c r="M14" s="25"/>
      <c r="N14" s="25"/>
    </row>
    <row r="15" ht="60.0" customHeight="1">
      <c r="A15" s="92" t="s">
        <v>3593</v>
      </c>
      <c r="B15" s="35"/>
      <c r="C15" s="17" t="s">
        <v>12</v>
      </c>
      <c r="D15" s="35"/>
      <c r="E15" s="35"/>
      <c r="F15" s="35"/>
      <c r="G15" s="35"/>
      <c r="H15" s="35"/>
      <c r="I15" s="35"/>
      <c r="J15" s="94"/>
      <c r="K15" s="35"/>
      <c r="L15" s="76" t="s">
        <v>1420</v>
      </c>
      <c r="M15" s="35"/>
      <c r="N15" s="35"/>
    </row>
    <row r="16" ht="60.0" customHeight="1">
      <c r="A16" s="92" t="s">
        <v>3597</v>
      </c>
      <c r="B16" s="25"/>
      <c r="C16" s="17" t="s">
        <v>12</v>
      </c>
      <c r="D16" s="25"/>
      <c r="E16" s="25"/>
      <c r="F16" s="25"/>
      <c r="G16" s="25"/>
      <c r="H16" s="25"/>
      <c r="I16" s="25"/>
      <c r="J16" s="93"/>
      <c r="K16" s="25"/>
      <c r="L16" s="76" t="s">
        <v>1420</v>
      </c>
      <c r="M16" s="25"/>
      <c r="N16" s="25"/>
    </row>
    <row r="17" ht="60.0" customHeight="1">
      <c r="A17" s="92" t="s">
        <v>3602</v>
      </c>
      <c r="B17" s="35"/>
      <c r="C17" s="17" t="s">
        <v>12</v>
      </c>
      <c r="D17" s="35"/>
      <c r="E17" s="35"/>
      <c r="F17" s="35"/>
      <c r="G17" s="35"/>
      <c r="H17" s="35"/>
      <c r="I17" s="35"/>
      <c r="J17" s="94"/>
      <c r="K17" s="35"/>
      <c r="L17" s="76" t="s">
        <v>1420</v>
      </c>
      <c r="M17" s="35"/>
      <c r="N17" s="35"/>
    </row>
    <row r="18" ht="60.0" customHeight="1">
      <c r="A18" s="92" t="s">
        <v>3607</v>
      </c>
      <c r="B18" s="25"/>
      <c r="C18" s="17" t="s">
        <v>12</v>
      </c>
      <c r="D18" s="25"/>
      <c r="E18" s="25"/>
      <c r="F18" s="25"/>
      <c r="G18" s="25"/>
      <c r="H18" s="25"/>
      <c r="I18" s="25"/>
      <c r="J18" s="93"/>
      <c r="K18" s="25"/>
      <c r="L18" s="76" t="s">
        <v>1420</v>
      </c>
      <c r="M18" s="25"/>
      <c r="N18" s="25"/>
    </row>
    <row r="19" ht="60.0" customHeight="1">
      <c r="A19" s="92" t="s">
        <v>3615</v>
      </c>
      <c r="B19" s="35"/>
      <c r="C19" s="17" t="s">
        <v>12</v>
      </c>
      <c r="D19" s="35"/>
      <c r="E19" s="35"/>
      <c r="F19" s="35"/>
      <c r="G19" s="35"/>
      <c r="H19" s="35"/>
      <c r="I19" s="35"/>
      <c r="J19" s="94"/>
      <c r="K19" s="35"/>
      <c r="L19" s="76" t="s">
        <v>1420</v>
      </c>
      <c r="M19" s="35"/>
      <c r="N19" s="35"/>
    </row>
    <row r="20" ht="19.5" customHeight="1">
      <c r="A20" s="69" t="s">
        <v>3619</v>
      </c>
      <c r="B20" s="3"/>
      <c r="C20" s="3"/>
      <c r="D20" s="3"/>
      <c r="E20" s="3"/>
      <c r="F20" s="3"/>
      <c r="G20" s="3"/>
      <c r="H20" s="3"/>
      <c r="I20" s="3"/>
      <c r="J20" s="3"/>
      <c r="K20" s="3"/>
      <c r="L20" s="3"/>
      <c r="M20" s="3"/>
      <c r="N20" s="4"/>
    </row>
    <row r="21" ht="60.0" customHeight="1">
      <c r="A21" s="92" t="s">
        <v>3624</v>
      </c>
      <c r="B21" s="25"/>
      <c r="C21" s="38" t="s">
        <v>13</v>
      </c>
      <c r="D21" s="25"/>
      <c r="E21" s="25"/>
      <c r="F21" s="25"/>
      <c r="G21" s="25"/>
      <c r="H21" s="25"/>
      <c r="I21" s="25"/>
      <c r="J21" s="93"/>
      <c r="K21" s="25"/>
      <c r="L21" s="76" t="s">
        <v>1420</v>
      </c>
      <c r="M21" s="25"/>
      <c r="N21" s="25"/>
    </row>
    <row r="22" ht="60.0" customHeight="1">
      <c r="A22" s="92" t="s">
        <v>3629</v>
      </c>
      <c r="B22" s="35"/>
      <c r="C22" s="38" t="s">
        <v>13</v>
      </c>
      <c r="D22" s="35"/>
      <c r="E22" s="35"/>
      <c r="F22" s="35"/>
      <c r="G22" s="35"/>
      <c r="H22" s="35"/>
      <c r="I22" s="35"/>
      <c r="J22" s="94"/>
      <c r="K22" s="35"/>
      <c r="L22" s="76" t="s">
        <v>1420</v>
      </c>
      <c r="M22" s="35"/>
      <c r="N22" s="35"/>
    </row>
    <row r="23" ht="60.0" customHeight="1">
      <c r="A23" s="92" t="s">
        <v>3634</v>
      </c>
      <c r="B23" s="25"/>
      <c r="C23" s="38" t="s">
        <v>13</v>
      </c>
      <c r="D23" s="25"/>
      <c r="E23" s="25"/>
      <c r="F23" s="25"/>
      <c r="G23" s="25"/>
      <c r="H23" s="25"/>
      <c r="I23" s="25"/>
      <c r="J23" s="93"/>
      <c r="K23" s="25"/>
      <c r="L23" s="76" t="s">
        <v>1420</v>
      </c>
      <c r="M23" s="25"/>
      <c r="N23" s="25"/>
    </row>
    <row r="24" ht="60.0" customHeight="1">
      <c r="A24" s="92" t="s">
        <v>3638</v>
      </c>
      <c r="B24" s="35"/>
      <c r="C24" s="38" t="s">
        <v>13</v>
      </c>
      <c r="D24" s="35"/>
      <c r="E24" s="35"/>
      <c r="F24" s="35"/>
      <c r="G24" s="35"/>
      <c r="H24" s="35"/>
      <c r="I24" s="35"/>
      <c r="J24" s="94"/>
      <c r="K24" s="35"/>
      <c r="L24" s="76" t="s">
        <v>1420</v>
      </c>
      <c r="M24" s="35"/>
      <c r="N24" s="35"/>
    </row>
    <row r="25" ht="60.0" customHeight="1">
      <c r="A25" s="92" t="s">
        <v>3643</v>
      </c>
      <c r="B25" s="25"/>
      <c r="C25" s="38" t="s">
        <v>13</v>
      </c>
      <c r="D25" s="25"/>
      <c r="E25" s="25"/>
      <c r="F25" s="25"/>
      <c r="G25" s="25"/>
      <c r="H25" s="25"/>
      <c r="I25" s="25"/>
      <c r="J25" s="93"/>
      <c r="K25" s="25"/>
      <c r="L25" s="76" t="s">
        <v>1420</v>
      </c>
      <c r="M25" s="25"/>
      <c r="N25" s="25"/>
    </row>
    <row r="26" ht="60.0" customHeight="1">
      <c r="A26" s="92" t="s">
        <v>3649</v>
      </c>
      <c r="B26" s="35"/>
      <c r="C26" s="38" t="s">
        <v>13</v>
      </c>
      <c r="D26" s="35"/>
      <c r="E26" s="35"/>
      <c r="F26" s="35"/>
      <c r="G26" s="35"/>
      <c r="H26" s="35"/>
      <c r="I26" s="35"/>
      <c r="J26" s="94"/>
      <c r="K26" s="35"/>
      <c r="L26" s="76" t="s">
        <v>1420</v>
      </c>
      <c r="M26" s="35"/>
      <c r="N26" s="35"/>
    </row>
    <row r="27" ht="25.5" customHeight="1">
      <c r="A27" s="49" t="s">
        <v>3658</v>
      </c>
      <c r="B27" s="50"/>
      <c r="C27" s="50"/>
      <c r="D27" s="50"/>
      <c r="E27" s="50"/>
      <c r="F27" s="50"/>
      <c r="G27" s="50"/>
      <c r="H27" s="50"/>
      <c r="I27" s="52"/>
      <c r="L27" s="95">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1:N11"/>
    <mergeCell ref="A20:N20"/>
    <mergeCell ref="A27:I27"/>
  </mergeCells>
  <printOptions/>
  <pageMargins bottom="1.0" footer="0.0" header="0.0" left="0.75" right="0.75" top="1.0"/>
  <pageSetup paperSize="9" orientation="portrait"/>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89" t="s">
        <v>3734</v>
      </c>
      <c r="B1" s="3"/>
      <c r="C1" s="3"/>
      <c r="D1" s="3"/>
      <c r="E1" s="3"/>
      <c r="F1" s="3"/>
      <c r="G1" s="3"/>
      <c r="H1" s="3"/>
      <c r="I1" s="3"/>
      <c r="J1" s="3"/>
      <c r="K1" s="3"/>
      <c r="L1" s="3"/>
      <c r="M1" s="3"/>
      <c r="N1" s="4"/>
    </row>
    <row r="2" ht="27.75" customHeight="1">
      <c r="A2" s="68" t="s">
        <v>3735</v>
      </c>
      <c r="B2" s="3"/>
      <c r="C2" s="3"/>
      <c r="D2" s="3"/>
      <c r="E2" s="3"/>
      <c r="F2" s="3"/>
      <c r="G2" s="3"/>
      <c r="H2" s="3"/>
      <c r="I2" s="3"/>
      <c r="J2" s="3"/>
      <c r="K2" s="3"/>
      <c r="L2" s="3"/>
      <c r="M2" s="3"/>
      <c r="N2" s="4"/>
    </row>
    <row r="3" ht="24.75" customHeight="1">
      <c r="A3" s="9" t="s">
        <v>22</v>
      </c>
      <c r="B3" s="9" t="s">
        <v>14</v>
      </c>
      <c r="C3" s="9" t="s">
        <v>24</v>
      </c>
      <c r="D3" s="9" t="s">
        <v>25</v>
      </c>
      <c r="E3" s="9" t="s">
        <v>26</v>
      </c>
      <c r="F3" s="9" t="s">
        <v>27</v>
      </c>
      <c r="G3" s="9" t="s">
        <v>28</v>
      </c>
      <c r="H3" s="9" t="s">
        <v>29</v>
      </c>
      <c r="I3" s="9" t="s">
        <v>31</v>
      </c>
      <c r="J3" s="9" t="s">
        <v>32</v>
      </c>
      <c r="K3" s="9" t="s">
        <v>33</v>
      </c>
      <c r="L3" s="9" t="s">
        <v>17</v>
      </c>
      <c r="M3" s="9" t="s">
        <v>35</v>
      </c>
      <c r="N3" s="9" t="s">
        <v>36</v>
      </c>
    </row>
    <row r="4" ht="19.5" customHeight="1">
      <c r="A4" s="18" t="s">
        <v>3507</v>
      </c>
      <c r="B4" s="3"/>
      <c r="C4" s="3"/>
      <c r="D4" s="3"/>
      <c r="E4" s="3"/>
      <c r="F4" s="3"/>
      <c r="G4" s="3"/>
      <c r="H4" s="3"/>
      <c r="I4" s="3"/>
      <c r="J4" s="3"/>
      <c r="K4" s="3"/>
      <c r="L4" s="3"/>
      <c r="M4" s="3"/>
      <c r="N4" s="4"/>
    </row>
    <row r="5" ht="60.0" customHeight="1">
      <c r="A5" s="96" t="s">
        <v>3736</v>
      </c>
      <c r="B5" s="25"/>
      <c r="C5" s="27" t="s">
        <v>10</v>
      </c>
      <c r="D5" s="25"/>
      <c r="E5" s="25"/>
      <c r="F5" s="25"/>
      <c r="G5" s="25"/>
      <c r="H5" s="25"/>
      <c r="I5" s="25"/>
      <c r="J5" s="93"/>
      <c r="K5" s="25"/>
      <c r="L5" s="76" t="s">
        <v>1420</v>
      </c>
      <c r="M5" s="25"/>
      <c r="N5" s="25"/>
    </row>
    <row r="6" ht="60.0" customHeight="1">
      <c r="A6" s="96" t="s">
        <v>3737</v>
      </c>
      <c r="B6" s="35"/>
      <c r="C6" s="27" t="s">
        <v>10</v>
      </c>
      <c r="D6" s="35"/>
      <c r="E6" s="35"/>
      <c r="F6" s="35"/>
      <c r="G6" s="35"/>
      <c r="H6" s="35"/>
      <c r="I6" s="35"/>
      <c r="J6" s="94"/>
      <c r="K6" s="35"/>
      <c r="L6" s="76" t="s">
        <v>1420</v>
      </c>
      <c r="M6" s="35"/>
      <c r="N6" s="35"/>
    </row>
    <row r="7" ht="60.0" customHeight="1">
      <c r="A7" s="96" t="s">
        <v>3738</v>
      </c>
      <c r="B7" s="25"/>
      <c r="C7" s="27" t="s">
        <v>10</v>
      </c>
      <c r="D7" s="25"/>
      <c r="E7" s="25"/>
      <c r="F7" s="25"/>
      <c r="G7" s="25"/>
      <c r="H7" s="25"/>
      <c r="I7" s="25"/>
      <c r="J7" s="93"/>
      <c r="K7" s="25"/>
      <c r="L7" s="76" t="s">
        <v>1420</v>
      </c>
      <c r="M7" s="25"/>
      <c r="N7" s="25"/>
    </row>
    <row r="8" ht="60.0" customHeight="1">
      <c r="A8" s="96" t="s">
        <v>3739</v>
      </c>
      <c r="B8" s="35"/>
      <c r="C8" s="27" t="s">
        <v>10</v>
      </c>
      <c r="D8" s="35"/>
      <c r="E8" s="35"/>
      <c r="F8" s="35"/>
      <c r="G8" s="35"/>
      <c r="H8" s="35"/>
      <c r="I8" s="35"/>
      <c r="J8" s="94"/>
      <c r="K8" s="35"/>
      <c r="L8" s="76" t="s">
        <v>1420</v>
      </c>
      <c r="M8" s="35"/>
      <c r="N8" s="35"/>
    </row>
    <row r="9" ht="60.0" customHeight="1">
      <c r="A9" s="96" t="s">
        <v>3740</v>
      </c>
      <c r="B9" s="25"/>
      <c r="C9" s="27" t="s">
        <v>10</v>
      </c>
      <c r="D9" s="25"/>
      <c r="E9" s="25"/>
      <c r="F9" s="25"/>
      <c r="G9" s="25"/>
      <c r="H9" s="25"/>
      <c r="I9" s="25"/>
      <c r="J9" s="93"/>
      <c r="K9" s="25"/>
      <c r="L9" s="76" t="s">
        <v>1420</v>
      </c>
      <c r="M9" s="25"/>
      <c r="N9" s="25"/>
    </row>
    <row r="10" ht="60.0" customHeight="1">
      <c r="A10" s="96" t="s">
        <v>3741</v>
      </c>
      <c r="B10" s="35"/>
      <c r="C10" s="27" t="s">
        <v>10</v>
      </c>
      <c r="D10" s="35"/>
      <c r="E10" s="35"/>
      <c r="F10" s="35"/>
      <c r="G10" s="35"/>
      <c r="H10" s="35"/>
      <c r="I10" s="35"/>
      <c r="J10" s="94"/>
      <c r="K10" s="35"/>
      <c r="L10" s="76" t="s">
        <v>1420</v>
      </c>
      <c r="M10" s="35"/>
      <c r="N10" s="35"/>
    </row>
    <row r="11" ht="19.5" customHeight="1">
      <c r="A11" s="61" t="s">
        <v>3565</v>
      </c>
      <c r="B11" s="3"/>
      <c r="C11" s="3"/>
      <c r="D11" s="3"/>
      <c r="E11" s="3"/>
      <c r="F11" s="3"/>
      <c r="G11" s="3"/>
      <c r="H11" s="3"/>
      <c r="I11" s="3"/>
      <c r="J11" s="3"/>
      <c r="K11" s="3"/>
      <c r="L11" s="3"/>
      <c r="M11" s="3"/>
      <c r="N11" s="4"/>
    </row>
    <row r="12" ht="60.0" customHeight="1">
      <c r="A12" s="96" t="s">
        <v>3742</v>
      </c>
      <c r="B12" s="25"/>
      <c r="C12" s="17" t="s">
        <v>12</v>
      </c>
      <c r="D12" s="25"/>
      <c r="E12" s="25"/>
      <c r="F12" s="25"/>
      <c r="G12" s="25"/>
      <c r="H12" s="25"/>
      <c r="I12" s="25"/>
      <c r="J12" s="93"/>
      <c r="K12" s="25"/>
      <c r="L12" s="76" t="s">
        <v>1420</v>
      </c>
      <c r="M12" s="25"/>
      <c r="N12" s="25"/>
    </row>
    <row r="13" ht="60.0" customHeight="1">
      <c r="A13" s="96" t="s">
        <v>3743</v>
      </c>
      <c r="B13" s="35"/>
      <c r="C13" s="17" t="s">
        <v>12</v>
      </c>
      <c r="D13" s="35"/>
      <c r="E13" s="35"/>
      <c r="F13" s="35"/>
      <c r="G13" s="35"/>
      <c r="H13" s="35"/>
      <c r="I13" s="35"/>
      <c r="J13" s="94"/>
      <c r="K13" s="35"/>
      <c r="L13" s="76" t="s">
        <v>1420</v>
      </c>
      <c r="M13" s="35"/>
      <c r="N13" s="35"/>
    </row>
    <row r="14" ht="60.0" customHeight="1">
      <c r="A14" s="96" t="s">
        <v>3744</v>
      </c>
      <c r="B14" s="25"/>
      <c r="C14" s="17" t="s">
        <v>12</v>
      </c>
      <c r="D14" s="25"/>
      <c r="E14" s="25"/>
      <c r="F14" s="25"/>
      <c r="G14" s="25"/>
      <c r="H14" s="25"/>
      <c r="I14" s="25"/>
      <c r="J14" s="93"/>
      <c r="K14" s="25"/>
      <c r="L14" s="76" t="s">
        <v>1420</v>
      </c>
      <c r="M14" s="25"/>
      <c r="N14" s="25"/>
    </row>
    <row r="15" ht="60.0" customHeight="1">
      <c r="A15" s="96" t="s">
        <v>3745</v>
      </c>
      <c r="B15" s="35"/>
      <c r="C15" s="17" t="s">
        <v>12</v>
      </c>
      <c r="D15" s="35"/>
      <c r="E15" s="35"/>
      <c r="F15" s="35"/>
      <c r="G15" s="35"/>
      <c r="H15" s="35"/>
      <c r="I15" s="35"/>
      <c r="J15" s="94"/>
      <c r="K15" s="35"/>
      <c r="L15" s="76" t="s">
        <v>1420</v>
      </c>
      <c r="M15" s="35"/>
      <c r="N15" s="35"/>
    </row>
    <row r="16" ht="60.0" customHeight="1">
      <c r="A16" s="96" t="s">
        <v>3746</v>
      </c>
      <c r="B16" s="25"/>
      <c r="C16" s="17" t="s">
        <v>12</v>
      </c>
      <c r="D16" s="25"/>
      <c r="E16" s="25"/>
      <c r="F16" s="25"/>
      <c r="G16" s="25"/>
      <c r="H16" s="25"/>
      <c r="I16" s="25"/>
      <c r="J16" s="93"/>
      <c r="K16" s="25"/>
      <c r="L16" s="76" t="s">
        <v>1420</v>
      </c>
      <c r="M16" s="25"/>
      <c r="N16" s="25"/>
    </row>
    <row r="17" ht="60.0" customHeight="1">
      <c r="A17" s="96" t="s">
        <v>3747</v>
      </c>
      <c r="B17" s="35"/>
      <c r="C17" s="17" t="s">
        <v>12</v>
      </c>
      <c r="D17" s="35"/>
      <c r="E17" s="35"/>
      <c r="F17" s="35"/>
      <c r="G17" s="35"/>
      <c r="H17" s="35"/>
      <c r="I17" s="35"/>
      <c r="J17" s="94"/>
      <c r="K17" s="35"/>
      <c r="L17" s="76" t="s">
        <v>1420</v>
      </c>
      <c r="M17" s="35"/>
      <c r="N17" s="35"/>
    </row>
    <row r="18" ht="60.0" customHeight="1">
      <c r="A18" s="96" t="s">
        <v>3748</v>
      </c>
      <c r="B18" s="25"/>
      <c r="C18" s="17" t="s">
        <v>12</v>
      </c>
      <c r="D18" s="25"/>
      <c r="E18" s="25"/>
      <c r="F18" s="25"/>
      <c r="G18" s="25"/>
      <c r="H18" s="25"/>
      <c r="I18" s="25"/>
      <c r="J18" s="93"/>
      <c r="K18" s="25"/>
      <c r="L18" s="76" t="s">
        <v>1420</v>
      </c>
      <c r="M18" s="25"/>
      <c r="N18" s="25"/>
    </row>
    <row r="19" ht="60.0" customHeight="1">
      <c r="A19" s="96" t="s">
        <v>3749</v>
      </c>
      <c r="B19" s="35"/>
      <c r="C19" s="17" t="s">
        <v>12</v>
      </c>
      <c r="D19" s="35"/>
      <c r="E19" s="35"/>
      <c r="F19" s="35"/>
      <c r="G19" s="35"/>
      <c r="H19" s="35"/>
      <c r="I19" s="35"/>
      <c r="J19" s="94"/>
      <c r="K19" s="35"/>
      <c r="L19" s="76" t="s">
        <v>1420</v>
      </c>
      <c r="M19" s="35"/>
      <c r="N19" s="35"/>
    </row>
    <row r="20" ht="19.5" customHeight="1">
      <c r="A20" s="69" t="s">
        <v>3619</v>
      </c>
      <c r="B20" s="3"/>
      <c r="C20" s="3"/>
      <c r="D20" s="3"/>
      <c r="E20" s="3"/>
      <c r="F20" s="3"/>
      <c r="G20" s="3"/>
      <c r="H20" s="3"/>
      <c r="I20" s="3"/>
      <c r="J20" s="3"/>
      <c r="K20" s="3"/>
      <c r="L20" s="3"/>
      <c r="M20" s="3"/>
      <c r="N20" s="4"/>
    </row>
    <row r="21" ht="60.0" customHeight="1">
      <c r="A21" s="96" t="s">
        <v>3750</v>
      </c>
      <c r="B21" s="25"/>
      <c r="C21" s="38" t="s">
        <v>13</v>
      </c>
      <c r="D21" s="25"/>
      <c r="E21" s="25"/>
      <c r="F21" s="25"/>
      <c r="G21" s="25"/>
      <c r="H21" s="25"/>
      <c r="I21" s="25"/>
      <c r="J21" s="93"/>
      <c r="K21" s="25"/>
      <c r="L21" s="76" t="s">
        <v>1420</v>
      </c>
      <c r="M21" s="25"/>
      <c r="N21" s="25"/>
    </row>
    <row r="22" ht="60.0" customHeight="1">
      <c r="A22" s="96" t="s">
        <v>3752</v>
      </c>
      <c r="B22" s="35"/>
      <c r="C22" s="38" t="s">
        <v>13</v>
      </c>
      <c r="D22" s="35"/>
      <c r="E22" s="35"/>
      <c r="F22" s="35"/>
      <c r="G22" s="35"/>
      <c r="H22" s="35"/>
      <c r="I22" s="35"/>
      <c r="J22" s="94"/>
      <c r="K22" s="35"/>
      <c r="L22" s="76" t="s">
        <v>1420</v>
      </c>
      <c r="M22" s="35"/>
      <c r="N22" s="35"/>
    </row>
    <row r="23" ht="60.0" customHeight="1">
      <c r="A23" s="96" t="s">
        <v>3754</v>
      </c>
      <c r="B23" s="25"/>
      <c r="C23" s="38" t="s">
        <v>13</v>
      </c>
      <c r="D23" s="25"/>
      <c r="E23" s="25"/>
      <c r="F23" s="25"/>
      <c r="G23" s="25"/>
      <c r="H23" s="25"/>
      <c r="I23" s="25"/>
      <c r="J23" s="93"/>
      <c r="K23" s="25"/>
      <c r="L23" s="76" t="s">
        <v>1420</v>
      </c>
      <c r="M23" s="25"/>
      <c r="N23" s="25"/>
    </row>
    <row r="24" ht="60.0" customHeight="1">
      <c r="A24" s="96" t="s">
        <v>3755</v>
      </c>
      <c r="B24" s="35"/>
      <c r="C24" s="38" t="s">
        <v>13</v>
      </c>
      <c r="D24" s="35"/>
      <c r="E24" s="35"/>
      <c r="F24" s="35"/>
      <c r="G24" s="35"/>
      <c r="H24" s="35"/>
      <c r="I24" s="35"/>
      <c r="J24" s="94"/>
      <c r="K24" s="35"/>
      <c r="L24" s="76" t="s">
        <v>1420</v>
      </c>
      <c r="M24" s="35"/>
      <c r="N24" s="35"/>
    </row>
    <row r="25" ht="60.0" customHeight="1">
      <c r="A25" s="96" t="s">
        <v>3756</v>
      </c>
      <c r="B25" s="25"/>
      <c r="C25" s="38" t="s">
        <v>13</v>
      </c>
      <c r="D25" s="25"/>
      <c r="E25" s="25"/>
      <c r="F25" s="25"/>
      <c r="G25" s="25"/>
      <c r="H25" s="25"/>
      <c r="I25" s="25"/>
      <c r="J25" s="93"/>
      <c r="K25" s="25"/>
      <c r="L25" s="76" t="s">
        <v>1420</v>
      </c>
      <c r="M25" s="25"/>
      <c r="N25" s="25"/>
    </row>
    <row r="26" ht="60.0" customHeight="1">
      <c r="A26" s="96" t="s">
        <v>3757</v>
      </c>
      <c r="B26" s="35"/>
      <c r="C26" s="38" t="s">
        <v>13</v>
      </c>
      <c r="D26" s="35"/>
      <c r="E26" s="35"/>
      <c r="F26" s="35"/>
      <c r="G26" s="35"/>
      <c r="H26" s="35"/>
      <c r="I26" s="35"/>
      <c r="J26" s="94"/>
      <c r="K26" s="35"/>
      <c r="L26" s="76" t="s">
        <v>1420</v>
      </c>
      <c r="M26" s="35"/>
      <c r="N26" s="35"/>
    </row>
    <row r="27" ht="25.5" customHeight="1">
      <c r="A27" s="49" t="s">
        <v>3759</v>
      </c>
      <c r="B27" s="50"/>
      <c r="C27" s="50"/>
      <c r="D27" s="50"/>
      <c r="E27" s="50"/>
      <c r="F27" s="50"/>
      <c r="G27" s="50"/>
      <c r="H27" s="50"/>
      <c r="I27" s="52"/>
      <c r="L27" s="98">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1:N11"/>
    <mergeCell ref="A20:N20"/>
    <mergeCell ref="A27:I27"/>
  </mergeCells>
  <printOptions/>
  <pageMargins bottom="1.0" footer="0.0" header="0.0" left="0.75" right="0.75" top="1.0"/>
  <pageSetup paperSize="9" orientation="portrait"/>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89" t="s">
        <v>3751</v>
      </c>
      <c r="B1" s="3"/>
      <c r="C1" s="3"/>
      <c r="D1" s="3"/>
      <c r="E1" s="3"/>
      <c r="F1" s="3"/>
      <c r="G1" s="3"/>
      <c r="H1" s="3"/>
      <c r="I1" s="3"/>
      <c r="J1" s="3"/>
      <c r="K1" s="3"/>
      <c r="L1" s="3"/>
      <c r="M1" s="3"/>
      <c r="N1" s="4"/>
    </row>
    <row r="2" ht="27.75" customHeight="1">
      <c r="A2" s="80" t="s">
        <v>3753</v>
      </c>
      <c r="B2" s="3"/>
      <c r="C2" s="3"/>
      <c r="D2" s="3"/>
      <c r="E2" s="3"/>
      <c r="F2" s="3"/>
      <c r="G2" s="3"/>
      <c r="H2" s="3"/>
      <c r="I2" s="3"/>
      <c r="J2" s="3"/>
      <c r="K2" s="3"/>
      <c r="L2" s="3"/>
      <c r="M2" s="3"/>
      <c r="N2" s="4"/>
    </row>
    <row r="3" ht="24.75" customHeight="1">
      <c r="A3" s="97" t="s">
        <v>22</v>
      </c>
      <c r="B3" s="97" t="s">
        <v>14</v>
      </c>
      <c r="C3" s="97" t="s">
        <v>24</v>
      </c>
      <c r="D3" s="97" t="s">
        <v>25</v>
      </c>
      <c r="E3" s="97" t="s">
        <v>26</v>
      </c>
      <c r="F3" s="97" t="s">
        <v>27</v>
      </c>
      <c r="G3" s="97" t="s">
        <v>28</v>
      </c>
      <c r="H3" s="97" t="s">
        <v>29</v>
      </c>
      <c r="I3" s="97" t="s">
        <v>31</v>
      </c>
      <c r="J3" s="97" t="s">
        <v>32</v>
      </c>
      <c r="K3" s="97" t="s">
        <v>33</v>
      </c>
      <c r="L3" s="97" t="s">
        <v>17</v>
      </c>
      <c r="M3" s="97" t="s">
        <v>35</v>
      </c>
      <c r="N3" s="97" t="s">
        <v>36</v>
      </c>
    </row>
    <row r="4" ht="19.5" customHeight="1">
      <c r="A4" s="18" t="s">
        <v>3507</v>
      </c>
      <c r="B4" s="3"/>
      <c r="C4" s="3"/>
      <c r="D4" s="3"/>
      <c r="E4" s="3"/>
      <c r="F4" s="3"/>
      <c r="G4" s="3"/>
      <c r="H4" s="3"/>
      <c r="I4" s="3"/>
      <c r="J4" s="3"/>
      <c r="K4" s="3"/>
      <c r="L4" s="3"/>
      <c r="M4" s="3"/>
      <c r="N4" s="4"/>
    </row>
    <row r="5" ht="60.0" customHeight="1">
      <c r="A5" s="81" t="s">
        <v>3758</v>
      </c>
      <c r="B5" s="25"/>
      <c r="C5" s="27" t="s">
        <v>10</v>
      </c>
      <c r="D5" s="25"/>
      <c r="E5" s="25"/>
      <c r="F5" s="25"/>
      <c r="G5" s="25"/>
      <c r="H5" s="25"/>
      <c r="I5" s="25"/>
      <c r="J5" s="93"/>
      <c r="K5" s="25"/>
      <c r="L5" s="76" t="s">
        <v>1420</v>
      </c>
      <c r="M5" s="25"/>
      <c r="N5" s="25"/>
    </row>
    <row r="6" ht="60.0" customHeight="1">
      <c r="A6" s="81" t="s">
        <v>3760</v>
      </c>
      <c r="B6" s="35"/>
      <c r="C6" s="27" t="s">
        <v>10</v>
      </c>
      <c r="D6" s="35"/>
      <c r="E6" s="35"/>
      <c r="F6" s="35"/>
      <c r="G6" s="35"/>
      <c r="H6" s="35"/>
      <c r="I6" s="35"/>
      <c r="J6" s="94"/>
      <c r="K6" s="35"/>
      <c r="L6" s="76" t="s">
        <v>1420</v>
      </c>
      <c r="M6" s="35"/>
      <c r="N6" s="35"/>
    </row>
    <row r="7" ht="60.0" customHeight="1">
      <c r="A7" s="81" t="s">
        <v>3761</v>
      </c>
      <c r="B7" s="25"/>
      <c r="C7" s="27" t="s">
        <v>10</v>
      </c>
      <c r="D7" s="25"/>
      <c r="E7" s="25"/>
      <c r="F7" s="25"/>
      <c r="G7" s="25"/>
      <c r="H7" s="25"/>
      <c r="I7" s="25"/>
      <c r="J7" s="93"/>
      <c r="K7" s="25"/>
      <c r="L7" s="76" t="s">
        <v>1420</v>
      </c>
      <c r="M7" s="25"/>
      <c r="N7" s="25"/>
    </row>
    <row r="8" ht="60.0" customHeight="1">
      <c r="A8" s="81" t="s">
        <v>3762</v>
      </c>
      <c r="B8" s="35"/>
      <c r="C8" s="27" t="s">
        <v>10</v>
      </c>
      <c r="D8" s="35"/>
      <c r="E8" s="35"/>
      <c r="F8" s="35"/>
      <c r="G8" s="35"/>
      <c r="H8" s="35"/>
      <c r="I8" s="35"/>
      <c r="J8" s="94"/>
      <c r="K8" s="35"/>
      <c r="L8" s="76" t="s">
        <v>1420</v>
      </c>
      <c r="M8" s="35"/>
      <c r="N8" s="35"/>
    </row>
    <row r="9" ht="60.0" customHeight="1">
      <c r="A9" s="81" t="s">
        <v>3763</v>
      </c>
      <c r="B9" s="25"/>
      <c r="C9" s="27" t="s">
        <v>10</v>
      </c>
      <c r="D9" s="25"/>
      <c r="E9" s="25"/>
      <c r="F9" s="25"/>
      <c r="G9" s="25"/>
      <c r="H9" s="25"/>
      <c r="I9" s="25"/>
      <c r="J9" s="93"/>
      <c r="K9" s="25"/>
      <c r="L9" s="76" t="s">
        <v>1420</v>
      </c>
      <c r="M9" s="25"/>
      <c r="N9" s="25"/>
    </row>
    <row r="10" ht="60.0" customHeight="1">
      <c r="A10" s="81" t="s">
        <v>3764</v>
      </c>
      <c r="B10" s="35"/>
      <c r="C10" s="27" t="s">
        <v>10</v>
      </c>
      <c r="D10" s="35"/>
      <c r="E10" s="35"/>
      <c r="F10" s="35"/>
      <c r="G10" s="35"/>
      <c r="H10" s="35"/>
      <c r="I10" s="35"/>
      <c r="J10" s="94"/>
      <c r="K10" s="35"/>
      <c r="L10" s="76" t="s">
        <v>1420</v>
      </c>
      <c r="M10" s="35"/>
      <c r="N10" s="35"/>
    </row>
    <row r="11" ht="19.5" customHeight="1">
      <c r="A11" s="61" t="s">
        <v>3565</v>
      </c>
      <c r="B11" s="3"/>
      <c r="C11" s="3"/>
      <c r="D11" s="3"/>
      <c r="E11" s="3"/>
      <c r="F11" s="3"/>
      <c r="G11" s="3"/>
      <c r="H11" s="3"/>
      <c r="I11" s="3"/>
      <c r="J11" s="3"/>
      <c r="K11" s="3"/>
      <c r="L11" s="3"/>
      <c r="M11" s="3"/>
      <c r="N11" s="4"/>
    </row>
    <row r="12" ht="60.0" customHeight="1">
      <c r="A12" s="81" t="s">
        <v>3765</v>
      </c>
      <c r="B12" s="25"/>
      <c r="C12" s="17" t="s">
        <v>12</v>
      </c>
      <c r="D12" s="25"/>
      <c r="E12" s="25"/>
      <c r="F12" s="25"/>
      <c r="G12" s="25"/>
      <c r="H12" s="25"/>
      <c r="I12" s="25"/>
      <c r="J12" s="93"/>
      <c r="K12" s="25"/>
      <c r="L12" s="76" t="s">
        <v>1420</v>
      </c>
      <c r="M12" s="25"/>
      <c r="N12" s="25"/>
    </row>
    <row r="13" ht="60.0" customHeight="1">
      <c r="A13" s="81" t="s">
        <v>3766</v>
      </c>
      <c r="B13" s="35"/>
      <c r="C13" s="17" t="s">
        <v>12</v>
      </c>
      <c r="D13" s="35"/>
      <c r="E13" s="35"/>
      <c r="F13" s="35"/>
      <c r="G13" s="35"/>
      <c r="H13" s="35"/>
      <c r="I13" s="35"/>
      <c r="J13" s="94"/>
      <c r="K13" s="35"/>
      <c r="L13" s="76" t="s">
        <v>1420</v>
      </c>
      <c r="M13" s="35"/>
      <c r="N13" s="35"/>
    </row>
    <row r="14" ht="60.0" customHeight="1">
      <c r="A14" s="81" t="s">
        <v>3767</v>
      </c>
      <c r="B14" s="25"/>
      <c r="C14" s="17" t="s">
        <v>12</v>
      </c>
      <c r="D14" s="25"/>
      <c r="E14" s="25"/>
      <c r="F14" s="25"/>
      <c r="G14" s="25"/>
      <c r="H14" s="25"/>
      <c r="I14" s="25"/>
      <c r="J14" s="93"/>
      <c r="K14" s="25"/>
      <c r="L14" s="76" t="s">
        <v>1420</v>
      </c>
      <c r="M14" s="25"/>
      <c r="N14" s="25"/>
    </row>
    <row r="15" ht="60.0" customHeight="1">
      <c r="A15" s="81" t="s">
        <v>3768</v>
      </c>
      <c r="B15" s="35"/>
      <c r="C15" s="17" t="s">
        <v>12</v>
      </c>
      <c r="D15" s="35"/>
      <c r="E15" s="35"/>
      <c r="F15" s="35"/>
      <c r="G15" s="35"/>
      <c r="H15" s="35"/>
      <c r="I15" s="35"/>
      <c r="J15" s="94"/>
      <c r="K15" s="35"/>
      <c r="L15" s="76" t="s">
        <v>1420</v>
      </c>
      <c r="M15" s="35"/>
      <c r="N15" s="35"/>
    </row>
    <row r="16" ht="60.0" customHeight="1">
      <c r="A16" s="81" t="s">
        <v>3769</v>
      </c>
      <c r="B16" s="25"/>
      <c r="C16" s="17" t="s">
        <v>12</v>
      </c>
      <c r="D16" s="25"/>
      <c r="E16" s="25"/>
      <c r="F16" s="25"/>
      <c r="G16" s="25"/>
      <c r="H16" s="25"/>
      <c r="I16" s="25"/>
      <c r="J16" s="93"/>
      <c r="K16" s="25"/>
      <c r="L16" s="76" t="s">
        <v>1420</v>
      </c>
      <c r="M16" s="25"/>
      <c r="N16" s="25"/>
    </row>
    <row r="17" ht="60.0" customHeight="1">
      <c r="A17" s="81" t="s">
        <v>3770</v>
      </c>
      <c r="B17" s="35"/>
      <c r="C17" s="17" t="s">
        <v>12</v>
      </c>
      <c r="D17" s="35"/>
      <c r="E17" s="35"/>
      <c r="F17" s="35"/>
      <c r="G17" s="35"/>
      <c r="H17" s="35"/>
      <c r="I17" s="35"/>
      <c r="J17" s="94"/>
      <c r="K17" s="35"/>
      <c r="L17" s="76" t="s">
        <v>1420</v>
      </c>
      <c r="M17" s="35"/>
      <c r="N17" s="35"/>
    </row>
    <row r="18" ht="60.0" customHeight="1">
      <c r="A18" s="81" t="s">
        <v>3771</v>
      </c>
      <c r="B18" s="25"/>
      <c r="C18" s="17" t="s">
        <v>12</v>
      </c>
      <c r="D18" s="25"/>
      <c r="E18" s="25"/>
      <c r="F18" s="25"/>
      <c r="G18" s="25"/>
      <c r="H18" s="25"/>
      <c r="I18" s="25"/>
      <c r="J18" s="93"/>
      <c r="K18" s="25"/>
      <c r="L18" s="76" t="s">
        <v>1420</v>
      </c>
      <c r="M18" s="25"/>
      <c r="N18" s="25"/>
    </row>
    <row r="19" ht="60.0" customHeight="1">
      <c r="A19" s="81" t="s">
        <v>3772</v>
      </c>
      <c r="B19" s="35"/>
      <c r="C19" s="17" t="s">
        <v>12</v>
      </c>
      <c r="D19" s="35"/>
      <c r="E19" s="35"/>
      <c r="F19" s="35"/>
      <c r="G19" s="35"/>
      <c r="H19" s="35"/>
      <c r="I19" s="35"/>
      <c r="J19" s="94"/>
      <c r="K19" s="35"/>
      <c r="L19" s="76" t="s">
        <v>1420</v>
      </c>
      <c r="M19" s="35"/>
      <c r="N19" s="35"/>
    </row>
    <row r="20" ht="19.5" customHeight="1">
      <c r="A20" s="69" t="s">
        <v>3619</v>
      </c>
      <c r="B20" s="3"/>
      <c r="C20" s="3"/>
      <c r="D20" s="3"/>
      <c r="E20" s="3"/>
      <c r="F20" s="3"/>
      <c r="G20" s="3"/>
      <c r="H20" s="3"/>
      <c r="I20" s="3"/>
      <c r="J20" s="3"/>
      <c r="K20" s="3"/>
      <c r="L20" s="3"/>
      <c r="M20" s="3"/>
      <c r="N20" s="4"/>
    </row>
    <row r="21" ht="60.0" customHeight="1">
      <c r="A21" s="81" t="s">
        <v>3773</v>
      </c>
      <c r="B21" s="25"/>
      <c r="C21" s="38" t="s">
        <v>13</v>
      </c>
      <c r="D21" s="25"/>
      <c r="E21" s="25"/>
      <c r="F21" s="25"/>
      <c r="G21" s="25"/>
      <c r="H21" s="25"/>
      <c r="I21" s="25"/>
      <c r="J21" s="93"/>
      <c r="K21" s="25"/>
      <c r="L21" s="76" t="s">
        <v>1420</v>
      </c>
      <c r="M21" s="25"/>
      <c r="N21" s="25"/>
    </row>
    <row r="22" ht="60.0" customHeight="1">
      <c r="A22" s="81" t="s">
        <v>3774</v>
      </c>
      <c r="B22" s="35"/>
      <c r="C22" s="38" t="s">
        <v>13</v>
      </c>
      <c r="D22" s="35"/>
      <c r="E22" s="35"/>
      <c r="F22" s="35"/>
      <c r="G22" s="35"/>
      <c r="H22" s="35"/>
      <c r="I22" s="35"/>
      <c r="J22" s="94"/>
      <c r="K22" s="35"/>
      <c r="L22" s="76" t="s">
        <v>1420</v>
      </c>
      <c r="M22" s="35"/>
      <c r="N22" s="35"/>
    </row>
    <row r="23" ht="60.0" customHeight="1">
      <c r="A23" s="81" t="s">
        <v>3775</v>
      </c>
      <c r="B23" s="25"/>
      <c r="C23" s="38" t="s">
        <v>13</v>
      </c>
      <c r="D23" s="25"/>
      <c r="E23" s="25"/>
      <c r="F23" s="25"/>
      <c r="G23" s="25"/>
      <c r="H23" s="25"/>
      <c r="I23" s="25"/>
      <c r="J23" s="93"/>
      <c r="K23" s="25"/>
      <c r="L23" s="76" t="s">
        <v>1420</v>
      </c>
      <c r="M23" s="25"/>
      <c r="N23" s="25"/>
    </row>
    <row r="24" ht="60.0" customHeight="1">
      <c r="A24" s="81" t="s">
        <v>3776</v>
      </c>
      <c r="B24" s="35"/>
      <c r="C24" s="38" t="s">
        <v>13</v>
      </c>
      <c r="D24" s="35"/>
      <c r="E24" s="35"/>
      <c r="F24" s="35"/>
      <c r="G24" s="35"/>
      <c r="H24" s="35"/>
      <c r="I24" s="35"/>
      <c r="J24" s="94"/>
      <c r="K24" s="35"/>
      <c r="L24" s="76" t="s">
        <v>1420</v>
      </c>
      <c r="M24" s="35"/>
      <c r="N24" s="35"/>
    </row>
    <row r="25" ht="60.0" customHeight="1">
      <c r="A25" s="81" t="s">
        <v>3777</v>
      </c>
      <c r="B25" s="25"/>
      <c r="C25" s="38" t="s">
        <v>13</v>
      </c>
      <c r="D25" s="25"/>
      <c r="E25" s="25"/>
      <c r="F25" s="25"/>
      <c r="G25" s="25"/>
      <c r="H25" s="25"/>
      <c r="I25" s="25"/>
      <c r="J25" s="93"/>
      <c r="K25" s="25"/>
      <c r="L25" s="76" t="s">
        <v>1420</v>
      </c>
      <c r="M25" s="25"/>
      <c r="N25" s="25"/>
    </row>
    <row r="26" ht="60.0" customHeight="1">
      <c r="A26" s="81" t="s">
        <v>3778</v>
      </c>
      <c r="B26" s="35"/>
      <c r="C26" s="38" t="s">
        <v>13</v>
      </c>
      <c r="D26" s="35"/>
      <c r="E26" s="35"/>
      <c r="F26" s="35"/>
      <c r="G26" s="35"/>
      <c r="H26" s="35"/>
      <c r="I26" s="35"/>
      <c r="J26" s="94"/>
      <c r="K26" s="35"/>
      <c r="L26" s="76" t="s">
        <v>1420</v>
      </c>
      <c r="M26" s="35"/>
      <c r="N26" s="35"/>
    </row>
    <row r="27" ht="25.5" customHeight="1">
      <c r="A27" s="49" t="s">
        <v>3779</v>
      </c>
      <c r="B27" s="50"/>
      <c r="C27" s="50"/>
      <c r="D27" s="50"/>
      <c r="E27" s="50"/>
      <c r="F27" s="50"/>
      <c r="G27" s="50"/>
      <c r="H27" s="50"/>
      <c r="I27" s="52"/>
      <c r="L27" s="82">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1:N11"/>
    <mergeCell ref="A20:N20"/>
    <mergeCell ref="A27:I27"/>
  </mergeCells>
  <printOptions/>
  <pageMargins bottom="1.0" footer="0.0" header="0.0" left="0.75" right="0.75" top="1.0"/>
  <pageSetup paperSize="9" orientation="portrait"/>
  <drawing r:id="rId1"/>
</worksheet>
</file>