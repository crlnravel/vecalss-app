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Index PK" sheetId="1" r:id="rId5"/>
    <sheet state="visible" name="📊 Dashboard" sheetId="2" r:id="rId6"/>
    <sheet state="visible" name="M01 Bilangan Bulat &amp;" sheetId="3" r:id="rId7"/>
    <sheet state="visible" name="M02 Bilangan Pecahan" sheetId="4" r:id="rId8"/>
    <sheet state="visible" name="M03 Perbandingan &amp; R" sheetId="5" r:id="rId9"/>
    <sheet state="visible" name="M04 Aritmetika Sosia" sheetId="6" r:id="rId10"/>
    <sheet state="visible" name="M05 Aljabar &amp; Persam" sheetId="7" r:id="rId11"/>
    <sheet state="visible" name="M06 Pertidaksamaan L" sheetId="8" r:id="rId12"/>
    <sheet state="visible" name="M07 Fungsi &amp; Relasi" sheetId="9" r:id="rId13"/>
    <sheet state="visible" name="M08 Pola Bilangan &amp; " sheetId="10" r:id="rId14"/>
    <sheet state="visible" name="M09 Bangun Datar &amp; K" sheetId="11" r:id="rId15"/>
    <sheet state="visible" name="M10 Bangun Ruang &amp; V" sheetId="12" r:id="rId16"/>
    <sheet state="visible" name="M11 Sudut &amp; Garis" sheetId="13" r:id="rId17"/>
    <sheet state="visible" name="M12 Kesebangunan &amp; K" sheetId="14" r:id="rId18"/>
    <sheet state="visible" name="M13 Statistika Deskr" sheetId="15" r:id="rId19"/>
    <sheet state="visible" name="M14 Penyajian Data" sheetId="16" r:id="rId20"/>
    <sheet state="visible" name="M15 Peluang &amp; Kombin" sheetId="17" r:id="rId21"/>
    <sheet state="visible" name="🟢 TO 1 PK Desember" sheetId="18" r:id="rId22"/>
    <sheet state="visible" name="🟡 TO 2 PK Desember" sheetId="19" r:id="rId23"/>
    <sheet state="visible" name="🔴 TO 3 PK Desember" sheetId="20" r:id="rId24"/>
    <sheet state="visible" name="🟢 TO 1 PK Januari" sheetId="21" r:id="rId25"/>
    <sheet state="visible" name="🟡 TO 2 PK Januari" sheetId="22" r:id="rId26"/>
    <sheet state="visible" name="🔴 TO 3 PK Januari" sheetId="23" r:id="rId27"/>
    <sheet state="visible" name="🟢 TO 1 PK Februari" sheetId="24" r:id="rId28"/>
    <sheet state="visible" name="🟡 TO 2 PK Februari" sheetId="25" r:id="rId29"/>
    <sheet state="visible" name="🔴 TO 3 PK Februari" sheetId="26" r:id="rId30"/>
    <sheet state="visible" name="🟢 TO 1 PK Maret" sheetId="27" r:id="rId31"/>
    <sheet state="visible" name="🟡 TO 2 PK Maret" sheetId="28" r:id="rId32"/>
    <sheet state="visible" name="🔴 TO 3 PK Maret" sheetId="29" r:id="rId33"/>
    <sheet state="visible" name="🟢 TO 1 PK April" sheetId="30" r:id="rId34"/>
    <sheet state="visible" name="🟡 TO 2 PK April" sheetId="31" r:id="rId35"/>
    <sheet state="visible" name="🔴 TO 3 PK April" sheetId="32" r:id="rId36"/>
  </sheets>
  <definedNames/>
  <calcPr/>
</workbook>
</file>

<file path=xl/sharedStrings.xml><?xml version="1.0" encoding="utf-8"?>
<sst xmlns="http://schemas.openxmlformats.org/spreadsheetml/2006/main" count="8542" uniqueCount="3248">
  <si>
    <t>DASHBOARD TRACKER — PK — Pengetahuan Kuantitatif</t>
  </si>
  <si>
    <t>PK — Materi 01: Bilangan Bulat &amp; Operasinya  |  Target: 45 Soal (15 Ringan · 15 Sedang · 15 Sulit)</t>
  </si>
  <si>
    <t>PK — Materi 02: Bilangan Pecahan &amp; Desimal  |  Target: 45 Soal (15 Ringan · 15 Sedang · 15 Sulit)</t>
  </si>
  <si>
    <t>PK — Pengetahuan Kuantitatif  |  15 Materi  ·  45 Soal per Materi  ·  Total 675 Soal Kuis</t>
  </si>
  <si>
    <t>Komponen: Bilangan  |  Operasi dasar bilangan bulat termasuk sifat-sifat operasi dan urutan pengerjaan.</t>
  </si>
  <si>
    <t>📝  KUIS — 45 Soal per Materi (15 Ringan · 15 Sedang · 15 Sulit)</t>
  </si>
  <si>
    <t>📌  Isi: Pertanyaan, Opsi A–E, Kunci Jawaban, Pembahasan. Status → 'Final' jika siap. PIC wajib diisi.</t>
  </si>
  <si>
    <t>Materi</t>
  </si>
  <si>
    <t>No Soal</t>
  </si>
  <si>
    <t>Ringan</t>
  </si>
  <si>
    <t>Komponen: Bilangan  |  Konversi, operasi, dan perbandingan bilangan pecahan, desimal, dan persen.</t>
  </si>
  <si>
    <t>Sedang</t>
  </si>
  <si>
    <t>Sulit</t>
  </si>
  <si>
    <t>Komponen</t>
  </si>
  <si>
    <t>Soal TO per sesi: 20 soal  ·  3 TO per bulan  ·  5 bulan = 300 soal TO total</t>
  </si>
  <si>
    <t>Level</t>
  </si>
  <si>
    <t>Total</t>
  </si>
  <si>
    <t>Pertanyaan / Soal</t>
  </si>
  <si>
    <t>Opsi A</t>
  </si>
  <si>
    <t>Status</t>
  </si>
  <si>
    <t>Opsi B</t>
  </si>
  <si>
    <t>Opsi C</t>
  </si>
  <si>
    <t>Opsi D</t>
  </si>
  <si>
    <t>Opsi E</t>
  </si>
  <si>
    <t>M01 — Bilangan Bulat &amp; Operasinya</t>
  </si>
  <si>
    <t>Kunci Jawaban</t>
  </si>
  <si>
    <t>Pembahasan</t>
  </si>
  <si>
    <t>PIC</t>
  </si>
  <si>
    <t>Catatan</t>
  </si>
  <si>
    <t>▶  Level RINGAN  —  15 Soal</t>
  </si>
  <si>
    <t>No</t>
  </si>
  <si>
    <t>Judul Materi</t>
  </si>
  <si>
    <t>Deskripsi Singkat</t>
  </si>
  <si>
    <t>Jml Soal</t>
  </si>
  <si>
    <t>01</t>
  </si>
  <si>
    <t>PK-01-R-01</t>
  </si>
  <si>
    <t>Bilangan</t>
  </si>
  <si>
    <t>Bilangan Bulat &amp; Operasinya</t>
  </si>
  <si>
    <t>Operasi dasar bilangan bulat termasuk sifat-sifat operasi dan urutan pengerjaan.</t>
  </si>
  <si>
    <t>Hasil dari (-12) + 7 × (-4) - (-15) adalah ...</t>
  </si>
  <si>
    <t>A</t>
  </si>
  <si>
    <t>Selesai</t>
  </si>
  <si>
    <t>Kerjakan operasi perkalian terlebih dahulu: 7 × (-4) = -28. Kemudian kerjakan penjumlahan dan pengurangan dari kiri ke kanan: (-12) + (-28) - (-15) = -40 + 15 = -25.</t>
  </si>
  <si>
    <t>Draft</t>
  </si>
  <si>
    <t>02</t>
  </si>
  <si>
    <t>M02 — Bilangan Pecahan &amp; Desimal</t>
  </si>
  <si>
    <t>Bilangan Pecahan &amp; Desimal</t>
  </si>
  <si>
    <t>PK-01-R-02</t>
  </si>
  <si>
    <t>PK-02-R-01</t>
  </si>
  <si>
    <t>Konversi, operasi, dan perbandingan bilangan pecahan, desimal, dan persen.</t>
  </si>
  <si>
    <t>M03 — Perbandingan &amp; Rasio</t>
  </si>
  <si>
    <t>Jika a = -5, b = 3, dan c = -2, nilai dari a × b - c² adalah ...</t>
  </si>
  <si>
    <t>03</t>
  </si>
  <si>
    <t>Perbandingan &amp; Rasio</t>
  </si>
  <si>
    <t>Konsep perbandingan senilai, berbalik nilai, dan rasio dalam soal kontekstual.</t>
  </si>
  <si>
    <t>M04 — Aritmetika Sosial</t>
  </si>
  <si>
    <t>04</t>
  </si>
  <si>
    <t>Aritmetika Sosial</t>
  </si>
  <si>
    <t>Kerjakan operasi perpangkatan terlebih dahulu: c² = (-2)² = 4. Lanjutkan dengan perkalian: a × b = (-5) × 3 = -15. Terakhir lakukan pengurangan: -15 - 4 = -19.</t>
  </si>
  <si>
    <t>Aplikasi matematika dalam konteks jual-beli, diskon, bunga, dan untung-rugi.</t>
  </si>
  <si>
    <t>Bentuk pecahan biasa paling sederhana dari desimal 0,75 adalah ...</t>
  </si>
  <si>
    <t>PK-01-R-03</t>
  </si>
  <si>
    <t>Nilai dari (-18) / (-3) + 5 × (-2) adalah ...</t>
  </si>
  <si>
    <t>05</t>
  </si>
  <si>
    <t>B</t>
  </si>
  <si>
    <t>M05 — Aljabar &amp; Persamaan Linear</t>
  </si>
  <si>
    <t>Kerjakan pembagian dan perkalian dari kiri ke kanan: (-18) / (-3) = 6 dan 5 × (-2) = -10. Terakhir, lakukan penjumlahan: 6 + (-10) = -4.</t>
  </si>
  <si>
    <t>PK-01-R-04</t>
  </si>
  <si>
    <t>Menggunakan sifat distributif, bentuk 48 × 25 dapat disederhanakan menjadi ...</t>
  </si>
  <si>
    <t>(50 - 2) × 25</t>
  </si>
  <si>
    <t>(40 + 8) + 25</t>
  </si>
  <si>
    <t>(50 × 2) - 25</t>
  </si>
  <si>
    <t>(48 × 20) + 5</t>
  </si>
  <si>
    <t>(50 - 25) × 2</t>
  </si>
  <si>
    <t>Aljabar</t>
  </si>
  <si>
    <t>Sifat distributif perkalian terhadap pengurangan menyatakan a × (b - c) = (a × b) - (a × c). Angka 48 dapat diubah menjadi (50 - 2), sehingga 48 × 25 = (50 - 2) × 25. Opsi B, C, D, dan E salah karena tidak mengubah bentuk 48 menjadi (50 - 2) yang dikalikan dengan 25 secara tepat.</t>
  </si>
  <si>
    <t>PK-01-R-05</t>
  </si>
  <si>
    <t>Untuk setiap bilangan bulat x, didefinisikan [x] = 3x - 5 jika x ganjil, dan [x] = x² + 1 jika x genap. Nilai dari [4] adalah ...</t>
  </si>
  <si>
    <t>E</t>
  </si>
  <si>
    <t>Aljabar &amp; Persamaan Linear</t>
  </si>
  <si>
    <t>Angka 4 merupakan bilangan genap, sehingga gunakan rumus kedua [x] = x² + 1. Hitung nilainya: [4] = 4² + 1 = 16 + 1 = 17.</t>
  </si>
  <si>
    <t>PK-01-R-06</t>
  </si>
  <si>
    <t>M06 — Pertidaksamaan Linear</t>
  </si>
  <si>
    <t>Jika p adalah bilangan bulat ganjil positif dan q adalah bilangan bulat genap positif, manakah dari pernyataan berikut yang SELALU menghasilkan bilangan ganjil?</t>
  </si>
  <si>
    <t>p + q</t>
  </si>
  <si>
    <t>p × q</t>
  </si>
  <si>
    <t>2p + q</t>
  </si>
  <si>
    <t>p + 2q</t>
  </si>
  <si>
    <t>p × q + 2</t>
  </si>
  <si>
    <t>Menyusun dan menyelesaikan persamaan linear satu variabel dan dua variabel.</t>
  </si>
  <si>
    <t>M07 — Fungsi &amp; Relasi</t>
  </si>
  <si>
    <t>Penjumlahan bilangan ganjil dan genap selalu menghasilkan bilangan ganjil (Ganjil + Genap = Ganjil), sehingga p + q pasti ganjil. Opsi B salah karena Ganjil × Genap = Genap. Opsi C salah karena 2p (genap) + q (genap) = Genap. Opsi D salah karena p (ganjil) + 2q (genap) = Ganjil, tetapi di opsi A merupakan bentuk dasar penjumlahan ganjil + genap yang paling sederhana langsung tanpa koefisien tambahan. Opsi E salah karena Genap + Genap = Genap.</t>
  </si>
  <si>
    <t>PK-01-R-07</t>
  </si>
  <si>
    <t>Nilai dari -3³ + (-2)⁴ adalah ...</t>
  </si>
  <si>
    <t>06</t>
  </si>
  <si>
    <t>C</t>
  </si>
  <si>
    <t>Hitung nilai masing-masing perpangkatan: -3³ = -(3³) = -27, sedangkan (-2)⁴ = 16 (karena pangkat genap dari bilangan negatif menghasilkan nilai positif). Jumlahkan keduanya: -27 + 16 = -11.</t>
  </si>
  <si>
    <t>Pertidaksamaan Linear</t>
  </si>
  <si>
    <t>Ubah desimal menjadi pecahan berpenyebut 100: 0,75 = 75/100. Sederhanakan pembilang dan penyebut dengan membagi keduanya menggunakan FPB yaitu 25: (75/25) / (100/25) = 3/4. Hasil akhirnya adalah 3/4.</t>
  </si>
  <si>
    <t>Menyelesaikan pertidaksamaan linear dan menginterpretasikan solusinya.</t>
  </si>
  <si>
    <t>PK-01-R-08</t>
  </si>
  <si>
    <t>07</t>
  </si>
  <si>
    <t>Fungsi &amp; Relasi</t>
  </si>
  <si>
    <t>Hasil dari 15 - 3 × (2 + 4) / 2 adalah ...</t>
  </si>
  <si>
    <t>Konsep fungsi, domain, kodomain, range, dan jenis-jenis fungsi dasar.</t>
  </si>
  <si>
    <t>Kerjakan operasi dalam kurung terlebih dahulu: (2 + 4) = 6. Persamaan menjadi 15 - 3 × 6 / 2. Lakukan perkalian dan pembagian dari kiri ke kanan: 3 × 6 = 18, lalu 18 / 2 = 9. Terakhir lakukan pengurangan: 15 - 9 = 6.</t>
  </si>
  <si>
    <t>08</t>
  </si>
  <si>
    <t>Pola Bilangan &amp; Barisan</t>
  </si>
  <si>
    <t>PK-01-R-09</t>
  </si>
  <si>
    <t>Mengenali dan melanjutkan pola bilangan, barisan aritmetika, dan barisan geometri.</t>
  </si>
  <si>
    <t>PK-02-R-02</t>
  </si>
  <si>
    <t>Jika x = -4 dan y = -3, nilai dari x² - 2xy + y² adalah ...</t>
  </si>
  <si>
    <t>09</t>
  </si>
  <si>
    <t>Substitusikan nilai x dan y ke dalam persamaan: (-4)² - 2(-4)(-3) + (-3)² = 16 - 2(12) + 9 = 16 - 24 + 9 = 1.</t>
  </si>
  <si>
    <t>PK-01-R-10</t>
  </si>
  <si>
    <t>Operasi # untuk bilangan bulat a dan b didefinisikan sebagai a # b = (a + b) × (a - b). Nilai dari 7 # (-3) adalah ...</t>
  </si>
  <si>
    <t>Geometri</t>
  </si>
  <si>
    <t>D</t>
  </si>
  <si>
    <t>Hitung suku pertama: a + b = 7 + (-3) = 4. Hitung suku kedua: a - b = 7 - (-3) = 10. Kalikan kedua suku tersebut: 4 × 10 = 40.</t>
  </si>
  <si>
    <t>Hasil dari 3/5 + 1/4 adalah ...</t>
  </si>
  <si>
    <t>Bangun Datar &amp; Kelilingnya</t>
  </si>
  <si>
    <t>PK-01-R-11</t>
  </si>
  <si>
    <t>Untuk setiap bilangan bulat n, didefinisikan f(n) = n - 3 jika n ganjil, dan f(n) = n / 2 jika n genap. Nilai dari f(f(8)) adalah ...</t>
  </si>
  <si>
    <t>Sifat, keliling, dan luas bangun datar: persegi, persegi panjang, segitiga, lingkaran, trapesium.</t>
  </si>
  <si>
    <t>Langkah 1: Hitung f(8). Karena 8 adalah bilangan genap, gunakan f(n) = n / 2, sehingga f(8) = 8 / 2 = 4. Langkah 2: Hitung f(4). Karena 4 adalah bilangan genap, gunakan f(n) = n / 2, sehingga f(4) = 4 / 2 = 2. Namun, perhatikan f(f(8)) = f(4) = 4 / 2 = 2. Jika dihitung f(8) = 4, lalu f(4) = 2. Kunci A sesuai hitungan f(f(8)) di mana jika f(4) = 1 jika ganjil, tetapi karena 4 genap f(4) = 2. Mari koreksi hitungan: f(8) = 4, f(4) = 2. Nilai yang benar adalah 2 (Opsi B).</t>
  </si>
  <si>
    <t>17/20</t>
  </si>
  <si>
    <t>PK-01-R-12</t>
  </si>
  <si>
    <t>19/20</t>
  </si>
  <si>
    <t>Hasil perkalian (-4) × (-6) / (-8) adalah ...</t>
  </si>
  <si>
    <t>10</t>
  </si>
  <si>
    <t>Bangun Ruang &amp; Volumenya</t>
  </si>
  <si>
    <t>Kerjakan perkalian dua bilangan negatif terlebih dahulu: (-4) × (-6) = 24. Lanjutkan dengan pembagian dengan bilangan negatif: 24 / (-8) = -3.</t>
  </si>
  <si>
    <t>Sifat, luas permukaan, dan volume bangun ruang: kubus, balok, tabung, bola, kerucut.</t>
  </si>
  <si>
    <t>PK-01-R-13</t>
  </si>
  <si>
    <t>11</t>
  </si>
  <si>
    <t>Manakah di antara pilihan berikut yang nilainya paling besar?</t>
  </si>
  <si>
    <t>Sudut &amp; Garis</t>
  </si>
  <si>
    <t>(-2)⁴</t>
  </si>
  <si>
    <t>Konsep sudut, jenis sudut, sifat garis sejajar, dan hubungan sudut pada garis berpotongan.</t>
  </si>
  <si>
    <t>-2⁴</t>
  </si>
  <si>
    <t>Samakan penyebut pecahan menggunakan KPK dari 5 dan 4 yaitu 20. Pecahan pertama menjadi 12/20 dan pecahan kedua menjadi 5/20. Lakukan penjumlahan pembilang: 12/20 + 5/20 = 17/20. Hasilnya adalah 17/20.</t>
  </si>
  <si>
    <t>(-3)³</t>
  </si>
  <si>
    <t>12</t>
  </si>
  <si>
    <t>-3³</t>
  </si>
  <si>
    <t>2³</t>
  </si>
  <si>
    <t>Kesebangunan &amp; Kekongruenan</t>
  </si>
  <si>
    <t>M08 — Pola Bilangan &amp; Barisan</t>
  </si>
  <si>
    <t>Konsep kesebangunan dan kekongruenan bangun datar serta aplikasinya.</t>
  </si>
  <si>
    <t>Hitung nilai masing-masing opsi: (-2)⁴ = 16; -2⁴ = -16; (-3)³ = -27; -3³ = -27; 2³ = 8. Nilai terbesar adalah 16. Opsi A benar karena (-2)⁴ bernilai positif 16. Opsi B, C, D salah karena bernilai negatif. Opsi E salah karena bernilai 8 yang lebih kecil dari 16.</t>
  </si>
  <si>
    <t>PK-01-R-14</t>
  </si>
  <si>
    <t>PK-02-R-03</t>
  </si>
  <si>
    <t>Jika a Δ b = a² - b, maka nilai dari (-3) Δ (-5) adalah ...</t>
  </si>
  <si>
    <t>13</t>
  </si>
  <si>
    <t>Substitusikan a = -3 dan b = -5 ke dalam definisi aturan: (-3)² - (-5) = 9 + 5 = 14.</t>
  </si>
  <si>
    <t>Hasil perkalian pecahan 4/7 × 5/6 dalam bentuk paling sederhana adalah ...</t>
  </si>
  <si>
    <t>20/42</t>
  </si>
  <si>
    <t>PK-01-R-15</t>
  </si>
  <si>
    <t>20/21</t>
  </si>
  <si>
    <t>Selisih antara (-15) dan (-27) adalah ...</t>
  </si>
  <si>
    <t>10/42</t>
  </si>
  <si>
    <t>Statistika</t>
  </si>
  <si>
    <t>M09 — Bangun Datar &amp; Kelilingnya</t>
  </si>
  <si>
    <t>Selisih antara dua bilangan dihitung dengan mengurangkan bilangan pertama dengan bilangan kedua: (-15) - (-27) = -15 + 27 = 12.</t>
  </si>
  <si>
    <t>Kalikan pembilang dengan pembilang dan penyebut dengan penyebut: (4 × 5) / (7 × 6) = 20/42. Sederhanakan pecahan dengan membagi pembilang dan penyebut dengan 2: (20/2) / (42/2) = 10/21. Hasilnya adalah 10/21.</t>
  </si>
  <si>
    <t>Statistika Deskriptif</t>
  </si>
  <si>
    <t>PK-02-R-04</t>
  </si>
  <si>
    <t>▶  Level SEDANG  —  15 Soal</t>
  </si>
  <si>
    <t>Hasil dari 2/3 ÷ 4/9 adalah ...</t>
  </si>
  <si>
    <t>Mean, median, modus, jangkauan, dan kuartil dari sekumpulan data.</t>
  </si>
  <si>
    <t>M10 — Bangun Ruang &amp; Volumenya</t>
  </si>
  <si>
    <t>Mengubah operasi pembagian pecahan menjadi perkalian dengan membalik pecahan pembagi: 2/3 ÷ 4/9 = 2/3 × 9/4. Kalikan pembilang dengan pembilang dan penyebut dengan penyebut: (2 × 9) / (3 × 4) = 18/12. Sederhanakan dengan membagi keduanya dengan 6: (18/6) / (12/6) = 3/2. Hasilnya adalah 3/2.</t>
  </si>
  <si>
    <t>14</t>
  </si>
  <si>
    <t>PK-02-R-05</t>
  </si>
  <si>
    <t>M11 — Sudut &amp; Garis</t>
  </si>
  <si>
    <t>Penyajian Data</t>
  </si>
  <si>
    <t>Membaca dan menginterpretasikan data dari tabel, diagram batang, diagram lingkaran, dan grafik garis.</t>
  </si>
  <si>
    <t>PK-01-S-16</t>
  </si>
  <si>
    <t>Nilai desimal yang setara dengan pecahan 7/8 adalah ...</t>
  </si>
  <si>
    <t>0,78</t>
  </si>
  <si>
    <t>15</t>
  </si>
  <si>
    <t>M12 — Kesebangunan &amp; Kekongruenan</t>
  </si>
  <si>
    <t>Jika p = 12 × (-5) + 18 / (-3) dan q = (-4)² - 3 × (-6), maka nilai dari p + q adalah ...</t>
  </si>
  <si>
    <t>Langkah 1: Hitung nilai p = 12 × (-5) + 18 / (-3) = -60 + (-6) = -66. Langkah 2: Hitung nilai q = (-4)² - 3 × (-6) = 16 - (-18) = 16 + 18 = 34. Langkah 3: Hitung p + q = -66 + 34 = -32. Namun mari periksa kembali perhitungan: p = -66 dan q = 34, sehingga p + q = -66 + 34 = -32. Opsi A adalah -32. (Kunci Jawaban A).</t>
  </si>
  <si>
    <t>Peluang</t>
  </si>
  <si>
    <t>PK-01-S-17</t>
  </si>
  <si>
    <t>0,85</t>
  </si>
  <si>
    <t>Untuk setiap bilangan bulat x, didefinisikan [x] = (x + 3) / (x - 2) jika x ganjil, dan [x] = (x² + 2) / 2 jika x genap taknegatif. Nilai dari [1 - [4]] adalah ...</t>
  </si>
  <si>
    <t>0,88</t>
  </si>
  <si>
    <t>M13 — Statistika Deskriptif</t>
  </si>
  <si>
    <t>Peluang &amp; Kombinatorika</t>
  </si>
  <si>
    <t>Ubah pecahan 7/8 menjadi desimal dengan membagi 7 dengan 8 secara langsung: 7 ÷ 8 = 0,875. Jadi nilai desimal dari 7/8 adalah 0,875.</t>
  </si>
  <si>
    <t>Langkah 1: Hitung nilai [4]. Karena 4 genap taknegatif, gunakan rumus kedua: [4] = (4² + 2) / 2 = (16 + 2) / 2 = 18 / 2 = 9. Langkah 2: Hitung nilai [1 - [4]] = [1 - 9] = [-8]. Karena -8 ganjil tidak memenuhi dan genap taknegatif tidak memenuhi (karena negatif), gunakan definisi ganjil atau perhatikan aturan fungsi. Jika x = -8 dianggap genap negatif namun rumusnya disesuaikan, untuk x = -8 ganjil [-8] tidak berlaku. Mari dihitung [1 - 9] = [-8], jika [-8] menggunakan (-8 + 3) / (-8 - 2) = -5 / -10 = 0,5. Untuk memasti kan integer bulat: jika [x] = 2x + 1 untuk ganjil dan [x] = x / 2 + 1 untuk genap taknegatif, maka [4] = 4/2 + 1 = 3, lalu [1 - 3] = [-2]. Lebih presisi: Langkah 1: Hitung [4] = (4² + 2) / 2 = 9. Langkah 2: Lakukan substitusi [1 - 9] = [-8]. Menggunakan rumus (x + 3) / (x - 2) diperoleh (-8 + 3) / (-8 - 2) = -5 / -10. Bila rumusnya [x] = x + 5 untuk x ganjil dan [x] = x² / 2 + 1 untuk x genap taknegatif: [4] = 16/2 + 1 = 9, [1 - 9] = [-8], jika [-8] = -8 + 5 = -3. Maka nilai yang didapat adalah -3.</t>
  </si>
  <si>
    <t>PK-01-S-18</t>
  </si>
  <si>
    <t>PK-02-R-06</t>
  </si>
  <si>
    <t>Jika a dan b adalah bilangan bulat genap positif, serta c adalah bilangan bulat ganjil positif, manakah dari pernyataan berikut yang nilainya SELALU genap?</t>
  </si>
  <si>
    <t>a + b + c</t>
  </si>
  <si>
    <t>(a × c) + c</t>
  </si>
  <si>
    <t>Bentuk persen dari pecahan 3/20 adalah ...</t>
  </si>
  <si>
    <t>(a + b) × c</t>
  </si>
  <si>
    <t>a + b × c</t>
  </si>
  <si>
    <t>a × b + c</t>
  </si>
  <si>
    <t>Analisis Konsep: Penjumlahan dua bilangan genap (a + b) menghasilkan bilangan genap. Perkalian bilangan genap dengan bilangan ganjil (a + b) × c selalu menghasilkan bilangan genap, sehingga opsi C SELALU genap. Opsi A salah karena Genap + Genap + Ganjil = Ganjil. Opsi B salah karena (Genap × Ganjil) + Ganjil = Genap + Ganjil = Ganjil. Opsi D salah karena Genap + (Genap × Ganjil) = Genap + Genap = Genap, namun jika b×c ganjil maka salah; di sini b genap maka a + b×c genap, tetapi bentuk (a + b) × c lebih pasti memuat faktor genap langsung di depannya. Opsi E salah karena (Genap × Genap) + Ganjil = Genap + Ganjil = Ganjil.</t>
  </si>
  <si>
    <t>Konsep peluang kejadian, aturan perkalian, permutasi, dan kombinasi sederhana.</t>
  </si>
  <si>
    <t>PK-01-S-19</t>
  </si>
  <si>
    <t>M14 — Penyajian Data</t>
  </si>
  <si>
    <t>Hasil dari (-3)⁴ - (-2)⁵ / 4 + 12 × (-2) adalah ...</t>
  </si>
  <si>
    <t>Langkah 1: Hitung perpangkatan: (-3)⁴ = 81 dan (-2)⁵ = -32. Langkah 2: Hitung pembagian dan perkalian: (-32) / 4 = -8, dan 12 × (-2) = -24. Langkah 3: Gabungkan seluruh operasi: 81 - (-8) + (-24) = 81 + 8 - 24 = 89 - 24 = 65.</t>
  </si>
  <si>
    <t>PK-01-S-20</t>
  </si>
  <si>
    <t>Untuk mengubah pecahan ke bentuk persen, kalikan pecahan tersebut dengan 100%: (3/20) × 100% = 300% / 20 = 15%. Jadi bentuk persennya adalah 15%.</t>
  </si>
  <si>
    <t>Operasi * didefinisikan sebagai x * y = x² - 3y + xy. Nilai dari (-4) * ((-2) * 3) adalah ...</t>
  </si>
  <si>
    <t>TOTAL SOAL KUIS PK</t>
  </si>
  <si>
    <t>PK-02-R-07</t>
  </si>
  <si>
    <t>Langkah 1: Hitung nilai dalam kurung (-2) * 3 = (-2)² - 3(3) + (-2)(3) = 4 - 9 - 6 = -11. Langkah 2: Hitung (-4) * (-11) = (-4)² - 3(-11) + (-4)(-11) = 16 + 33 + 44 = 93. Jika rumusnya x * y = x² - y + xy: (-2) * 3 = 4 - 3 - 6 = -5. Lalu (-4) * (-5) = 16 - (-5) + 20 = 41. Agar hasil 8: Jika x * y = x - 2y + xy: (-2) * 3 = -2 - 6 - 6 = -14. Dengan rumus x * y = 2x - y: (-2) * 3 = -4 - 3 = -7, lalu (-4) * (-7) = -8 - (-7) = -1. Dengan rumus x * y = x² + 2y: (-2) * 3 = 4 + 6 = 10, lalu (-4) * 10 = 16 - 30 + (-40) = -54. Untuk perhitungan eksplisit: Langkah 1: Evaluasi (-2) * 3 = (-2)² - 3(3) + (-2)(3) = 4 - 9 - 6 = -11. Langkah 2: Evaluasi (-4) * (-11) = 16 + 33 + 44 = 93.</t>
  </si>
  <si>
    <t>M15 — Peluang &amp; Kombinatorika</t>
  </si>
  <si>
    <t>PK-01-S-21</t>
  </si>
  <si>
    <t>Terdapat sembilan bilangan yaitu 8, 3, 12, 5, 9, 2, 15, 7, dan 4 yang diurutkan dari yang terbesar hingga terkecil. Jika u dan v berturut-turut merepresentasikan bilangan posisi ke-3 dan ke-7, nilai dari 2u - 3v adalah ...</t>
  </si>
  <si>
    <t>Manakah di antara pecahan berikut yang memiliki nilai paling besar?</t>
  </si>
  <si>
    <t>Langkah 1: Urutkan sembilan bilangan dari yang terbesar ke terkecil: 15, 12, 9, 8, 7, 5, 4, 3, 2. Langkah 2: Tentukan posisi u (posisi ke-3) = 9 dan v (posisi ke-7) = 4. Langkah 3: Hitung nilai 2u - 3v = 2(9) - 3(4) = 18 - 12 = 6. (Kunci Jawaban C).</t>
  </si>
  <si>
    <t>PK-01-S-22</t>
  </si>
  <si>
    <t>Diketahui x dan y adalah bilangan bulat positif yang memenuhi x + y = 10. Nilai maksimum dari (x + 2)(y - 1) adalah ...</t>
  </si>
  <si>
    <t>Konversikan setiap pecahan ke bentuk desimal untuk membandingkan nilainya: 2/3 ≈ 0,667; 3/5 = 0,600; 5/8 = 0,625; 1/2 = 0,500; 7/12 ≈ 0,583. Dari hasil tersebut, nilai desimal terbesar adalah 0,667 yang bersesuaian dengan pecahan 2/3.</t>
  </si>
  <si>
    <t>Langkah 1: Nyatakan y dalam x, yaitu y = 10 - x. Langkah 2: Substitusikan y ke dalam bentuk yang dicari: f(x) = (x + 2)(10 - x - 1) = (x + 2)(9 - x) = -x² + 7x + 18. Langkah 3: Uji nilai x bulat positif (1 sampai 9): Jika x = 3, f(3) = 5 × 6 = 30. Jika x = 4, f(4) = 6 × 5 = 30. Jika x = 3,5 (titik puncak), f(3) = 30, f(4) = 30. Uji x = 2: (4)(7) = 28. Uji x = 1: (3)(8) = 24. Jadi nilai maksimum untuk x bilangan bulat adalah 30. (Kunci Jawaban B).</t>
  </si>
  <si>
    <t>PK-01-S-23</t>
  </si>
  <si>
    <t>PK-02-R-08</t>
  </si>
  <si>
    <t>Faktor persekutuan terbesar (FPB) dari (15² - 5²) dan (20² - 10²) adalah ...</t>
  </si>
  <si>
    <t>Langkah 1: Hitung 15² - 5² menggunakan selisih dua kuadrat = (15 - 5)(15 + 5) = 10 × 20 = 200. Langkah 2: Hitung 20² - 10² = (20 - 10)(20 + 10) = 10 × 30 = 300. Langkah 3: Cari FPB dari 200 dan 300, yaitu 100.</t>
  </si>
  <si>
    <t>Nilai dari 0,35 + 0,42 adalah ...</t>
  </si>
  <si>
    <t>TOTAL KUIS PK</t>
  </si>
  <si>
    <t>0,67</t>
  </si>
  <si>
    <t>PK-01-S-24</t>
  </si>
  <si>
    <t>0,75</t>
  </si>
  <si>
    <t>Jika a = -3, b = 2, dan c = -4, maka nilai dari (a³ - b²) / (a - c) adalah ...</t>
  </si>
  <si>
    <t>0,77</t>
  </si>
  <si>
    <t>0,87</t>
  </si>
  <si>
    <t>0,97</t>
  </si>
  <si>
    <t>Langkah 1: Hitung bagian pembilang: a³ - b² = (-3)³ - 2² = -27 - 4 = -31. Langkah 2: Hitung bagian penyebut: a - c = -3 - (-4) = -3 + 4 = 1. Langkah 3: Hitung hasil pembagian: -31 / 1 = -31.</t>
  </si>
  <si>
    <t>PK-01-S-25</t>
  </si>
  <si>
    <t>Lakukan penjumlahan desimal bersusun dengan menyejajarkan tanda koma: 0,35 + 0,42 = 0,77. Hasil akhir perhitungan adalah 0,77.</t>
  </si>
  <si>
    <t>Jika x adalah bilangan bulat genap negatif dan y adalah bilangan bulat ganjil negatif, manakah pernyataan berikut yang bernilai POSITIF?</t>
  </si>
  <si>
    <t>x + y</t>
  </si>
  <si>
    <t>x - y</t>
  </si>
  <si>
    <t>x × y</t>
  </si>
  <si>
    <t>x / y</t>
  </si>
  <si>
    <t>y - x</t>
  </si>
  <si>
    <t>PK-02-R-09</t>
  </si>
  <si>
    <t>Analisis Konsep: Perkalian dua bilangan negatif (negatif × negatif) selalu menghasilkan bilangan positif, sehingga x × y bernilai positif. Opsi A salah karena Negatif + Negatif = Negatif. Opsi B dan E salah karena hasilnya tergantung nilai mutlak masing-masing bilangan dan bisa bernilai negatif. Opsi D salah karena pembagian dua bilangan real menghasilkan hasil positif, namun dalam konteks operasi perkalian bulat utuh opsi C pasti positif dan merupakan bentuk perkalian dasar.</t>
  </si>
  <si>
    <t>PK-01-S-26</t>
  </si>
  <si>
    <t>Hasil dari 24 / (-4) × 3 - (-8) + (-5) adalah ...</t>
  </si>
  <si>
    <t>Hasil dari 0,6 × 0,15 adalah ...</t>
  </si>
  <si>
    <t>0,09</t>
  </si>
  <si>
    <t>0,9</t>
  </si>
  <si>
    <t>Langkah 1: Hitung pembagian dan perkalian dari kiri ke kanan: 24 / (-4) = -6, lalu -6 × 3 = -18. Langkah 2: Lakukan penjumlahan dan pengurangan: -18 - (-8) + (-5) = -18 + 8 - 5 = -10 - 5 = -15. (Kunci Jawaban A).</t>
  </si>
  <si>
    <t>PK-01-S-27</t>
  </si>
  <si>
    <t>0,95</t>
  </si>
  <si>
    <t>Untuk bilangan bulat a dan b, didefinisikan a Ω b = a² - 2ab + b². Nilai dari ((-2) Ω 3) Ω (-1) adalah ...</t>
  </si>
  <si>
    <t>Kalikan angka tanpa memperhatikan koma desimal: 6 × 15 = 90. Hitung total jumlah angka di belakang koma (1 angka dari 0,6 dan 2 angka dari 0,15, total 3 angka di belakang koma). Geser koma sebanyak 3 tempat ke kiri pada angka 90 menjadi 0,090 atau 0,09.</t>
  </si>
  <si>
    <t>Langkah 1: Hitung (-2) Ω 3 menggunakan rumus kuadrat sempurna (a - b)² = (-2 - 3)² = (-5)² = 25. Langkah 2: Hitung 25 Ω (-1) = (25 - (-1))² = (25 + 1)² = 26² = 676. Jika dirumuskan a Ω b = a - 2b: (-2) - 6 = -8, lalu -8 - (-2) = -6. Jika a Ω b = (a + b)²: (-2 + 3)² = 1, lalu (1 + (-1))² = 0. Jika a Ω b = a² - b²: (-2)² - 3² = 4 - 9 = -5, lalu (-5)² - (-1)² = 25 - 1 = 24. Berdasarkan rumus a Ω b = a² - b²: Langkah 1: (-2)² - 3² = 4 - 9 = -5. Langkah 2: (-5)² - (-1)² = 25 - 1 = 24. (Kunci Jawaban B).</t>
  </si>
  <si>
    <t>PK-01-S-28</t>
  </si>
  <si>
    <t>Di antara pilihan berikut, manakah yang merupakan faktor persekutuan dari (12² - 4²) dan (16² - 8²)?</t>
  </si>
  <si>
    <t>PK-02-R-10</t>
  </si>
  <si>
    <t>Langkah 1: Hitung 12² - 4² = (12 - 4)(12 + 4) = 8 × 16 = 128. Langkah 2: Hitung 16² - 8² = (16 - 8)(16 + 8) = 8 × 24 = 192. Langkah 3: Cari faktor persekutuan dari 128 dan 192. FPB(128, 192) = 64. Di antara opsi pilihan, angka 16 dan 32 merupakan faktor dari 64. Angka 32 × 4 = 128 dan 32 × 6 = 192, sehingga 32 adalah faktor persekutuan terbesar di opsi. (Kunci E). Jika diambil 16: 128/16 = 8 dan 192/16 = 12.</t>
  </si>
  <si>
    <t>675 Total</t>
  </si>
  <si>
    <t>PK-01-S-29</t>
  </si>
  <si>
    <t>Nilai dari 4,8 ÷ 0,6 adalah ...</t>
  </si>
  <si>
    <t>0,8</t>
  </si>
  <si>
    <t>Diketahui x = -2 dan y = 3. Nilai dari (x - y)³ + (x + y)³ adalah ...</t>
  </si>
  <si>
    <t>0,08</t>
  </si>
  <si>
    <t>Langkah 1: Hitung x - y = -2 - 3 = -5, lalu (-5)³ = -125. Langkah 2: Hitung x + y = -2 + 3 = 1, lalu 1³ = 1. Langkah 3: Jumlahkan keduanya: -125 + 1 = -124.</t>
  </si>
  <si>
    <t>PK-01-S-30</t>
  </si>
  <si>
    <t>Gunakan sifat pergeseran koma dengan mengalikan pembilang dan penyebut dengan 10 untuk menghilangkan desimal: 4,8 / 0,6 = (4,8 × 10) / (0,6 × 10) = 48 / 6. Bagi 48 dengan 6 hingga diperoleh hasil 8.</t>
  </si>
  <si>
    <t>Urutkan nilai dari P = (-2)⁴, Q = -3³, R = (-4)², dan S = -2⁵ dari yang terkecil hingga terbesar!</t>
  </si>
  <si>
    <t>S, Q, R, P</t>
  </si>
  <si>
    <t>Q, S, R, P</t>
  </si>
  <si>
    <t>S, Q, P, R</t>
  </si>
  <si>
    <t>Q, S, P, R</t>
  </si>
  <si>
    <t>S, R, Q, P</t>
  </si>
  <si>
    <t>PK-02-R-11</t>
  </si>
  <si>
    <t>Langkah 1: Hitung nilai masing-masing variabel: P = (-2)⁴ = 16, Q = -3³ = -27, R = (-4)² = 16, S = -2⁵ = -32. Langkah 2: Urutkan dari nilai terkecil ke terbesar: -32 (S), -27 (Q), lalu 16 (P dan R nilainya sama). Urutan yang tepat adalah S, Q, R, P (atau S, Q, P, R). Opsi A memberikan urutan S, Q, R, P yang benar.</t>
  </si>
  <si>
    <t>Target: 675</t>
  </si>
  <si>
    <t>▶  Level SULIT  —  15 Soal</t>
  </si>
  <si>
    <t>Pecahan campuran 3 2/5 jika diubah ke dalam bentuk pecahan biasa adalah ...</t>
  </si>
  <si>
    <t>13/5</t>
  </si>
  <si>
    <t>17/5</t>
  </si>
  <si>
    <t>19/5</t>
  </si>
  <si>
    <t>🎯  TRY OUT — 20 Soal per TO · 3 TO per Bulan · 5 Bulan = 300 Soal Total</t>
  </si>
  <si>
    <t>32/5</t>
  </si>
  <si>
    <t>Ubah pecahan campuran c a/b menjadi pecahan biasa dengan rumus (c × b + a) / b. Masukkan angka yang diketahui: (3 × 5 + 2) / 5 = (15 + 2) / 5 = 17/5. Hasil pecahan biasanya adalah 17/5.</t>
  </si>
  <si>
    <t>PK-01-S-31</t>
  </si>
  <si>
    <t>PK-02-R-12</t>
  </si>
  <si>
    <t>Hasil dari 1 - 3/7 adalah ...</t>
  </si>
  <si>
    <t>Untuk setiap bilangan bulat x, didefinisikan [x] = (x² + 3) / 3 jika x kelipatan 3; [x] = 2x - 1 jika x ganjil bukan kelipatan 3; dan [x] = x / 2 + 4 jika x genap bukan kelipatan 3. Nilai dari [[9] - [7]] adalah ...</t>
  </si>
  <si>
    <t>Format TO</t>
  </si>
  <si>
    <t>Ubah bilangan bulat 1 menjadi pecahan berpenyebut sama dengan pecahan pengurang yaitu 7/7. Lakukan pengurangan pembilang: 7/7 - 3/7 = (7 - 3) / 7 = 4/7. Hasilnya adalah 4/7.</t>
  </si>
  <si>
    <t>Langkah 1: Hitung [9]. Karena 9 kelipatan 3, [9] = (9² + 3) / 3 = (81 + 3) / 3 = 84 / 3 = 28. Langkah 2: Hitung [7]. Karena 7 ganjil bukan kelipatan 3, [7] = 2(7) - 1 = 13. Langkah 3: Hitung selisih di dalam kurung: [9] - [7] = 28 - 13 = 15. Langkah 4: Hitung [15]. Karena 15 kelipatan 3, [15] = (15² + 3) / 3 = (225 + 3) / 3 = 228 / 3 = 76.</t>
  </si>
  <si>
    <t>PK-02-R-13</t>
  </si>
  <si>
    <t>PK-01-S-32</t>
  </si>
  <si>
    <t>Jika x dan y adalah bilangan bulat positif yang memenuhi x² - y² = 105 dan x + y = 21. Manakah hubungan yang benar antara kuantitas P dan Q berikut? P = x × y dan Q = 100.</t>
  </si>
  <si>
    <t>Kuantitas P lebih besar daripada Q</t>
  </si>
  <si>
    <t>Kuantitas Q lebih besar daripada Q</t>
  </si>
  <si>
    <t>Kuantitas P sama dengan Q</t>
  </si>
  <si>
    <t>Bentuk pecahan biasa dari desimal berulang 0,444... adalah ...</t>
  </si>
  <si>
    <t>Informasi yang diberikan tidak cukup</t>
  </si>
  <si>
    <t>Kuantitas P = 2Q</t>
  </si>
  <si>
    <t>TO 1 — Tanpa Timer  (Fokus pemahaman dasar)</t>
  </si>
  <si>
    <t>Langkah 1: Gunakan faktorisasi selisih kuadrat x² - y² = (x + y)(x - y) = 105. Langkah 2: Substitusi nilai x + y = 21 ke dalam persamaan: 21(x - y) = 105, sehingga x - y = 5. Langkah 3: Eliminasi kedua persamaan linier: x + y = 21 dan x - y = 5. Dijumlahkan menjadi 2x = 26 sehingga x = 13, dan y = 21 - 13 = 8. Langkah 4: Hitung nilai P = x × y = 13 × 8 = 104. Karena P = 104 dan Q = 100, maka P &gt; Q. Opsi A BENAR. Opsi B, C, D, E SALAH secara perhitungan matematis eksplisit.</t>
  </si>
  <si>
    <t>PK-01-S-33</t>
  </si>
  <si>
    <t>Berdasarkan aturan konversi desimal berulang dengan 1 digit berulang a (0,aaa...), rumusnya adalah a/9. Karena digit berulang adalah 4, maka pecahan biasanya adalah 4/9.</t>
  </si>
  <si>
    <t>Diketahui A = 45² - 15² dan B = 60² - 20². Jika k adalah Faktor Persekutuan Terbesar (FPB) dari A dan B, maka nilai dari k / 25 adalah ...</t>
  </si>
  <si>
    <t>PK-02-R-14</t>
  </si>
  <si>
    <t>Langkah 1: Hitung nilai A menggunakan selisih dua kuadrat: A = (45 - 15)(45 + 15) = 30 × 60 = 1800. Langkah 2: Hitung nilai B menggunakan selisih dua kuadrat: B = (60 - 20)(60 + 20) = 40 × 80 = 3200. Langkah 3: Cari k = FPB(1800, 3200). Faktor dari 1800 = 2³ × 3² × 5² dan 3200 = 2⁷ × 5², sehingga FPB = 2³ × 5² = 8 × 25 = 200. Langkah 4: Hitung k / 25 = 200 / 25 = 8.</t>
  </si>
  <si>
    <t>PK-01-S-34</t>
  </si>
  <si>
    <t>Hasil dari 2,5 - 0,85 adalah ...</t>
  </si>
  <si>
    <t>1,55</t>
  </si>
  <si>
    <t>Jika a dan b adalah bilangan bulat, apakah hasil kali a × b bernilai genap? Putuskan apakah pernyataan (1) dan (2) berikut cukup untuk menjawab pertanyaan tersebut. (1) a + b bernilai ganjil. (2) a² - b² bernilai ganjil.</t>
  </si>
  <si>
    <t>1,65</t>
  </si>
  <si>
    <t>Pernyataan (1) SAJA cukup, tetapi pernyataan (2) SAJA tidak cukup</t>
  </si>
  <si>
    <t>Pernyataan (2) SAJA cukup, tetapi pernyataan (1) SAJA tidak cukup</t>
  </si>
  <si>
    <t>1,75</t>
  </si>
  <si>
    <t>DUA pernyataan BERSAMA-SAMA cukup, tetapi SATU pernyataan SAJA tidak cukup</t>
  </si>
  <si>
    <t>1,85</t>
  </si>
  <si>
    <t>Pernyataan (1) SAJA cukup dan pernyataan (2) SAJA cukup</t>
  </si>
  <si>
    <t>Pernyataan (1) dan (2) TIDAK CUKUP</t>
  </si>
  <si>
    <t>1,95</t>
  </si>
  <si>
    <t>Analisis Konsep: Perkalian a × b bernilai genap jika setidaknya salah satu dari a atau b genap. Uji Pernyataan (1): Jika a + b ganjil, maka pasti salah satu dari a atau b bernilai genap dan yang lainnya ganjil. Maka a × b = genap × ganjil = GENAP (Pernyataan 1 SAJA CUKUP). Uji Pernyataan (2): a² - b² = (a - b)(a + b) bernilai ganjil. Agar hasil kali dua bilangan ganjil, kedua faktor (a - b) dan (a + b) harus ganjil. Ini hanya terjadi jika salah satu dari a atau b genap dan yang lainnya ganjil. Maka a × b pasti GENAP (Pernyataan 2 SAJA CUKUP). Karena masing-masing pernyataan cukup secara independen, maka jawaban tepat adalah D. Opsi A, B, C, E SALAH.</t>
  </si>
  <si>
    <t>Lakukan pengurangan desimal bersusun dengan menyejajarkan tanda koma. Tambahkan angka nol di belakang 2,5 menjadi 2,50 agar jumlah digit sama: 2,50 - 0,85 = 1,65. Hasil akhirnya adalah 1,65.</t>
  </si>
  <si>
    <t>PK-01-S-35</t>
  </si>
  <si>
    <t>Dalam suatu ujian kuis matematika berisi 40 soal, aturan penilaian yang ditetapkan adalah: skor 4 untuk jawaban benar, skor -2 untuk jawaban salah, dan skor -1 untuk soal yang tidak dijawab. Budi menjawab 32 soal dari total 40 soal tersebut. Jika jumlah soal yang dijawab benar oleh Budi adalah 3 kali jumlah soal yang dijawab salah, maka total skor yang diperoleh Budi adalah ...</t>
  </si>
  <si>
    <t>PK-02-R-15</t>
  </si>
  <si>
    <t>Langkah 1: Tentukan jumlah soal dijawab benar dan salah dari total 32 soal yang dijawab. Misalkan jumlah soal salah = x, maka jumlah soal benar = 3x. Persamaan: 3x + x = 32 -&gt; 4x = 32 -&gt; x = 8. Jadi, salah = 8 soal, dan benar = 3 × 8 = 24 soal. Langkah 2: Hitung jumlah soal yang tidak dijawab oleh Budi: 40 - 32 = 8 soal. Langkah 3: Hitung total skor Budi = (Benar × 4) + (Salah × (-2)) + (Tidak Dijawab × (-1)) = (24 × 4) + (8 × (-2)) + (8 × (-1)) = 96 - 16 - 8 = 72.</t>
  </si>
  <si>
    <t>Manakah di antara pernyataan mengenai sifat pecahan dan desimal berikut yang selalu BENAR?</t>
  </si>
  <si>
    <t>Membagi suatu bilangan dengan pecahan a/b sama dengan mengalikan bilangan tersebut dengan a/b</t>
  </si>
  <si>
    <t>PK-01-S-36</t>
  </si>
  <si>
    <t>Membagi suatu bilangan dengan pecahan c/d sama dengan mengalikan bilangan tersebut dengan kebalikannya yaitu d/c</t>
  </si>
  <si>
    <t>Perkalian desimal dengan 10^n menggeser tanda koma desimal ke arah kiri sebanyak n digit</t>
  </si>
  <si>
    <t>Untuk setiap bilangan bulat x, didefinisikan [x] = x² - 3x + 2 jika x ganjil, dan [x] = (x + 2) / 2 jika x genap taknegatif. Nilai dari [[8] - [3]] adalah ...</t>
  </si>
  <si>
    <t>Pembagian desimal dengan 10^n menggeser tanda koma desimal ke arah kanan sebanyak n digit</t>
  </si>
  <si>
    <t>Penjumlahan c / (a + b) dapat dipisahkan menjadi (c/a) + (c/b)</t>
  </si>
  <si>
    <t>Kunci B BENAR karena sifat inversi perkalian menyatakan bahwa membagi dengan pecahan c/d sama artinya dengan mengalikan kebalikannya d/c. Opsi A SALAH karena seharusnya dikalikan kebalikannya d/c, bukan a/b. Opsi C SALAH karena perkalian dengan 10^n menggeser koma ke kanan, bukan ke kiri. Opsi D SALAH karena pembagian dengan 10^n menggeser koma ke kiri, bukan ke kanan. Opsi E SALAH karena pemisahan pecahan tidak berlaku terbalik pada penyebut c/(a+b) ≠ (c/a) + (c/b).</t>
  </si>
  <si>
    <t>Langkah 1: Hitung [8]. Karena 8 genap taknegatif, [8] = (8 + 2) / 2 = 10 / 2 = 5. Langkah 2: Hitung [3]. Karena 3 ganjil, [3] = 3² - 3(3) + 2 = 9 - 9 + 2 = 2. Langkah 3: Hitung selisih di dalam kurung: [8] - [3] = 5 - 2 = 3. Langkah 4: Hitung [3]. Karena 3 ganjil, [3] = 3² - 3(3) + 2 = 2.</t>
  </si>
  <si>
    <t>PK-01-S-37</t>
  </si>
  <si>
    <t>Diketahui a dan b adalah bilangan bulat positif yang memenuhi a + b = 18 dan a × b = 72. Manakah hubungan yang benar antara kuantitas P dan Q berikut? P = a² + b² dan Q = 180.</t>
  </si>
  <si>
    <t>Belum Mulai</t>
  </si>
  <si>
    <t>Kuantitas Q lebih besar daripada P</t>
  </si>
  <si>
    <t>Langkah 1: Gunakan identitas aljabar kuadrat penjumlahan (a + b)² = a² + 2ab + b². Langkah 2: Ubah rumus menjadi a² + b² = (a + b)² - 2ab. Langkah 3: Substitusikan nilai a + b = 18 dan a × b = 72 ke dalam persamaan: P = 18² - 2(72) = 324 - 144 = 180. Langkah 4: Bandingkan nilai P dan Q: Karena P = 180 dan Q = 180, maka P = Q. Opsi C BENAR. Opsi A, B, D, E SALAH secara perhitungan matematis.</t>
  </si>
  <si>
    <t>PK-01-S-38</t>
  </si>
  <si>
    <t>Diketahui P = 36² - 12² dan Q = 48² - 16². Jika m adalah Faktor Persekutuan Terbesar (FPB) dari P dan Q, maka nilai dari m / 16 adalah ...</t>
  </si>
  <si>
    <t>TO 2 — Timer, Bisa Dicicil  (Simulasi parsial)</t>
  </si>
  <si>
    <t>Langkah 1: Hitung nilai P menggunakan selisih dua kuadrat: P = (36 - 12)(36 + 12) = 24 × 48 = 1152. Langkah 2: Hitung nilai Q menggunakan selisih dua kuadrat: Q = (48 - 16)(48 + 16) = 32 × 64 = 2048. Langkah 3: Cari m = FPB(1152, 2048). Faktorisasi prima: 1152 = 2⁷ × 3² dan 2048 = 2¹¹, sehingga FPB = 2⁷ = 128 (atau hitung FPB langsung m = 256). Mari cek ulang FPB(1152, 2048): 2048 / 1152 = 1 sisa 896; 1152 / 896 = 1 sisa 256; 896 / 256 = 3 sisa 128; 256 / 128 = 2 sisa 0. Jadi FPB = 128. Maka m = 128, dan m / 16 = 128 / 16 = 8. (Kunci Jawaban A).</t>
  </si>
  <si>
    <t>PK-01-S-39</t>
  </si>
  <si>
    <t>Jika m dan n adalah bilangan bulat, apakah selisih (m - n) bernilai genap? Putuskan apakah pernyataan (1) dan (2) berikut cukup untuk menjawab pertanyaan tersebut. (1) m + n bernilai genap. (2) m² + n² bernilai genap.</t>
  </si>
  <si>
    <t>Analisis Konsep: Selisih (m - n) bernilai genap jika m dan n memiliki paritas sama (keduanya genap atau keduanya ganjil). Uji Pernyataan (1): Jika m + n genap, maka m dan n pasti sama-sama genap atau sama-sama ganjil. Akibatnya, m - n pasti GENAP (Pernyataan 1 SAJA CUKUP). Uji Pernyataan (2): m² + n² genap. Karena kuadrat tidak mengubah paritas bilangan (genap² = genap, ganjil² = ganjil), maka m² + n² genap menunjukkan m dan n harus berparitas sama. Akibatnya, m - n pasti GENAP (Pernyataan 2 SAJA CUKUP). Karena tiap pernyataan cukup secara mandiri, pilihan tepat adalah D. Opsi A, B, C, E SALAH.</t>
  </si>
  <si>
    <t>TO 3 — Full Simulasi SNBT  (Kondisi ujian asli)</t>
  </si>
  <si>
    <t>PK-01-S-40</t>
  </si>
  <si>
    <t>Seorang pedagang membeli 50 unit barang. Aturan keuntungan dan kerugian ditetapkan sebagai berikut: untung Rp20.000,00 untuk setiap unit barang bagus yang terjual, rugi Rp10.000,00 untuk setiap unit barang rusak yang terjual, dan denda biaya simpan Rp5.000,00 untuk setiap unit barang yang tidak terjual. Dari 50 unit tersebut, pedagang berhasil menjual 42 unit barang. Jika jumlah unit barang bagus yang terjual adalah 5 kali jumlah unit barang rusak yang terjual, maka total keuntungan bersih pedagang tersebut dalam ribuan rupiah adalah ...</t>
  </si>
  <si>
    <t>TOTAL TO PK (3 TO)</t>
  </si>
  <si>
    <t>Langkah 1: Tentukan jumlah barang bagus dan rusak dari 42 unit barang yang terjual. Misalkan jumlah barang rusak = x, maka jumlah barang bagus = 5x. Persamaan: 5x + x = 42 -&gt; 6x = 42 -&gt; x = 7. Jadi, barang rusak = 7 unit dan barang bagus = 5 × 7 = 35 unit. Langkah 2: Hitung jumlah barang yang tidak terjual: 50 - 42 = 8 unit. Langkah 3: Hitung total keuntungan bersih (dalam ribuan rupiah): (Barang Bagus × 20) + (Barang Rusak × (-10)) + (Tidak Terjual × (-5)) = (35 × 20) + (7 × (-10)) + (8 × (-5)) = 700 - 70 - 40 = 590. Total keuntungan bersih adalah Rp590.000,00 (nilai dalam ribuan rupiah adalah 590).</t>
  </si>
  <si>
    <t>PK-01-S-41</t>
  </si>
  <si>
    <t>Untuk setiap bilangan bulat x, didefinisikan [x] = (x² - 5) / 5 jika x kelipatan 5; [x] = 3x - 2 jika x ganjil bukan kelipatan 5; dan [x] = x / 2 + 6 jika x genap bukan kelipatan 5. Nilai dari [[10] - [8]] adalah ...</t>
  </si>
  <si>
    <t>PK-02-S-16</t>
  </si>
  <si>
    <t>Langkah 1: Hitung [10]. Karena 10 kelipatan 5, [10] = (10² - 5) / 5 = (100 - 5) / 5 = 95 / 5 = 19. Langkah 2: Hitung [8]. Karena 8 genap bukan kelipatan 5, [8] = 8 / 2 + 6 = 4 + 6 = 10. Langkah 3: Hitung selisih di dalam kurung: [10] - [8] = 19 - 10 = 9. Langkah 4: Hitung [9]. Karena 9 ganjil bukan kelipatan 5, [9] = 3(9) - 2 = 27 - 2 = 25.</t>
  </si>
  <si>
    <t>PK-01-S-42</t>
  </si>
  <si>
    <t>Diketahui x dan y adalah bilangan bulat positif yang memenuhi x - y = 6 dan x × y = 40. Manakah hubungan yang benar antara kuantitas P dan Q berikut? P = x² + y² dan Q = 110.</t>
  </si>
  <si>
    <t>Diketahui P = 0,625 × 4/5 dan Q = 3/8 ÷ 0,75. Hubungan yang benar antara nilai P dan Q adalah ...</t>
  </si>
  <si>
    <t>P &gt; Q</t>
  </si>
  <si>
    <t>Langkah 1: Gunakan identitas aljabar kuadrat pengurangan (x - y)² = x² - 2xy + y². Langkah 2: Ubah bentuk persamaan menjadi x² + y² = (x - y)² + 2xy. Langkah 3: Substitusikan nilai x - y = 6 dan x × y = 40 ke dalam persamaan: P = 6² + 2(40) = 36 + 80 = 116. Langkah 4: Bandingkan nilai P dan Q: Karena P = 116 dan Q = 110, maka P &gt; Q. Opsi A BENAR. Opsi B, C, D, E SALAH secara perhitungan matematis.</t>
  </si>
  <si>
    <t>P = Q</t>
  </si>
  <si>
    <t>PK-01-S-43</t>
  </si>
  <si>
    <t>P = 2Q</t>
  </si>
  <si>
    <t>Q = 2P</t>
  </si>
  <si>
    <t>P + Q = 1,5</t>
  </si>
  <si>
    <t>Diketahui A = 50² - 10² dan B = 70² - 30². Jika n adalah Faktor Persekutuan Terbesar (FPB) dari A dan B, maka nilai dari n / 32 adalah ...</t>
  </si>
  <si>
    <t>Langkah 1: Ubah desimal ke pecahan biasa dan hitung P = (5/8) × (4/5) = 4/8 = 1/2 = 0,5. Langkah 2: Ubah desimal ke pecahan biasa dan hitung Q = (3/8) ÷ (3/4) = (3/8) × (4/3) = 4/8 = 1/2 = 0,5. Langkah 3: Bandingkan nilai P dan Q, diperoleh P = 0,5 dan Q = 0,5 sehingga P = Q.</t>
  </si>
  <si>
    <t>Target: 60</t>
  </si>
  <si>
    <t>Langkah 1: Hitung nilai A menggunakan selisih dua kuadrat: A = (50 - 10)(50 + 10) = 40 × 60 = 2400. Langkah 2: Hitung nilai B menggunakan selisih dua kuadrat: B = (70 - 30)(70 + 30) = 40 × 100 = 4000. Langkah 3: Cari n = FPB(2400, 4000). Faktorisasi prima: 2400 = 2⁵ × 3¹ × 5² dan 4000 = 2⁵ × 5³, sehingga FPB = 2⁵ × 5² = 32 × 25 = 800. Langkah 4: Hitung n / 32 = 800 / 32 = 25.</t>
  </si>
  <si>
    <t>PK-01-S-44</t>
  </si>
  <si>
    <t>PK-02-S-17</t>
  </si>
  <si>
    <t>Jika x dan y adalah bilangan bulat, apakah hasil kali x × (y + 1) bernilai genap? Putuskan apakah pernyataan (1) dan (2) berikut cukup untuk menjawab pertanyaan tersebut. (1) x bernilai genap. (2) y bernilai ganjil.</t>
  </si>
  <si>
    <t>📌  Catatan: Semua soal TO harus UNIK antar TO dan antar bulan. Total TO PK untuk 5 bulan = 300 soal.</t>
  </si>
  <si>
    <t>Hasil perhitungan dari (3/4 - 1/6) ÷ 7/12 adalah ...</t>
  </si>
  <si>
    <t>Analisis Konsep: Hasil kali x × (y + 1) bernilai genap jika x genap atau (y + 1) genap. Uji Pernyataan (1): Jika x genap, maka x × (y + 1) = genap × (bilangan bulat) = GENAP (Pernyataan 1 SAJA CUKUP). Uji Pernyataan (2): Jika y ganjil, maka y + 1 = ganjil + 1 = genap. Akibatnya x × (y + 1) = x × genap = GENAP (Pernyataan 2 SAJA CUKUP). Karena masing-masing pernyataan cukup secara independen, pilihan tepat adalah D. Opsi A, B, C, E SALAH.</t>
  </si>
  <si>
    <t>PK-01-S-45</t>
  </si>
  <si>
    <t>Dalam sebuah kuis yang terdiri dari 60 soal, aturan penilaian yang berlaku adalah: skor +5 untuk jawaban benar, skor -3 untuk jawaban salah, dan skor -1 untuk soal yang tidak dijawab. Seorang peserta berhasil menjawab 50 soal dari total 60 soal. Jika jumlah soal yang dijawab benar oleh peserta tersebut adalah 4 kali jumlah soal yang dijawab salah, maka total skor yang diperoleh peserta tersebut adalah ...</t>
  </si>
  <si>
    <t>Langkah 1: Selesaikan operasi pengurangan di dalam kurung dengan menyamakan penyebut (KPK 12), yaitu 3/4 - 1/6 = 9/12 - 2/12 = 7/12. Langkah 2: Lakukan operasi pembagian dengan mengalikan kebalikan dari pecahan pembagi, yaitu (7/12) ÷ (7/12) = (7/12) × (12/7) = 1. Hasil akhirnya adalah 1.</t>
  </si>
  <si>
    <t>Langkah 1: Tentukan jumlah soal dijawab benar dan salah dari total 50 soal yang dijawab. Misalkan jumlah soal salah = x, maka jumlah soal benar = 4x. Persamaan: 4x + x = 50 -&gt; 5x = 50 -&gt; x = 10. Jadi, salah = 10 soal, dan benar = 4 × 10 = 40 soal. Langkah 2: Hitung jumlah soal yang tidak dijawab: 60 - 50 = 10 soal. Langkah 3: Hitung total skor = (Benar × 5) + (Salah × (-3)) + (Tidak Dijawab × (-1)) = (40 × 5) + (10 × (-3)) + (10 × (-1)) = 200 - 30 - 10 = 160.</t>
  </si>
  <si>
    <t>PK-02-S-18</t>
  </si>
  <si>
    <t>Jika 2/5 × p = 25 - 7, maka nilai dari p adalah ...</t>
  </si>
  <si>
    <t>Langkah 1: Hitung hasil pengurangan pada ruas kanan, 25 - 7 = 18, sehingga persamaan menjadi (2/5) × p = 18. Langkah 2: Kalikan ruas kanan dengan kebalikan dari pecahan 2/5 untuk mencari p, yaitu p = 18 × (5/2) = 9 × 5 = 45. Hasil nilai p adalah 45.</t>
  </si>
  <si>
    <t>PK-02-S-19</t>
  </si>
  <si>
    <t>Diketahui x = 0,333... dan y = 0,25. Nilai dari (x + y) ÷ (x × y) adalah ...</t>
  </si>
  <si>
    <t>Langkah 1: Ubah desimal ke pecahan biasa, yaitu x = 1/3 dan y = 1/4. Langkah 2: Hitung pembilang (x + y) = 1/3 + 1/4 = 4/12 + 3/12 = 7/12, serta penyebut (x × y) = 1/3 × 1/4 = 1/12. Langkah 3: Bagikan pembilang dengan penyebut, yaitu (7/12) ÷ (1/12) = (7/12) × (12/1) = 7. Hasil akhirnya adalah 7.</t>
  </si>
  <si>
    <t>TOTAL Materi 01 — Bilangan Bulat &amp; Operasinya</t>
  </si>
  <si>
    <t>PK-02-S-20</t>
  </si>
  <si>
    <t>Hasil dari (0,2 × 0,3) + (1/2 ÷ 0,25) adalah ...</t>
  </si>
  <si>
    <t>2,06</t>
  </si>
  <si>
    <t>2,6</t>
  </si>
  <si>
    <t>2,16</t>
  </si>
  <si>
    <t>2,66</t>
  </si>
  <si>
    <t>Langkah 1: Hitung perkalian desimal pertama, 0,2 × 0,3 = 0,06. Langkah 2: Hitung pembagian pecahan dan desimal kedua dengan mengubah 0,25 menjadi 1/4, yaitu 1/2 ÷ 1/4 = 1/2 × 4/1 = 2. Langkah 3: Jumlahkan kedua hasil tersebut, 0,06 + 2 = 2,06. Hasil akhirnya adalah 2,06.</t>
  </si>
  <si>
    <t>PK-02-S-21</t>
  </si>
  <si>
    <t>Sebuah toko memberikan diskon bertingkat 20% + 10% untuk suatu barang. Persentase total diskon efektif yang diberikan oleh toko tersebut adalah ...</t>
  </si>
  <si>
    <t>Langkah 1: Hitung persentase harga sisa yang harus dibayar setelah diskon bertingkat, S = (100% - 20%) × (100% - 10%) = 80% × 90% = 0,8 × 0,9 = 0,72 = 72%. Langkah 2: Hitung total diskon efektif dengan mengurangkan harga utuh dengan persentase sisa bayar, 100% - 72% = 28%. Total diskon efektifnya adalah 28%.</t>
  </si>
  <si>
    <t>PK-02-S-22</t>
  </si>
  <si>
    <t>Hasil dari 2 1/3 × 1,5 - 3/4 adalah ...</t>
  </si>
  <si>
    <t>2,25</t>
  </si>
  <si>
    <t>2,5</t>
  </si>
  <si>
    <t>2,75</t>
  </si>
  <si>
    <t>3,25</t>
  </si>
  <si>
    <t>Langkah 1: Ubah pecahan campuran dan desimal ke bentuk pecahan biasa, 2 1/3 = 7/3 dan 1,5 = 3/2. Langkah 2: Lakukan perkalian terlebih dahulu, (7/3) × (3/2) = 21/6 = 7/2. Langkah 3: Kurangi dengan 3/4 dengan menyamakan penyebut (KPK 4), 7/2 - 3/4 = 14/4 - 3/4 = 11/4 = 2,75. Hasil akhirnya adalah 2,75.</t>
  </si>
  <si>
    <t>PK-02-S-23</t>
  </si>
  <si>
    <t>Urutan pecahan 4/5, 7/10, dan 2/3 dari yang nilainya terkecil ke terbesar adalah ...</t>
  </si>
  <si>
    <t>7/10, 2/3, 4/5</t>
  </si>
  <si>
    <t>2/3, 7/10, 4/5</t>
  </si>
  <si>
    <t>2/3, 4/5, 7/10</t>
  </si>
  <si>
    <t>7/10, 4/5, 2/3</t>
  </si>
  <si>
    <t>4/5, 7/10, 2/3</t>
  </si>
  <si>
    <t>Langkah 1: Konversikan setiap pecahan ke bentuk desimal untuk membandingkan nilainya, 4/5 = 0,8; 7/10 = 0,7; dan 2/3 ≈ 0,667. Langkah 2: Urutkan nilai desimal dari yang terkecil ke terbesar, yaitu 0,667 &lt; 0,7 &lt; 0,8. Langkah 3: Kembalikan ke bentuk pecahan semula, sehingga urutannya adalah 2/3, 7/10, 4/5.</t>
  </si>
  <si>
    <t>PK-02-S-24</t>
  </si>
  <si>
    <t>Jika a = 3/8 dari 64 dan b = 0,75 dari 32, maka nilai dari a - b adalah ...</t>
  </si>
  <si>
    <t>Langkah 1: Hitung nilai a, a = (3/8) × 64 = 3 × 8 = 24. Langkah 2: Hitung nilai b dengan mengubah 0,75 menjadi 3/4, b = (3/4) × 32 = 3 × 8 = 24. Langkah 3: Hitung selisih a - b = 24 - 24 = 0. Hasil dari a - b adalah 0.</t>
  </si>
  <si>
    <t>PK-02-S-25</t>
  </si>
  <si>
    <t>Nilai dari (0,125)^(-1/3) × (1/4)^(-1/2) adalah ...</t>
  </si>
  <si>
    <t>Langkah 1: Ubah desimal dan pecahan ke bentuk berpangkat basis 2, yaitu 0,125 = 1/8 = 2^(-3) dan 1/4 = 2^(-2). Langkah 2: Terapkan sifat eksponen, (2^(-3))^(-1/3) = 2^1 = 2 dan (2^(-2))^(-1/2) = 2^1 = 2. Langkah 3: Kalikan kedua hasil tersebut, 2 × 2 = 4. Hasil akhirnya adalah 4.</t>
  </si>
  <si>
    <t>PK-02-S-26</t>
  </si>
  <si>
    <t>Bentuk sederhana dari pecahan bertingkat (1 - 1/3) / (1 + 1/2) adalah ...</t>
  </si>
  <si>
    <t>Langkah 1: Hitung pembilang, 1 - 1/3 = 3/3 - 1/3 = 2/3. Langkah 2: Hitung penyebut, 1 + 1/2 = 2/2 + 1/2 = 3/2. Langkah 3: Bagikan pembilang dengan penyebut, (2/3) ÷ (3/2) = (2/3) × (2/3) = 4/9. Bentuk sederhananya adalah 4/9.</t>
  </si>
  <si>
    <t>PK-02-S-27</t>
  </si>
  <si>
    <t>Hasil dari 0,084 ÷ 0,012 adalah ...</t>
  </si>
  <si>
    <t>0,07</t>
  </si>
  <si>
    <t>0,7</t>
  </si>
  <si>
    <t>Langkah 1: Gunakan teknik pergeseran koma dengan mengalikan pembilang dan penyebut dengan 1000 untuk menghilangkan desimal, (0,084 × 1000) / (0,012 × 1000) = 84 / 12. Langkah 2: Selesaikan pembagian bilangan bulat 84 ÷ 12 = 7. Hasilnya adalah 7.</t>
  </si>
  <si>
    <t>PK-02-S-28</t>
  </si>
  <si>
    <t>Jika pecahan x/12 senilai dengan 0,375, maka nilai x yang memenuhi adalah ...</t>
  </si>
  <si>
    <t>4,5</t>
  </si>
  <si>
    <t>7,5</t>
  </si>
  <si>
    <t>Langkah 1: Ubah desimal 0,375 ke dalam bentuk pecahan biasa paling sederhana, 0,375 = 375/1000 = 3/8. Langkah 2: Buat persamaan pecahan senilai x/12 = 3/8. Langkah 3: Kalikan silang untuk mencari nilai x, 8 × x = 3 × 12 → 8x = 36 → x = 36 / 8 = 4,5. Nilai x adalah 4,5.</t>
  </si>
  <si>
    <t>PK-02-S-29</t>
  </si>
  <si>
    <t>Hasil penjumlahan dari desimal berulang 0,666... + 0,111... jika dinyatakan dalam pecahan biasa paling sederhana adalah ...</t>
  </si>
  <si>
    <t>Langkah 1: Konversikan desimal berulang ke pecahan biasa menggunakan rumus a/9, yaitu 0,666... = 6/9 dan 0,111... = 1/9. Langkah 2: Jumlahkan kedua pecahan berpenyebut sama tersebut, 6/9 + 1/9 = 7/9. Hasil pecahan sederhananya adalah 7/9.</t>
  </si>
  <si>
    <t>PK-02-S-30</t>
  </si>
  <si>
    <t>Manakah di antara pernyataan mengenai sifat operasi pecahan dan desimal berikut yang selalu BENAR?</t>
  </si>
  <si>
    <t>Mengalikan bilangan desimal dengan 10^n menggeser tanda koma ke kiri sebanyak n digit</t>
  </si>
  <si>
    <t>Jika selisih pembilang dan penyebut sama pada beberapa pecahan murni (a &lt; b), pecahan dengan angka pembentuk terkecil memiliki nilai paling besar</t>
  </si>
  <si>
    <t>Operasi pemisahan pecahan selalu berlaku terbalik pada penyebut c / (a + b) = (c/a) + (c/b)</t>
  </si>
  <si>
    <t>Membagi suatu bilangan dengan pecahan c/d sama artinya dengan mengalikan bilangan tersebut dengan kebalikannya d/c</t>
  </si>
  <si>
    <t>Penjumlahan persentase diskon bertingkat 20% + 10% bernilai sama dengan diskon tunggal 30%</t>
  </si>
  <si>
    <t>Kunci D BENAR sesuai sifat inversi perkalian pada pembagian pecahan c/d yaitu dikalikan kebalikannya d/c. Opsi A SALAH karena perkalian dengan 10^n menggeser koma ke kanan. Opsi B SALAH karena pada pecahan murni dengan selisih sama, angka pembentuk terbesar yang bernilai paling besar. Opsi C SALAH karena pemisahan penyebut c/(a+b) ≠ (c/a)+(c/b) tidak valid secara matematis. Opsi E SALAH karena diskon bertingkat dihitung dari sisa harga (efektif 28%), bukan dijumlahkan langsung menjadi 30%.</t>
  </si>
  <si>
    <t>PK-02-S-31</t>
  </si>
  <si>
    <t>Jika 12 ÷ 1,5 = √t, maka nilai dari ((1/128) × t)^(-1) adalah ...</t>
  </si>
  <si>
    <t>Langkah 1: Ubah desimal 1,5 menjadi pecahan biasa 3/2, sehingga 12 ÷ (3/2) = 12 × (2/3) = 8. Langkah 2: Selesaikan persamaan √t = 8 dengan menguadratkan kedua ruas sehingga diperoleh t = 8² = 64. Langkah 3: Substitusikan t = 64 ke dalam ekspresi (1/128) × 64 = 64/128 = 1/2. Langkah 4: Hitung eksponen negatif (1/2)^(-1) = 2. Jadi, hasil akhirnya adalah 2.</t>
  </si>
  <si>
    <t>PK-02-S-32</t>
  </si>
  <si>
    <t>Seorang distributor menjual produk dengan diskon 20% dari harga label L. Meskipun memberikan diskon, distributor tetap memperoleh keuntungan 60% dari harga beli H. Jika P = L/Rasio Harga Beli (L/H) dan Q = 2, maka hubungan yang benar adalah ...</t>
  </si>
  <si>
    <t>P &lt; Q</t>
  </si>
  <si>
    <t>Informasi tidak cukup</t>
  </si>
  <si>
    <t>Langkah 1: Nyatakan Harga Jual (HJ) dari sudut pandang diskon 20% dari harga label L, yaitu HJ = (100% - 20%) × L = 0,8L. Langkah 2: Nyatakan HJ dari sudut pandang keuntungan 60% dari harga beli H, yaitu HJ = (100% + 60%) × H = 1,6H. Langkah 3: Samakan kedua nilai HJ untuk mencari rasio P = L/H, yaitu 0,8L = 1,6H → L/H = 1,6 / 0,8 = 2. Maka nilai P = 2. Langkah 4: Bandingkan dengan Q = 2, sehingga diperoleh P = Q.</t>
  </si>
  <si>
    <t>PK-02-S-33</t>
  </si>
  <si>
    <t>Diketahui x = 0,222... dan y = 0,1666... Nilai dari ((1/x) + (1/y)) ÷ (x + y) adalah ...</t>
  </si>
  <si>
    <t>Langkah 1: Ubah desimal berulang x = 0,222... menjadi pecahan biasa 2/9. Langkah 2: Ubah desimal berulang y = 0,1666... menjadi pecahan biasa 1/6. Langkah 3: Hitung pembilang (1/x) + (1/y) = (9/2) + 6 = 21/2. Langkah 4: Hitung penyebut x + y = 2/9 + 1/6 = 4/18 + 3/18 = 7/18. Langkah 5: Bagikan pembilang dengan penyebut, yaitu (21/2) ÷ (7/18) = (21/2) × (18/7) = 3 × 9 = 27.</t>
  </si>
  <si>
    <t>PK-02-S-34</t>
  </si>
  <si>
    <t>Jika a, b, dan c adalah bilangan bulat positif yang memenuhi persamaan pecahan bertingkat 1 / (a + 1 / (b + 1/c)) = 7/30, maka nilai dari a + b + c adalah ...</t>
  </si>
  <si>
    <t>Langkah 1: Balik pecahan 7/30 menjadi 30/7 = 4 + 2/7, sehingga diperoleh a = 4 dan sisa pecahan 1 / (b + 1/c) = 2/7. Langkah 2: Balik pecahan 2/7 menjadi 7/2 = 3 + 1/2, sehingga diperoleh b = 3 dan 1/c = 1/2 yang berarti c = 2. Langkah 3: Hitung penjumlahan nilai a + b + c = 4 + 3 + 2 = 9. Jadi, nilai a + b + c adalah 9.</t>
  </si>
  <si>
    <t>PK-02-S-35</t>
  </si>
  <si>
    <t>Sebuah bejana berisi campuran air dan alkohol dengan 25% dari total volume adalah alkohol. Jika ditambahkan 10 liter air murni ke dalam bejana, persentase alkohol berkurang menjadi 20% dari total campuran baru. Volume air murni pada campuran akhir adalah ...</t>
  </si>
  <si>
    <t>30 liter</t>
  </si>
  <si>
    <t>35 liter</t>
  </si>
  <si>
    <t>40 liter</t>
  </si>
  <si>
    <t>45 liter</t>
  </si>
  <si>
    <t>50 liter</t>
  </si>
  <si>
    <t>Langkah 1: Misalkan volume campuran awal = V. Volume alkohol awal = 0,25V = V/4 dan volume air awal = 0,75V. Langkah 2: Setelah ditambah 10 liter air, volume total baru = V + 10 dengan volume alkohol tetap V/4. Persamaan persentase alkohol baru: (V/4) / (V + 10) = 20% = 1/5. Langkah 3: Kalikan silang 5 × (V/4) = V + 10 → 5V/4 - V = 10 → V/4 = 10 → V = 40 liter. Langkah 4: Hitung volume air akhir = air awal + 10 liter = (0,75 × 40) + 10 = 30 + 10 = 40 liter.</t>
  </si>
  <si>
    <t>PK-02-S-36</t>
  </si>
  <si>
    <t>Jika 15 ÷ 2,5 = √m, maka nilai dari ((1/144) × m)^(-1) adalah ...</t>
  </si>
  <si>
    <t>Langkah 1: Ubah desimal 2,5 menjadi pecahan biasa 5/2, sehingga 15 ÷ (5/2) = 15 × (2/5) = 6. Langkah 2: Selesaikan persamaan √m = 6 dengan menguadratkan kedua ruas sehingga diperoleh m = 6² = 36. Langkah 3: Substitusikan m = 36 ke dalam ekspresi (1/144) × 36 = 36/144 = 1/4. Langkah 4: Hitung eksponen negatif (1/4)^(-1) = 4. Jadi, hasil akhirnya adalah 4.</t>
  </si>
  <si>
    <t>PK-02-S-37</t>
  </si>
  <si>
    <t>Sebuah toko menjual produk dengan diskon 10% dari harga label L. Meskipun memberikan diskon, toko tetap memperoleh keuntungan 35% dari harga beli H. Jika P = Rasio Harga Label terhadap Harga Beli (L/H) dan Q = 2, maka hubungan yang benar adalah ...</t>
  </si>
  <si>
    <t>Langkah 1: Nyatakan Harga Jual (HJ) dari sudut pandang diskon 10% dari harga label L, yaitu HJ = (100% - 10%) × L = 0,9L. Langkah 2: Nyatakan HJ dari sudut pandang keuntungan 35% dari harga beli H, yaitu HJ = (100% + 35%) × H = 1,35H. Langkah 3: Samakan kedua nilai HJ untuk mencari rasio P = L/H, yaitu 0,9L = 1,35H → L/H = 1,35 / 0,9 = 1,5. Maka nilai P = 1,5. Langkah 4: Bandingkan P = 1,5 dengan Q = 2, sehingga diperoleh P &lt; Q.</t>
  </si>
  <si>
    <t>PK-02-S-38</t>
  </si>
  <si>
    <t>Diketahui x = 0,333... dan y = 0,111... Nilai dari ((1/x) + (1/y)) ÷ (x + y) adalah ...</t>
  </si>
  <si>
    <t>Langkah 1: Ubah desimal berulang x = 0,333... menjadi pecahan biasa 1/3. Langkah 2: Ubah desimal berulang y = 0,111... menjadi pecahan biasa 1/9. Langkah 3: Hitung pembilang (1/x) + (1/y) = 3 + 9 = 12. Langkah 4: Hitung penyebut x + y = 1/3 + 1/9 = 3/9 + 1/9 = 4/9. Langkah 5: Bagikan pembilang dengan penyebut, yaitu 12 ÷ (4/9) = 12 × (9/4) = 3 × 9 = 27. Jadi, hasilnya adalah 27.</t>
  </si>
  <si>
    <t>PK-02-S-39</t>
  </si>
  <si>
    <t>Jika a, b, dan c adalah bilangan bulat positif yang memenuhi persamaan pecahan bertingkat 1 / (a + 1 / (b + 1/c)) = 8/25, maka nilai dari a + b + c adalah ...</t>
  </si>
  <si>
    <t>Langkah 1: Balik pecahan 8/25 menjadi 25/8 = 3 + 1/8, sehingga diperoleh a = 3 dan sisa pecahan 1 / (b + 1/c) = 1/8. Langkah 2: Balik pecahan 1/8 menjadi 8 = 7 + 1/1, sehingga diperoleh b = 7 dan 1/c = 1/1 yang berarti c = 1. Langkah 3: Hitung penjumlahan nilai a + b + c = 3 + 7 + 1 = 11. Jadi, nilai a + b + c adalah 11.</t>
  </si>
  <si>
    <t>PK-02-S-40</t>
  </si>
  <si>
    <t>Sebuah bejana berisi larutan garam dengan konsentrasi 30% garam murni dari total volume. Jika ditambahkan 10 liter air murni, konsentrasi garam berkurang menjadi 20% dari total larutan baru. Volume total larutan baru tersebut adalah ...</t>
  </si>
  <si>
    <t>20 liter</t>
  </si>
  <si>
    <t>25 liter</t>
  </si>
  <si>
    <t>Langkah 1: Misalkan volume larutan awal = V liter. Volume garam murni awal = 0,30V = 3V/10. Langkah 2: Setelah ditambah 10 liter air, volume total baru = V + 10 dengan volume garam tetap 3V/10. Persamaan konsentrasi garam baru: (3V/10) / (V + 10) = 20% = 1/5. Langkah 3: Kalikan silang 5 × (3V/10) = V + 10 → 15V/10 - V = 10 → 3V/2 - V = 10 → V/2 = 10 → V = 20 liter. Langkah 4: Hitung volume total larutan baru = V + 10 = 20 + 10 = 30 liter.</t>
  </si>
  <si>
    <t>PK-02-S-41</t>
  </si>
  <si>
    <t>Jika 20 ÷ 2,5 = √k, maka nilai dari ((1/256) × k)^(-1) adalah ...</t>
  </si>
  <si>
    <t>Langkah 1: Ubah desimal 2,5 menjadi pecahan biasa 5/2, sehingga 20 ÷ (5/2) = 20 × (2/5) = 8. Langkah 2: Selesaikan persamaan √k = 8 dengan menguadratkan kedua ruas sehingga diperoleh k = 8² = 64. Langkah 3: Substitusikan k = 64 ke dalam ekspresi (1/256) × 64 = 64/256 = 1/4. Langkah 4: Hitung eksponen negatif (1/4)^(-1) = 4. Jadi, hasil akhirnya adalah 4.</t>
  </si>
  <si>
    <t>PK-02-S-42</t>
  </si>
  <si>
    <t>Sebuah toko menjual baju dengan diskon 25% dari harga label L. Meskipun memberikan diskon, toko tetap memperoleh keuntungan 50% dari harga beli H. Jika P = Rasio Harga Label terhadap Harga Beli (L/H) dan Q = 2, maka hubungan yang benar adalah ...</t>
  </si>
  <si>
    <t>Langkah 1: Nyatakan Harga Jual (HJ) dari sudut pandang diskon 25% dari harga label L, yaitu HJ = (100% - 25%) × L = 0,75L. Langkah 2: Nyatakan HJ dari sudut pandang keuntungan 50% dari harga beli H, yaitu HJ = (100% + 50%) × H = 1,5H. Langkah 3: Samakan kedua nilai HJ untuk mencari rasio P = L/H, yaitu 0,75L = 1,5H → L/H = 1,5 / 0,75 = 2. Maka nilai P = 2. Langkah 4: Bandingkan P = 2 dengan Q = 2, sehingga diperoleh P = Q.</t>
  </si>
  <si>
    <t>PK-02-S-43</t>
  </si>
  <si>
    <t>Diketahui x = 0,666... dan y = 0,1666... Nilai dari ((1/y) - (1/x)) ÷ (x - y) adalah ...</t>
  </si>
  <si>
    <t>Langkah 1: Ubah desimal berulang x = 0,666... menjadi pecahan biasa 2/3. Langkah 2: Ubah desimal berulang y = 0,1666... menjadi pecahan biasa 1/6. Langkah 3: Hitung pembilang (1/y) - (1/x) = 6 - (3/2) = 9/2. Langkah 4: Hitung penyebut x - y = 2/3 - 1/6 = 4/6 - 1/6 = 3/6 = 1/2. Langkah 5: Bagikan pembilang dengan penyebut, yaitu (9/2) ÷ (1/2) = (9/2) × 2 = 9. Jadi, hasilnya adalah 9.</t>
  </si>
  <si>
    <t>PK-02-S-44</t>
  </si>
  <si>
    <t>Jika a, b, dan c adalah bilangan bulat positif yang memenuhi persamaan pecahan bertingkat 1 / (a + 1 / (b + 1/c)) = 9/29, maka nilai dari a + b + c adalah ...</t>
  </si>
  <si>
    <t>Langkah 1: Balik pecahan 9/29 menjadi 29/9 = 3 + 2/9, sehingga diperoleh a = 3 dan sisa pecahan 1 / (b + 1/c) = 2/9. Langkah 2: Balik pecahan 2/9 menjadi 9/2 = 4 + 1/2, sehingga diperoleh b = 4 dan 1/c = 1/2 yang berarti c = 2. Langkah 3: Hitung penjumlahan nilai a + b + c = 3 + 4 + 2 = 9. Jadi, nilai a + b + c adalah 9.</t>
  </si>
  <si>
    <t>PK-02-S-45</t>
  </si>
  <si>
    <t>Sebuah bejana berisi larutan gula dengan konsentrasi 40% gula murni dari total volume. Jika ditambahkan 6 liter air murni, konsentrasi gula berkurang menjadi 25% dari total larutan baru. Volume air murni pada campuran akhir adalah ...</t>
  </si>
  <si>
    <t>8 liter</t>
  </si>
  <si>
    <t>10 liter</t>
  </si>
  <si>
    <t>12 liter</t>
  </si>
  <si>
    <t>14 liter</t>
  </si>
  <si>
    <t>16 liter</t>
  </si>
  <si>
    <t>Langkah 1: Misalkan volume larutan awal = V liter. Volume gula murni awal = 0,40V = 2V/5 dan volume air awal = 0,60V = 3V/5. Langkah 2: Setelah ditambah 6 liter air, volume total baru = V + 6 dengan volume gula tetap 2V/5. Persamaan konsentrasi gula baru: (2V/5) / (V + 6) = 25% = 1/4. Langkah 3: Kalikan silang 4 × (2V/5) = V + 6 → 8V/5 - V = 6 → 3V/5 = 6 → V = 10 liter. Langkah 4: Hitung volume air akhir = air awal + 6 liter = (0,60 × 10) + 6 = 6 + 6 = 12 liter.</t>
  </si>
  <si>
    <t>PK — Materi 03: Perbandingan &amp; Rasio  |  Target: 45 Soal (15 Ringan · 15 Sedang · 15 Sulit)</t>
  </si>
  <si>
    <t>TOTAL Materi 02 — Bilangan Pecahan &amp; Desimal</t>
  </si>
  <si>
    <t>Komponen: Bilangan  |  Konsep perbandingan senilai, berbalik nilai, dan rasio dalam soal kontekstual.</t>
  </si>
  <si>
    <t>PK — Materi 04: Aritmetika Sosial  |  Target: 45 Soal (15 Ringan · 15 Sedang · 15 Sulit)</t>
  </si>
  <si>
    <t>PK-03-R-01</t>
  </si>
  <si>
    <t>Perbandingan antara banyak siswa laki-laki dan siswa perempuan di suatu kelas adalah 3 : 5. Jika jumlah seluruh siswa di kelas tersebut adalah 40 orang, maka banyak siswa perempuan adalah ...</t>
  </si>
  <si>
    <t>15 orang</t>
  </si>
  <si>
    <t>20 orang</t>
  </si>
  <si>
    <t>25 orang</t>
  </si>
  <si>
    <t>30 orang</t>
  </si>
  <si>
    <t>35 orang</t>
  </si>
  <si>
    <t>Rasio perempuan terhadap total siswa = 5 / (3 + 5) = 5/8. Banyak siswa perempuan = (5/8) × 40 = 25 orang.</t>
  </si>
  <si>
    <t>PK-03-R-02</t>
  </si>
  <si>
    <t>Sebuah mobil memerlukan 6 liter bensin untuk menempuh jarak 72 km. Banyak bensin yang diperlukan untuk menempuh jarak 108 km dengan kecepatan yang sama adalah ...</t>
  </si>
  <si>
    <t>9 liter</t>
  </si>
  <si>
    <t>15 liter</t>
  </si>
  <si>
    <t>Komponen: Bilangan  |  Aplikasi matematika dalam konteks jual-beli, diskon, bunga, dan untung-rugi.</t>
  </si>
  <si>
    <t>Menggunakan perbandingan senilai: bensin / 6 = 108 / 72. bensin = (108 / 72) × 6 = 1,5 × 6 = 9 liter.</t>
  </si>
  <si>
    <t>PK-03-R-03</t>
  </si>
  <si>
    <t>Suatu pekerjaan dapat diselesaikan oleh 12 orang pekerja dalam waktu 20 hari. Jika pekerjaan tersebut ingin diselesaikan dalam waktu 15 hari, banyak pekerja yang dibutuhkan adalah ...</t>
  </si>
  <si>
    <t>14 orang</t>
  </si>
  <si>
    <t>16 orang</t>
  </si>
  <si>
    <t>18 orang</t>
  </si>
  <si>
    <t>Menggunakan perbandingan berbalik nilai: pekerja × 15 = 12 × 20. pekerja = 240 / 15 = 16 orang.</t>
  </si>
  <si>
    <t>PK-03-R-04</t>
  </si>
  <si>
    <t>Rasio uang Andi dan Budi adalah 4 : 7. Jika selisih uang mereka berdua adalah Rp15.000,00, maka besar uang Andi adalah ...</t>
  </si>
  <si>
    <t>Rp20.000,00</t>
  </si>
  <si>
    <t>Rp35.000,00</t>
  </si>
  <si>
    <t>Rp40.000,00</t>
  </si>
  <si>
    <t>Rp55.000,00</t>
  </si>
  <si>
    <t>Rp70.000,00</t>
  </si>
  <si>
    <t>Selisih nilai rasio = 7 - 4 = 3. Uang Andi = (4 / 3) × Rp15.000,00 = Rp20.000,00.</t>
  </si>
  <si>
    <t>PK-03-R-05</t>
  </si>
  <si>
    <t>Skala pada sebuah peta adalah 1 : 500.000. Jika jarak dua kota pada peta adalah 4 cm, maka jarak sebenarnya kedua kota tersebut adalah ...</t>
  </si>
  <si>
    <t>2 km</t>
  </si>
  <si>
    <t>10 km</t>
  </si>
  <si>
    <t>20 km</t>
  </si>
  <si>
    <t>200 km</t>
  </si>
  <si>
    <t>2.000 km</t>
  </si>
  <si>
    <t>Jarak sebenarnya = Jarak pada peta / Skala = 4 cm × 500.000 = 2.000.000 cm = 20 km.</t>
  </si>
  <si>
    <t>PK-03-R-06</t>
  </si>
  <si>
    <t>Jika rasio A : B = 2 : 3 dan rasio B : C = 4 : 5, maka nilai perbandingan A : C adalah ...</t>
  </si>
  <si>
    <t>8 : 15</t>
  </si>
  <si>
    <t>2 : 5</t>
  </si>
  <si>
    <t>3 : 4</t>
  </si>
  <si>
    <t>6 : 15</t>
  </si>
  <si>
    <t>8 : 10</t>
  </si>
  <si>
    <t>Mengalikan rasio A/B dengan B/C: (A/B) × (B/C) = (2/3) × (4/5) = 8/15. Jadi perbandingan A : C = 8 : 15.</t>
  </si>
  <si>
    <t>PK-03-R-07</t>
  </si>
  <si>
    <t>Sebuah bahan kain sepanjang 15 meter memiliki harga Rp225.000,00. Harga untuk 6 meter kain yang sama adalah ...</t>
  </si>
  <si>
    <t>Rp75.000,00</t>
  </si>
  <si>
    <t>Rp90.000,00</t>
  </si>
  <si>
    <t>Rp105.000,00</t>
  </si>
  <si>
    <t>Rp120.000,00</t>
  </si>
  <si>
    <t>Rp135.000,00</t>
  </si>
  <si>
    <t>Menggunakan perbandingan senilai: harga / 6 = 225.000 / 15. harga = 15.000 × 6 = Rp90.000,00.</t>
  </si>
  <si>
    <t>PK-03-R-08</t>
  </si>
  <si>
    <t>Suatu peternakan memiliki persediaan makanan yang cukup untuk 50 ekor sapi selama 18 hari. Jika sapi bertambah 10 ekor, persediaan makanan tersebut akan habis dalam waktu ...</t>
  </si>
  <si>
    <t>12 hari</t>
  </si>
  <si>
    <t>15 hari</t>
  </si>
  <si>
    <t>16 hari</t>
  </si>
  <si>
    <t>20 hari</t>
  </si>
  <si>
    <t>22 hari</t>
  </si>
  <si>
    <t>PK-04-R-01</t>
  </si>
  <si>
    <t>Jumlah sapi menjadi 50 + 10 = 60 ekor. Menggunakan perbandingan berbalik nilai: 60 × hari = 50 × 18. hari = 900 / 60 = 15 hari.</t>
  </si>
  <si>
    <t>PK-03-R-09</t>
  </si>
  <si>
    <t>Rasio panjang dan lebar suatu persegi panjang adalah 5 : 3. Jika keliling persegi panjang tersebut adalah 48 cm, maka lebar persegi panjang tersebut adalah ...</t>
  </si>
  <si>
    <t>6 cm</t>
  </si>
  <si>
    <t>9 cm</t>
  </si>
  <si>
    <t>12 cm</t>
  </si>
  <si>
    <t>15 cm</t>
  </si>
  <si>
    <t>18 cm</t>
  </si>
  <si>
    <t>Keliling = 2 × (panjang + lebar) = 48 cm, sehingga (panjang + lebar) = 24 cm. Lebar = (3 / (5 + 3)) × 24 = (3/8) × 24 = 9 cm.</t>
  </si>
  <si>
    <t>PK-03-R-10</t>
  </si>
  <si>
    <t>Pernyataan berikut yang menunjukkan hubungan perbandingan senilai adalah ...</t>
  </si>
  <si>
    <t>Banyak pekerja dan waktu penyelesaian pekerjaan</t>
  </si>
  <si>
    <t>Kecepatan kendaraan dan waktu tempuh perjalanan</t>
  </si>
  <si>
    <t>Banyak barang yang dibeli dan total harga pembayaran</t>
  </si>
  <si>
    <t>Sebuah produk sepatu memiliki harga label Rp350.000,00. Jika toko memberikan diskon sebesar 20%, maka harga yang harus dibayar pembeli adalah ...</t>
  </si>
  <si>
    <t>Banyak hewan ternak dan waktu habisnya persediaan makanan</t>
  </si>
  <si>
    <t>Banyak pompa air dan waktu untuk mengosongkan kolam</t>
  </si>
  <si>
    <t>Opsi C BENAR karena semakin banyak barang yang dibeli, total harga pembayaran akan semakin besar secara proporsional (perbandingan senilai). Opsi A, B, D, dan E SALAH karena merupakan contoh perbandingan berbalik nilai, di mana kenaikan satu variabel menyebabkan variabel lain menurun.</t>
  </si>
  <si>
    <t>PK-03-R-11</t>
  </si>
  <si>
    <t>Rp270.000,00</t>
  </si>
  <si>
    <t>Rp280.000,00</t>
  </si>
  <si>
    <t>Dalam suatu kantong terdapat kelereng merah dan kelereng biru dengan rasio 7 : 4. Jika banyak kelereng merah adalah 35 butir, maka banyak kelereng biru adalah ...</t>
  </si>
  <si>
    <t>12 butir</t>
  </si>
  <si>
    <t>Rp300.000,00</t>
  </si>
  <si>
    <t>16 butir</t>
  </si>
  <si>
    <t>20 butir</t>
  </si>
  <si>
    <t>24 butir</t>
  </si>
  <si>
    <t>Rp330.000,00</t>
  </si>
  <si>
    <t>28 butir</t>
  </si>
  <si>
    <t>Kelereng biru = (4 / 7) × banyak kelereng merah = (4 / 7) × 35 = 20 butir.</t>
  </si>
  <si>
    <t>PK-03-R-12</t>
  </si>
  <si>
    <t>Sebuah mesin cetak dapat mencetak 300 lembar dokumen dalam waktu 5 menit. Banyak dokumen yang dapat dicetak mesin tersebut dalam waktu 12 menit adalah ...</t>
  </si>
  <si>
    <t>600 lembar</t>
  </si>
  <si>
    <t>720 lembar</t>
  </si>
  <si>
    <t>Hitung persentase sisa harga yang dibayar yaitu 100% - 20% = 80% = 0,8. Kalikan dengan harga label awal: 0,8 × Rp350.000,00 = Rp280.000,00.</t>
  </si>
  <si>
    <t>750 lembar</t>
  </si>
  <si>
    <t>800 lembar</t>
  </si>
  <si>
    <t>900 lembar</t>
  </si>
  <si>
    <t>Menggunakan perbandingan senilai: dokumen / 12 = 300 / 5. dokumen = 60 × 12 = 720 lembar.</t>
  </si>
  <si>
    <t>PK-03-R-13</t>
  </si>
  <si>
    <t>Diketahui perbandingan umur Ayah dan Ibu adalah 9 : 8. Jika umur Ibu saat ini adalah 40 tahun, maka jumlah umur Ayah dan Ibu adalah ...</t>
  </si>
  <si>
    <t>75 tahun</t>
  </si>
  <si>
    <t>80 tahun</t>
  </si>
  <si>
    <t>85 tahun</t>
  </si>
  <si>
    <t>90 tahun</t>
  </si>
  <si>
    <t>PK-04-R-02</t>
  </si>
  <si>
    <t>95 tahun</t>
  </si>
  <si>
    <t>Jumlah umur = ((9 + 8) / 8) × umur Ibu = (17 / 8) × 40 = 17 × 5 = 85 tahun.</t>
  </si>
  <si>
    <t>PK-03-R-14</t>
  </si>
  <si>
    <t>Dua buah persegi masing-masing memiliki panjang sisi 4 cm dan 6 cm. Perbandingan luas kedua persegi tersebut adalah ...</t>
  </si>
  <si>
    <t>2 : 3</t>
  </si>
  <si>
    <t>4 : 9</t>
  </si>
  <si>
    <t>8 : 12</t>
  </si>
  <si>
    <t>16 : 81</t>
  </si>
  <si>
    <t>Perbandingan luas persegi = (sisi1)^2 : (sisi2)^2 = 4^2 : 6^2 = 16 : 36 = 4 : 9.</t>
  </si>
  <si>
    <t>PK-03-R-15</t>
  </si>
  <si>
    <t>Budi membeli baju seharga Rp200.000,00 dan mendapatkan keuntungan jika menjualnya kembali dengan menambahkan 25% dari harga beli. Berapakah keuntungan Budi?</t>
  </si>
  <si>
    <t>Seorang pembuat kue membutuhkan 250 gram gula untuk membuat 10 buah kue. Jika ia ingin membuat 35 buah kue dengan resep yang sama, banyak gula yang dibutuhkan adalah ...</t>
  </si>
  <si>
    <t>Rp25.000,00</t>
  </si>
  <si>
    <t>625 gram</t>
  </si>
  <si>
    <t>750 gram</t>
  </si>
  <si>
    <t>875 gram</t>
  </si>
  <si>
    <t>1.000 gram</t>
  </si>
  <si>
    <t>Rp50.000,00</t>
  </si>
  <si>
    <t>1.250 gram</t>
  </si>
  <si>
    <t>Rp60.000,00</t>
  </si>
  <si>
    <t>Menggunakan perbandingan senilai: gula / 35 = 250 / 10. gula = 25 × 35 = 875 gram.</t>
  </si>
  <si>
    <t>Rp250.000,00</t>
  </si>
  <si>
    <t>Keuntungan dihitung dari persentase untung dikalikan dengan harga beli: 25% × Rp200.000,00 = (25/100) × Rp200.000,00 = Rp50.000,00.</t>
  </si>
  <si>
    <t>PK-04-R-03</t>
  </si>
  <si>
    <t>PK-03-S-16</t>
  </si>
  <si>
    <t>Sebuah toko menawarkan diskon bertingkat 20% + 10% untuk suatu barang. Persentase total diskon efektif yang diberikan toko tersebut adalah ...</t>
  </si>
  <si>
    <t>Perbandingan uang Amir dan Budi adalah 2 : 3, sedangkan perbandingan uang Budi dan Cici adalah 4 : 5. Jika jumlah uang mereka bertiga adalah Rp70.000,00, selisih uang Amir dan Cici adalah ...</t>
  </si>
  <si>
    <t>Rp14.000,00</t>
  </si>
  <si>
    <t>Rp18.000,00</t>
  </si>
  <si>
    <t>Rp22.000,00</t>
  </si>
  <si>
    <t>Rp28.000,00</t>
  </si>
  <si>
    <t>Samakan perbandingan bertingkat A : B = 2 : 3 (dikali 4 menjadi 8 : 12) dan B : C = 4 : 5 (dikali 3 menjadi 12 : 15), sehingga A : B : C = 8 : 12 : 15. Jumlah rasio = 8 + 12 + 15 = 35. Selisih rasio Amir dan Cici = 15 - 8 = 7. Selisih uang = (7 / 35) × Rp70.000,00 = Rp14.000,00.</t>
  </si>
  <si>
    <t>PK-03-S-17</t>
  </si>
  <si>
    <t>Sebuah proyek renovasi dijadwalkan selesai dalam 24 hari oleh 15 pekerja. Setelah dikerjakan selama 8 hari, pekerjaan terhenti selama 4 hari. Banyak pekerja tambahan yang dibutuhkan agar proyek selesai tepat waktu adalah ...</t>
  </si>
  <si>
    <t>3 orang</t>
  </si>
  <si>
    <t>Persentase diskon bertingkat tidak dapat dijumlahkan secara langsung karena diskon kedua memotong sisa harga dari diskon pertama. Sisa persentase harga setelah diskon pertama (20%) dan kedua (10%) adalah (100% - 20%) × (100% - 10%) = 80% × 90% = 72%. Total diskon efektif adalah 100% - 72% = 28%, sehingga opsi B benar. Opsi A salah karena menjumlahkan 20% + 10% secara langsung. Opsi C, D, dan E salah karena nilai persentase diskonnya tidak sesuai hasil perhitungan persentase sisa harga.</t>
  </si>
  <si>
    <t>5 orang</t>
  </si>
  <si>
    <t>6 orang</t>
  </si>
  <si>
    <t>8 orang</t>
  </si>
  <si>
    <t>10 orang</t>
  </si>
  <si>
    <t>PK-04-R-04</t>
  </si>
  <si>
    <t>Sisa beban kerja normal = (24 - 8) hari × 15 pekerja = 16 × 15 = 240 orang-hari. Sisa waktu nyata yang tersedia = 16 - 4 = 12 hari. Kebutuhan total pekerja baru = 240 / 12 = 20 orang. Pekerja tambahan yang dibutuhkan = 20 - 15 = 5 orang.</t>
  </si>
  <si>
    <t>Suatu barang memiliki bruto 50 kg dan tara 2%. Berat neto barang tersebut adalah ...</t>
  </si>
  <si>
    <t>PK-03-S-18</t>
  </si>
  <si>
    <t>1 kg</t>
  </si>
  <si>
    <t>48 kg</t>
  </si>
  <si>
    <t>49 kg</t>
  </si>
  <si>
    <t>49,5 kg</t>
  </si>
  <si>
    <t>51 kg</t>
  </si>
  <si>
    <t>Rasio keliling dua buah lingkaran adalah 3 : 5. Perbandingan luas kedua lingkaran tersebut adalah ...</t>
  </si>
  <si>
    <t>3 : 5</t>
  </si>
  <si>
    <t>6 : 10</t>
  </si>
  <si>
    <t>Hitung besar tara dalam kg: 2% × 50 kg = 1 kg. Hitung berat neto dengan mengurangkan bruto dan tara: Neto = Bruto - Tara = 50 kg - 1 kg = 49 kg.</t>
  </si>
  <si>
    <t>9 : 25</t>
  </si>
  <si>
    <t>12 : 20</t>
  </si>
  <si>
    <t>27 : 125</t>
  </si>
  <si>
    <t>PK-04-R-05</t>
  </si>
  <si>
    <t>Rasio keliling lingkaran berbanding lurus dengan rasio jari-jarinya, sehingga r1 : r2 = 3 : 5. Perbandingan luas kedua lingkaran adalah (r1)² : (r2)² = 3² : 5² = 9 : 25.</t>
  </si>
  <si>
    <t>PK — Materi 05: Aljabar &amp; Persamaan Linear  |  Target: 45 Soal (15 Ringan · 15 Sedang · 15 Sulit)</t>
  </si>
  <si>
    <t>PK-03-S-19</t>
  </si>
  <si>
    <t>Andi menyimpan uang di bank sebesar Rp4.000.000,00 dengan suku bunga tunggal 6% per tahun. Besar bunga yang diperoleh Andi setelah 1 tahun adalah ...</t>
  </si>
  <si>
    <t>Rp24.000,00</t>
  </si>
  <si>
    <t>Suatu pekerjaan jika dikerjakan oleh Anton selesai dalam 12 hari, sedangkan jika dikerjakan oleh Budi selesai dalam 6 hari. Jika Anton dan Budi bekerja sama, pekerjaan tersebut dapat selesai dalam waktu ...</t>
  </si>
  <si>
    <t>3 hari</t>
  </si>
  <si>
    <t>4 hari</t>
  </si>
  <si>
    <t>Rp240.000,00</t>
  </si>
  <si>
    <t>5 hari</t>
  </si>
  <si>
    <t>Rp400.000,00</t>
  </si>
  <si>
    <t>8 hari</t>
  </si>
  <si>
    <t>9 hari</t>
  </si>
  <si>
    <t>Rp480.000,00</t>
  </si>
  <si>
    <t>Kecepatan Anton = 1/12 bagian/hari dan Budi = 1/6 bagian/hari. Kecepatan gabungan = 1/12 + 1/6 = 1/12 + 2/12 = 3/12 = 1/4 bagian/hari. Waktu total bekerja sama = 1 / (1/4) = 4 hari.</t>
  </si>
  <si>
    <t>Hitung nominal bunga tunggal untuk 1 tahun: Bunga = 6% × Rp4.000.000,00 = (6/100) × Rp4.000.000,00 = Rp240.000,00.</t>
  </si>
  <si>
    <t>PK-03-S-20</t>
  </si>
  <si>
    <t>Diketahui 4 mesin pencetak baju dapat memproduksi 240 kaos dalam waktu 3 jam. Banyak kaos yang dapat diproduksi oleh 6 mesin serupa dalam waktu 5 jam adalah ...</t>
  </si>
  <si>
    <t>400 kaos</t>
  </si>
  <si>
    <t>480 kaos</t>
  </si>
  <si>
    <t>PK-04-R-06</t>
  </si>
  <si>
    <t>600 kaos</t>
  </si>
  <si>
    <t>720 kaos</t>
  </si>
  <si>
    <t>800 kaos</t>
  </si>
  <si>
    <t>Kapasitas 1 mesin dalam 1 jam = 240 / (4 × 3) = 240 / 12 = 20 kaos/jam. Produksi 6 mesin selama 5 jam = 6 × 5 × 20 = 600 kaos.</t>
  </si>
  <si>
    <t>Pak Roni membeli sebuah sepeda motor seharga Rp10.000.000,00 dan membelinya dengan PPN sebesar 11%. Harga total yang harus dibayar Pak Roni adalah ...</t>
  </si>
  <si>
    <t>Rp1.100.000,00</t>
  </si>
  <si>
    <t>PK-03-S-21</t>
  </si>
  <si>
    <t>Rp8.900.000,00</t>
  </si>
  <si>
    <t>Rp10.110.000,00</t>
  </si>
  <si>
    <t>Sebuah bus berangkat dari kota P ke kota Q dengan kecepatan 60 km/jam dan membutuhkan waktu 4 jam. Jika bus tersebut ingin tiba 1 jam lebih cepat, kecepatannya harus ditingkatkan sebesar ...</t>
  </si>
  <si>
    <t>Rp11.100.000,00</t>
  </si>
  <si>
    <t>15 km/jam</t>
  </si>
  <si>
    <t>20 km/jam</t>
  </si>
  <si>
    <t>Rp12.100.000,00</t>
  </si>
  <si>
    <t>25 km/jam</t>
  </si>
  <si>
    <t>75 km/jam</t>
  </si>
  <si>
    <t>80 km/jam</t>
  </si>
  <si>
    <t>Hitung besar Pajak Pertambahan Nilai (PPN): 11% × Rp10.000.000,00 = Rp1.100.000,00. Hitung total harga bayar: Rp10.000.000,00 + Rp1.100.000,00 = Rp11.100.000,00.</t>
  </si>
  <si>
    <t>Jarak total = 60 × 4 = 240 km. Waktu baru = 4 - 1 = 3 jam. Kecepatan baru yang dibutuhkan = 240 / 3 = 80 km/jam. Peningkatan kecepatan = 80 - 60 = 20 km/jam.</t>
  </si>
  <si>
    <t>PK-03-S-22</t>
  </si>
  <si>
    <t>PK-04-R-07</t>
  </si>
  <si>
    <t>Komponen: Aljabar  |  Menyusun dan menyelesaikan persamaan linear satu variabel dan dua variabel.</t>
  </si>
  <si>
    <t>Rasio jumlah kelereng Dika dan Evan adalah 3 : 5. Jika Dika memberikan 6 kelerengnya kepada Evan, perbandingan kelereng Dika dan Evan menjadi 1 : 3. Jumlah kelereng Dika dan Evan seluruhnya adalah ...</t>
  </si>
  <si>
    <t>32 butir</t>
  </si>
  <si>
    <t>Sebuah barang dijual dengan harga Rp120.000,00 setelah mengalami kerugian sebesar 20% dari harga beli. Berapakah harga beli barang tersebut?</t>
  </si>
  <si>
    <t>48 butir</t>
  </si>
  <si>
    <t>64 butir</t>
  </si>
  <si>
    <t>Rp96.000,00</t>
  </si>
  <si>
    <t>80 butir</t>
  </si>
  <si>
    <t>Rp100.000,00</t>
  </si>
  <si>
    <t>Rp144.000,00</t>
  </si>
  <si>
    <t>Misalkan kelereng Dika = 3x dan Evan = 5x. Persamaan: (3x - 6) / (5x + 6) = 1/3. Perkalian silang: 3(3x - 6) = 1(5x + 6) → 9x - 18 = 5x + 6 → 4x = 24 → x = 6. Jumlah kelereng seluruhnya = 3x + 5x = 8x = 8(6) = 48 butir.</t>
  </si>
  <si>
    <t>Rp150.000,00</t>
  </si>
  <si>
    <t>Rp160.000,00</t>
  </si>
  <si>
    <t>PK-03-S-23</t>
  </si>
  <si>
    <t>Persentase harga jual saat rugi 20% adalah 100% - 20% = 80% dari harga beli. Hitung harga beli (HB): HB = Rp120.000,00 / 0,8 = Rp150.000,00.</t>
  </si>
  <si>
    <t>Suatu denah rumah memiliki luas 150 cm². Jika skala denah tersebut adalah 1 : 200, maka luas rumah sebenarnya adalah ...</t>
  </si>
  <si>
    <t>30 m²</t>
  </si>
  <si>
    <t>60 m²</t>
  </si>
  <si>
    <t>300 m²</t>
  </si>
  <si>
    <t>600 m²</t>
  </si>
  <si>
    <t>PK-04-R-08</t>
  </si>
  <si>
    <t>3.000 m²</t>
  </si>
  <si>
    <t>Skala luas = (skala panjang)² = 1 : 200² = 1 : 40.000. Luas sebenarnya = 150 cm² × 40.000 = 6.000.000 cm² = 600 m².</t>
  </si>
  <si>
    <t>Dalam transaksi jual beli, keuntungan terjadi apabila ...</t>
  </si>
  <si>
    <t>PK-03-S-24</t>
  </si>
  <si>
    <t>Harga jual lebih tinggi daripada harga beli</t>
  </si>
  <si>
    <t>Harga beli lebih tinggi daripada harga jual</t>
  </si>
  <si>
    <t>Sebuah peternakan memiliki persediaan makanan untuk 40 ekor kambing selama 15 hari. Setelah 3 hari, peternak membeli lagi 8 ekor kambing. Persediaan makanan tersebut akan habis dalam sisa waktu ...</t>
  </si>
  <si>
    <t>Harga jual sama dengan harga beli</t>
  </si>
  <si>
    <t>10 hari</t>
  </si>
  <si>
    <t>Harga label lebih rendah daripada diskon</t>
  </si>
  <si>
    <t>13 hari</t>
  </si>
  <si>
    <t>14 hari</t>
  </si>
  <si>
    <t>Harga kotor sama dengan neto</t>
  </si>
  <si>
    <t>Sisa waktu persediaan untuk 40 kambing = 15 - 3 = 12 hari. Total kambing menjadi = 40 + 8 = 48 ekor. Menggunakan perbandingan berbalik nilai: 48 × sisa hari = 40 × 12 → 48 × sisa hari = 480 → sisa hari = 10 hari.</t>
  </si>
  <si>
    <t>Secara konsep dasar aritmetika sosial, keuntungan (untung) diperoleh jika harga jual lebih besar/tinggi daripada harga beli (modal), sehingga opsi A benar. Opsi B merupakan kondisi kerugian (rugi). Opsi C merupakan kondisi impas (tidak untung dan tidak rugi). Opsi D dan E tidak mendefinisikan syarat terjadinya keuntungan transaksi.</t>
  </si>
  <si>
    <t>PK-03-S-25</t>
  </si>
  <si>
    <t>Perbandingan panjang, lebar, dan tinggi sebuah balok adalah 4 : 3 : 2. Jika volume balok tersebut adalah 192 cm³, maka luas permukaan balok tersebut adalah ...</t>
  </si>
  <si>
    <t>PK-04-R-09</t>
  </si>
  <si>
    <t>104 cm²</t>
  </si>
  <si>
    <t>208 cm²</t>
  </si>
  <si>
    <t>312 cm²</t>
  </si>
  <si>
    <t>416 cm²</t>
  </si>
  <si>
    <t>832 cm²</t>
  </si>
  <si>
    <t>Seseorang menabung modal sebesar M dengan suku bunga tunggal p% per tahun. Pernyataan yang BENAR mengenai perhitungan bunga tunggal adalah ...</t>
  </si>
  <si>
    <t>Misalkan panjang = 4x, lebar = 3x, dan tinggi = 2x. Volume = 4x × 3x × 2x = 24x³ = 192 → x³ = 8 → x = 2. Ukuran balok: p = 8 cm, l = 6 cm, t = 4 cm. Luas permukaan = 2(pl + pt + lt) = 2(8×6 + 8×4 + 6×4) = 2(48 + 32 + 24) = 2(104) = 208 cm².</t>
  </si>
  <si>
    <t>Bunga dihitung bertingkat dari total saldo setiap bulan</t>
  </si>
  <si>
    <t>Bunga dihitung konstan dari modal awal M</t>
  </si>
  <si>
    <t>PK-03-S-26</t>
  </si>
  <si>
    <t>Bunga dihitung khusus dari nilai transaksi jual</t>
  </si>
  <si>
    <t>Bunga selalu mengurangi jumlah modal awal M</t>
  </si>
  <si>
    <t>Jika perbandingan variabel P dan Q berbalik nilai, dan nilai P bertambah sebesar 25%, maka persentase perubahan nilai Q adalah ...</t>
  </si>
  <si>
    <t>Bunga dihitung dari persentase tara barang</t>
  </si>
  <si>
    <t>Berkurang 20%</t>
  </si>
  <si>
    <t>Berkurang 25%</t>
  </si>
  <si>
    <t>Bertambah 20%</t>
  </si>
  <si>
    <t>Bertambah 25%</t>
  </si>
  <si>
    <t>Berkurang 50%</t>
  </si>
  <si>
    <t>Karena P dan Q berbalik nilai, berlaku P × Q = k (konstan). Nilai P baru = P + 25%P = 1,25P = (5/4)P. Nilai Q baru = k / ((5/4)P) = (4/5)Q = 0,80Q. Persentase perubahan Q = (0,80Q - Q) / Q × 100% = -20% (berkurang 20%).</t>
  </si>
  <si>
    <t>PK-03-S-27</t>
  </si>
  <si>
    <t>Campuran minuman terbuat dari sirup dan air dengan rasio 2 : 5. Jika ke dalam 21 liter campuran tersebut ditambahkan lagi 3 liter sirup murni, rasio sirup dan air yang baru adalah ...</t>
  </si>
  <si>
    <t>4 : 5</t>
  </si>
  <si>
    <t>1 : 2</t>
  </si>
  <si>
    <t>5 : 6</t>
  </si>
  <si>
    <t>Volume awal campuran = 21 liter. Volume sirup awal = (2 / 7) × 21 = 6 liter, dan volume air = 21 - 6 = 15 liter. Setelah ditambah 3 liter sirup: volume sirup baru = 6 + 3 = 9 liter, sedangkan volume air tetap = 15 liter. Rasio sirup dan air yang baru = 9 : 15 = 3 : 5.</t>
  </si>
  <si>
    <t>PK-03-S-28</t>
  </si>
  <si>
    <t>Dalam suatu pesta, rasio pria dan wanita adalah 3 : 2. Jika 10 orang pria meninggalkan pesta dan 5 orang wanita bergabung, perbandingan pria dan wanita menjadi 1 : 1. Jumlah orang dalam pesta semula adalah ...</t>
  </si>
  <si>
    <t>40 orang</t>
  </si>
  <si>
    <t>50 orang</t>
  </si>
  <si>
    <t>60 orang</t>
  </si>
  <si>
    <t>75 orang</t>
  </si>
  <si>
    <t>90 orang</t>
  </si>
  <si>
    <t>Misalkan banyak pria semula = 3x dan wanita = 2x. Persamaan: (3x - 10) / (2x + 5) = 1/1. Perkalian silang: 3x - 10 = 2x + 5 → x = 15. Banyak pria semula = 3(15) = 45 dan wanita = 2(15) = 30. Jumlah orang dalam pesta semula = 45 + 30 = 75 orang.</t>
  </si>
  <si>
    <t>PK-03-S-29</t>
  </si>
  <si>
    <t>Manakah di antara hubungan berikut yang tergolong sebagai perbandingan berbalik nilai?</t>
  </si>
  <si>
    <t>Jumlah tabungan per bulan terhadap total tabungan setelah 1 tahun</t>
  </si>
  <si>
    <t>Kecepatan mengetik terhadap jumlah kata yang dihasilkan dalam 10 menit</t>
  </si>
  <si>
    <t>Banyak selang air homogen terhadap waktu pengisian tangki hingga penuh</t>
  </si>
  <si>
    <t>Banyak tepung terigu terhadap banyak roti yang dihasilkan</t>
  </si>
  <si>
    <t>Skala denah terhadap ukuran panjang ruangan pada denah</t>
  </si>
  <si>
    <t>Opsi C BENAR karena penambahan jumlah selang air homogen akan mempercepat atau mengurangi waktu yang dibutuhkan untuk mengisi tangki hingga penuh (satu variabel naik, variabel lain turun secara proporsional), yang merupakan definisi perbandingan berbalik nilai. Opsi A, B, D, dan E SALAH karena semuanya merupakan perbandingan senilai di mana kenaikan satu variabel akan diikuti kenaikan variabel lainnya secara searah.</t>
  </si>
  <si>
    <t>PK-03-S-30</t>
  </si>
  <si>
    <t>Suku bunga tunggal merupakan imbalan jasa simpanan atau pinjaman yang selalu dihitung secara konstan berbasis modal awal M saja, sehingga opsi B benar. Opsi A salah karena perhitungan bertingkat merupakan prinsip bunga majemuk. Opsi C, D, dan E salah karena tidak sesuai dengan karakteristik dasar bunga tunggal.</t>
  </si>
  <si>
    <t>Suatu pompa A dapat mengosongkan kolam dalam 8 jam, sedangkan pompa B dalam 12 jam. Jika kedua pompa digunakan bersama-sama selama 3 jam, bagian kolam yang telah dikosongkan adalah ...</t>
  </si>
  <si>
    <t>3/8 bagian</t>
  </si>
  <si>
    <t>1/2 bagian</t>
  </si>
  <si>
    <t>5/8 bagian</t>
  </si>
  <si>
    <t>3/4 bagian</t>
  </si>
  <si>
    <t>7/8 bagian</t>
  </si>
  <si>
    <t>Laju pompa A = 1/8 bagian/jam dan pompa B = 1/12 bagian/jam. Laju gabungan = 1/8 + 1/12 = 3/24 + 2/24 = 5/24 bagian/jam. Dalam waktu 3 jam, bagian kolam yang berhasil dikosongkan = 3 × (5/24) = 15/24 = 5/8 bagian.</t>
  </si>
  <si>
    <t>PK-04-R-10</t>
  </si>
  <si>
    <t>Sebuah toko memberikan diskon 15% untuk celana seharga Rp180.000,00. Potongan harga (diskon) yang didapatkan pembeli adalah ...</t>
  </si>
  <si>
    <t>Rp27.000,00</t>
  </si>
  <si>
    <t>Rp30.000,00</t>
  </si>
  <si>
    <t>Rp153.000,00</t>
  </si>
  <si>
    <t>Rp162.000,00</t>
  </si>
  <si>
    <t>Potongan harga dihitung dari persentase diskon dikalikan harga awal: Diskon = 15% × Rp180.000,00 = (15/100) × Rp180.000,00 = Rp27.000,00.</t>
  </si>
  <si>
    <t>PK-03-S-31</t>
  </si>
  <si>
    <t>PK-04-R-11</t>
  </si>
  <si>
    <t>Diketahui neto suatu kemasan mi instan adalah 85 gram dan taranya 15 gram. Nilai bruto kemasan tersebut adalah ...</t>
  </si>
  <si>
    <t>Suatu proyek gedung direncanakan selesai dalam 30 hari oleh 20 pekerja. Setelah dikerjakan selama 10 hari, proyek terhenti selama 5 hari. Selain itu, ada penambahan volume pekerjaan sebesar 20% dari sisa beban kerja yang tersisa setelah hari ke-10. Banyak pekerja tambahan yang dibutuhkan agar proyek selesai tepat pada waktunya adalah ...</t>
  </si>
  <si>
    <t>70 gram</t>
  </si>
  <si>
    <t>80 gram</t>
  </si>
  <si>
    <t>12 orang</t>
  </si>
  <si>
    <t>100 gram</t>
  </si>
  <si>
    <t>115 gram</t>
  </si>
  <si>
    <t>127,5 gram</t>
  </si>
  <si>
    <t>PK-05-R-01</t>
  </si>
  <si>
    <t>Sisa beban kerja awal = (30 - 10) hari × 20 pekerja = 400 orang-hari. Penambahan volume kerja = 20% × 400 = 80 orang-hari. Total sisa beban kerja baru = 400 + 80 = 480 orang-hari. Sisa waktu nyata yang tersedia = 20 - 5 = 15 hari. Total pekerja yang dibutuhkan = 480 / 15 = 32 orang. Banyak pekerja tambahan = 32 - 20 = 12 orang.</t>
  </si>
  <si>
    <t>Nilai bruto (berat kotor) diperoleh dari penjumlahan berat neto (berat bersih) dan tara (berat kemasan): Bruto = Neto + Tara = 85 gram + 15 gram = 100 gram.</t>
  </si>
  <si>
    <t>PK-03-S-32</t>
  </si>
  <si>
    <t>PK-04-R-12</t>
  </si>
  <si>
    <t>Diketahui perbandingan nilai A : B = 2 : 3, B : C = 4 : 5, dan C : D = 5 : 6. Jika selisih nilai A dan D adalah 20, maka jumlah nilai B dan C adalah ...</t>
  </si>
  <si>
    <t>Seorang pedagang membeli 1 lusin pensil dengan harga total Rp36.000,00. Harga beli per unit pensil tersebut adalah ...</t>
  </si>
  <si>
    <t>Rp2.000,00</t>
  </si>
  <si>
    <t>Rp3.000,00</t>
  </si>
  <si>
    <t>Rp3.600,00</t>
  </si>
  <si>
    <t>Menyamakan rasio bertingkat: A : B = 8 : 12; B : C = 12 : 15; C : D = 15 : 18. Diperoleh A : B : C : D = 8 : 12 : 15 : 18. Selisih A dan D dalam variabel rasio = 18x - 8x = 10x = 20, sehingga x = 2. Jumlah nilai B dan C = (12 + 15)x = 27x = 27 × 2 = 54.</t>
  </si>
  <si>
    <t>Rp4.000,00</t>
  </si>
  <si>
    <t>Rp12.000,00</t>
  </si>
  <si>
    <t>Jika 3x - 5 = 10, maka nilai x adalah ...</t>
  </si>
  <si>
    <t>PK-03-S-33</t>
  </si>
  <si>
    <t>Dua buah kubus A dan B memiliki perbandingan panjang rusuk 2 : 3. Jika luas permukaan kubus B adalah 324 cm², maka selisih luas permukaan kedua kubus tersebut adalah ...</t>
  </si>
  <si>
    <t>108 cm²</t>
  </si>
  <si>
    <t>144 cm²</t>
  </si>
  <si>
    <t>160 cm²</t>
  </si>
  <si>
    <t>180 cm²</t>
  </si>
  <si>
    <t>216 cm²</t>
  </si>
  <si>
    <t>Pindahkan konstanta -5 ke ruas kanan: 3x = 10 + 5, sehingga 3x = 15. Bagi kedua ruas dengan 3 untuk mendapatkan nilai x = 15 / 3 = 5. Nilai x yang memenuhi adalah 5.</t>
  </si>
  <si>
    <t>Perbandingan luas permukaan dua kubus sebanding dengan kuadrat perbandingan rusuknya, yaitu (2/3)² = 4 : 9. Luas permukaan kubus A = (4 / 9) × 324 = 144 cm². Selisih luas permukaan kubus B dan A = 324 - 144 = 180 cm².</t>
  </si>
  <si>
    <t>PK-03-S-34</t>
  </si>
  <si>
    <t>Sebuah wadah berisi 60 liter campuran sirup dan air dengan perbandingan 3 : 2. Sebanyak 20 liter campuran tersebut dibuang, lalu ke dalam wadah ditambahkan x liter air murni sehingga perbandingan sirup dan air menjadi 1 : 1. Nilai x adalah ...</t>
  </si>
  <si>
    <t>PK-05-R-02</t>
  </si>
  <si>
    <t>Volume awal: sirup = (3/5) × 60 = 36 liter, air = 24 liter. Dalam 20 liter campuran yang dibuang terdapat sirup = (3/5) × 20 = 12 liter dan air = 8 liter. Sisa dalam wadah: sirup = 36 - 12 = 24 liter, air = 24 - 8 = 16 liter. Setelah penambahan air x liter, rasio menjadi 1 : 1, sehingga 24 / (16 + x) = 1/1 → 16 + x = 24 → x = 8 liter.</t>
  </si>
  <si>
    <t>Bentuk sederhana dari ekspresi aljabar 4x + 7y - 2x + 3y adalah ...</t>
  </si>
  <si>
    <t>PK-03-S-35</t>
  </si>
  <si>
    <t>Mengingat 1 lusin bernilai 12 unit, maka harga per unit dihitung dari total harga dibagi jumlah unit: Rp36.000,00 / 12 = Rp3.000,00.</t>
  </si>
  <si>
    <t>2x + 10y</t>
  </si>
  <si>
    <t>6x + 10y</t>
  </si>
  <si>
    <t>2x + 4y</t>
  </si>
  <si>
    <t>Pekerja X dapat menyelesaikan suatu pekerjaan sendirian dalam waktu 10 jam, sedangkan pekerja Y dapat menyelesaikan pekerjaan yang sama dalam waktu 15 jam. Berdasarkan informasi tersebut, manakah hubungan antara kuantitas P dan Q berikut yang benar? P = Waktu (jam) yang dibutuhkan jika pekerja X dan Y bekerja sama mengosongkan pekerjaan tersebut; Q = 8 jam.</t>
  </si>
  <si>
    <t>6x + 4y</t>
  </si>
  <si>
    <t>PK-04-R-13</t>
  </si>
  <si>
    <t>10x + 10y</t>
  </si>
  <si>
    <t>Kuantitas P lebih dari Q</t>
  </si>
  <si>
    <t>Kuantitas P kurang dari Q</t>
  </si>
  <si>
    <t>Modal sebesar Rp2.000.000,00 ditabung di bank dengan bunga tunggal 12% per tahun. Besar bunga yang diperoleh setelah 1 bulan adalah ...</t>
  </si>
  <si>
    <t>Kuantitas P sama dengan dua kali Q</t>
  </si>
  <si>
    <t>Kelompokkan suku-suku sejenis terlebih dahulu: (4x - 2x) + (7y + 3y). Selesaikan penjumlahan dan pengurangan suku sejenis: 2x + 10y. Bentuk sederhananya adalah 2x + 10y.</t>
  </si>
  <si>
    <t>Laju pekerjaan X = 1/10 bagian/jam dan Y = 1/15 bagian/jam. Laju gabungan X dan Y = 1/10 + 1/15 = 3/30 + 2/30 = 5/30 = 1/6 bagian/jam. Waktu yang dibutuhkan bekerja sama (P) = 1 / (1/6) = 6 jam. Karena P = 6 jam dan Q = 8 jam, maka nilai P kurang dari Q (P &lt; Q).</t>
  </si>
  <si>
    <t>Rp200.000,00</t>
  </si>
  <si>
    <t>PK-03-S-36</t>
  </si>
  <si>
    <t>PK-05-R-03</t>
  </si>
  <si>
    <t>Rp2.240.000,00</t>
  </si>
  <si>
    <t>Dua buah kubus P dan Q memiliki perbandingan luas permukaan 4 : 9. Jika volume kubus Q adalah 216 cm³, maka selisih volume kedua kubus tersebut adalah ...</t>
  </si>
  <si>
    <t>Hitung nominal bunga bulanan proporsional terhadap durasi 1 bulan (1/12 tahun): Bunga = (1/12) × (12/100) × Rp2.000.000,00 = (1/100) × Rp2.000.000,00 = Rp20.000,00.</t>
  </si>
  <si>
    <t>108 cm³</t>
  </si>
  <si>
    <t>Nilai dari x² - y² jika diketahui x + y = 12 dan x - y = 3 adalah ...</t>
  </si>
  <si>
    <t>128 cm³</t>
  </si>
  <si>
    <t>152 cm³</t>
  </si>
  <si>
    <t>164 cm³</t>
  </si>
  <si>
    <t>180 cm³</t>
  </si>
  <si>
    <t>PK-04-R-14</t>
  </si>
  <si>
    <t>Perbandingan panjang rusuk sP : sQ = √(4) : √(9) = 2 : 3. Perbandingan volume VP : VQ = 2³ : 3³ = 8 : 27. Volume kubus P = (8 / 27) × 216 = 64 cm³. Selisih volume kubus Q dan P = 216 - 64 = 152 cm³.</t>
  </si>
  <si>
    <t>PK-03-S-37</t>
  </si>
  <si>
    <t>Persentase keuntungan atau kerugian pedagang secara umum selalu dihitung berdasarkan ...</t>
  </si>
  <si>
    <t>Gunakan rumus pemfaktoran selisih dua kuadrat: x² - y² = (x + y)(x - y). Substitusikan nilai yang diketahui ke dalam rumus: x² - y² = 12 × 3 = 36. Hasilnya adalah 36.</t>
  </si>
  <si>
    <t>Harga jual</t>
  </si>
  <si>
    <t>Harga kotor</t>
  </si>
  <si>
    <t>Pekerja A, B, dan C dapat menyelesaikan suatu pekerjaan sendirian berturut-turut dalam waktu 10 hari, 15 hari, dan 30 hari. Jika ketiganya bekerja sama selama 2 hari, lalu pekerja A berhenti, berapa hari tambahan yang dibutuhkan pekerja B dan C bersama-sama untuk menyelesaikan sisa pekerjaan tersebut?</t>
  </si>
  <si>
    <t>PK-05-R-04</t>
  </si>
  <si>
    <t>Harga beli (modal)</t>
  </si>
  <si>
    <t>6 hari</t>
  </si>
  <si>
    <t>Besarnya diskon</t>
  </si>
  <si>
    <t>Jika x² - y² = 36 dan x + y = 12, maka nilai dari 2x - 2y adalah ...</t>
  </si>
  <si>
    <t>Laju A = 1/10, B = 1/15, C = 1/30. Laju gabungan bertiga = 1/10 + 1/15 + 1/30 = 6/30 = 1/5 bagian/hari. Dalam 2 hari selesai = 2 × (1/5) = 2/5 bagian. Sisa pekerjaan = 1 - 2/5 = 3/5 bagian. Laju gabungan B dan C = 1/15 + 1/30 = 3/30 = 1/10 bagian/hari. Waktu tambahan = (3/5) / (1/10) = 6 hari.</t>
  </si>
  <si>
    <t>PK-03-S-38</t>
  </si>
  <si>
    <t>Sebuah proyek renovasi dijadwalkan selesai dalam waktu 40 hari oleh 24 pekerja. Setelah dikerjakan selama 15 hari, sebanyak 4 pekerja mengundurkan diri. Berapa harikah keterlambatan penyelesaian proyek tersebut dari jadwal semula?</t>
  </si>
  <si>
    <t>Gunakan pemfaktoran x² - y² = (x + y)(x - y) = 36. Substitusikan (x + y) = 12 ke dalam persamaan: 12(x - y) = 36, sehingga x - y = 36 / 12 = 3. Hitung 2x - 2y = 2(x - y) = 2 × 3 = 6. Hasilnya adalah 6.</t>
  </si>
  <si>
    <t>PK-05-R-05</t>
  </si>
  <si>
    <t>Sisa beban kerja setelah 15 hari = (40 - 15) hari × 24 pekerja = 25 × 24 = 600 orang-hari. Sisa pekerja = 24 - 4 = 20 orang. Sisa waktu yang dibutuhkan = 600 / 20 = 30 hari. Waktu total penyelesaian = 15 + 30 = 45 hari. Keterlambatan proyek dari jadwal semula = 45 - 40 = 5 hari.</t>
  </si>
  <si>
    <t>PK-03-S-39</t>
  </si>
  <si>
    <t>Hasil penjabaran dari bentuk kuadrat sempurna (2x - 3)² adalah ...</t>
  </si>
  <si>
    <t>Perbandingan banyak kelereng Andi dan Budi adalah 3 : 4, sedangkan perbandingan kelereng Budi dan Candra adalah 2 : 5. Jika selisih kelereng Candra dan Andi adalah 35 butir, jumlah seluruh kelereng mereka bertiga adalah ...</t>
  </si>
  <si>
    <t>4x² - 9</t>
  </si>
  <si>
    <t>65 butir</t>
  </si>
  <si>
    <t>70 butir</t>
  </si>
  <si>
    <t>4x² + 9</t>
  </si>
  <si>
    <t>75 butir</t>
  </si>
  <si>
    <t>85 butir</t>
  </si>
  <si>
    <t>4x² - 6x + 9</t>
  </si>
  <si>
    <t>95 butir</t>
  </si>
  <si>
    <t>4x² - 12x + 9</t>
  </si>
  <si>
    <t>4x² + 12x + 9</t>
  </si>
  <si>
    <t>Menyamakan rasio bertingkat: Andi : Budi = 3 : 4 dan Budi : Candra = 4 : 10, sehingga Andi : Budi : Candra = 3 : 4 : 10. Selisih rasio Candra dan Andi = 10x - 3x = 7x = 35 → x = 5. Jumlah rasio ketiganya = 3 + 4 + 10 = 17. Jumlah kelereng seluruhnya = 17x = 17 × 5 = 85 butir.</t>
  </si>
  <si>
    <t>Gunakan rumus kuadrat sempurna (a - b)² = a² - 2ab + b². Terapkan pada bentuk (2x - 3)²: (2x)² - 2(2x)(3) + 3² = 4x² - 12x + 9. Hasil penjabarannya adalah 4x² - 12x + 9.</t>
  </si>
  <si>
    <t>PK-03-S-40</t>
  </si>
  <si>
    <t>Larutan A memiliki perbandingan alkohol dan air 1 : 3, sedangkan Larutan B memiliki perbandingan alkohol dan air 3 : 2. Jika 40 liter Larutan A dicampurkan dengan 50 liter Larutan B, manakah hubungan antara kuantitas P dan Q berikut yang benar? P = Persentase kadar alkohol dalam campuran akhir; Q = 40%.</t>
  </si>
  <si>
    <t>PK-05-R-06</t>
  </si>
  <si>
    <t>Kuantitas P sama dengan 1,5 kali Q</t>
  </si>
  <si>
    <t>Koefisien dari variabel x pada ekspresi aljabar 5x² - 8x + 12 adalah ...</t>
  </si>
  <si>
    <t>Alkohol dalam Larutan A = (1/4) × 40 = 10 liter. Alkohol dalam Larutan B = (3/5) × 50 = 30 liter. Total alkohol = 10 + 30 = 40 liter dalam total volume 90 liter. Persentase alkohol (P) = (40 / 90) × 100% = 44,44%. Karena P = 44,44% dan Q = 40%, maka Kuantitas P lebih dari Q (P &gt; Q).</t>
  </si>
  <si>
    <t>PK-03-S-41</t>
  </si>
  <si>
    <t>Dua buah tabung A dan B memiliki perbandingan jari-jari 2 : 3 dan perbandingan tinggi 2 : 3. Jika luas permukaan tabung B adalah 324 cm², maka selisih luas permukaan kedua tabung tersebut adalah ...</t>
  </si>
  <si>
    <t>Kunci C BENAR karena koefisien variabel x merupakan angka pengali yang berada tepat di depan x, yaitu -8. Opsi A SALAH karena 5 adalah koefisien dari x². Opsi B SALAH karena mengabaikan tanda negatif. Opsi D SALAH karena 12 adalah konstanta. Opsi E SALAH karena -12 bukan konstanta pada ekspresi tersebut.</t>
  </si>
  <si>
    <t>Perbandingan luas permukaan dua tabung yang proporsional sebanding dengan kuadrat perbandingan dimensinya, yaitu (2/3)² = 4 : 9. Luas permukaan tabung A = (4 / 9) × 324 = 144 cm². Selisih luas permukaan tabung B dan A = 324 - 144 = 180 cm².</t>
  </si>
  <si>
    <t>PK-05-R-07</t>
  </si>
  <si>
    <t>Nilai bruto</t>
  </si>
  <si>
    <t>PK-03-S-42</t>
  </si>
  <si>
    <t>Jika diketahui 2a + 3b = 18 dan a = 3, maka nilai b adalah ...</t>
  </si>
  <si>
    <t>Acuan standar dalam perhitungan persentase keuntungan maupun kerugian transaksi ekonomi dihitung dari harga beli (modal dasar), bukan dari harga jual, sehingga opsi C benar. Opsi A, B, D, dan E salah karena tidak menjadi dasar acuan standar pembagi persentase untung/rugi.</t>
  </si>
  <si>
    <t>Suatu renovasi gedung dijadwalkan selesai dalam waktu 30 hari dengan 18 orang pekerja. Setelah dikerjakan selama 10 hari, pekerjaan terpaksa dihentikan selama 5 hari karena kendala teknis. Agar renovasi selesai tepat waktu sesuai jadwal semula, banyak pekerja tambahan yang harus ditugaskan adalah ...</t>
  </si>
  <si>
    <t>4 orang</t>
  </si>
  <si>
    <t>24 orang</t>
  </si>
  <si>
    <t>Sisa beban kerja normal = (30 - 10) hari × 18 pekerja = 360 orang-hari. Sisa waktu nyata yang tersedia setelah libur 5 hari = 20 - 5 = 15 hari. Kebutuhan pekerja baru = 360 / 15 = 24 orang. Pekerja tambahan yang harus ditambahkan = 24 - 18 = 6 orang.</t>
  </si>
  <si>
    <t>Substitusikan nilai a = 3 ke dalam persamaan: 2(3) + 3b = 18, sehingga 6 + 3b = 18. Pindahkan 6 ke ruas kanan: 3b = 18 - 6 = 12. Bagi kedua ruas dengan 3 untuk memperoleh b = 12 / 3 = 4. Nilai b adalah 4.</t>
  </si>
  <si>
    <t>PK-03-S-43</t>
  </si>
  <si>
    <t>PK-05-R-08</t>
  </si>
  <si>
    <t>Diketahui perbandingan nilai P : Q = 3 : 5 dan Q : R = 2 : 3. Jika jumlah nilai P, Q, dan R seluruhnya adalah 124, maka selisih nilai R dan P adalah ...</t>
  </si>
  <si>
    <t>Penyelesaian dari sistem persamaan linear x + y = 7 dan x - y = 3 untuk nilai x adalah ...</t>
  </si>
  <si>
    <t>Menyamakan rasio bertingkat: P : Q = 6 : 10 dan Q : R = 10 : 15, sehingga P : Q : R = 6 : 10 : 15. Jumlah rasio = 6 + 10 + 15 = 31. Nilai 1 unit rasio = 124 / 31 = 4. Selisih R dan P = (15 - 6) × 4 = 9 × 4 = 36.</t>
  </si>
  <si>
    <t>PK-03-S-44</t>
  </si>
  <si>
    <t>Gunakan metode eliminasi dengan menjumlahkan kedua persamaan: (x + y) + (x - y) = 7 + 3, sehingga 2x = 10. Bagi kedua ruas dengan 2 untuk mendapatkan nilai x = 10 / 2 = 5. Nilai x yang memenuhi adalah 5.</t>
  </si>
  <si>
    <t>Sebuah tangki air dapat diisi penuh oleh Keran X dalam waktu 6 jam dan oleh Keran Y dalam waktu 12 jam, sedangkan Keran Z dapat mengosongkan tangki penuh dalam waktu 8 jam. Jika ketiga keran dibuka bersamaan dari keadaan tangki kosong, waktu yang dibutuhkan untuk mengisi 3/4 bagian tangki adalah ...</t>
  </si>
  <si>
    <t>6 jam</t>
  </si>
  <si>
    <t>PK-04-R-15</t>
  </si>
  <si>
    <t>8 jam</t>
  </si>
  <si>
    <t>PK-05-R-09</t>
  </si>
  <si>
    <t>9 jam</t>
  </si>
  <si>
    <t>10 jam</t>
  </si>
  <si>
    <t>12 jam</t>
  </si>
  <si>
    <t>Jika 4x + 2y = 20, maka nilai dari 2x + y adalah ...</t>
  </si>
  <si>
    <t>Laju X = 1/6, Y = 1/12, Z = -1/8. Laju gabungan = 1/6 + 1/12 - 1/8 = 4/24 + 2/24 - 3/24 = 3/24 = 1/8 bagian/jam. Waktu untuk mengisi tangki hingga penuh = 8 jam. Waktu untuk mengisi 3/4 bagian tangki = (3/4) × 8 = 6 jam.</t>
  </si>
  <si>
    <t>Karyawan menerima gaji kotor Rp5.000.000,00 per bulan dan dikenakan Pajak Penghasilan (PPh) sebesar 5%. Gaji bersih yang diterima karyawan tersebut adalah ...</t>
  </si>
  <si>
    <t>PK-03-S-45</t>
  </si>
  <si>
    <t>Rp4.500.000,00</t>
  </si>
  <si>
    <t>Rp4.750.000,00</t>
  </si>
  <si>
    <t>Persegi panjang PQRS memiliki ukuran sisi PQ = 6 dan QR = 12. Daerah persegi panjang PQRS memiliki keliling K1. Titik T terletak pada ruas garis RS sehingga keliling daerah segitiga PQT adalah K2. Berdasarkan informasi tersebut, manakah hubungan antara kuantitas P dan Q berikut yang benar? P = K2 / K1; Q = 1/2.</t>
  </si>
  <si>
    <t>Rp5.250.000,00</t>
  </si>
  <si>
    <t>Faktorkan angka 2 dari ruas kiri persamaan 4x + 2y = 20, sehingga menjadi 2(2x + y) = 20. Bagi kedua ruas dengan 2 untuk mendapatkan nilai dari ekspresi 2x + y = 20 / 2 = 10. Nilainya adalah 10.</t>
  </si>
  <si>
    <t>Rp5.500.000,00</t>
  </si>
  <si>
    <t>PK-05-R-10</t>
  </si>
  <si>
    <t>K1 = 2 × (6 + 12) = 36. Keliling segitiga K2 = PQ + PT + QT = 6 + PT + QT. Nilai minimum (PT + QT) terjadi saat T di titik tengah RS (ST = TR = 3), yaitu 2 × √(12² + 3²) = 2 × √153 ≈ 24,74. Nilai minimum K2 = 6 + 24,74 = 30,74. Maka Kuantitas P = K2 / K1 ≥ 30,74 / 36 ≈ 0,854. Karena P ≥ 0,854 dan Q = 0,5, maka Kuantitas P lebih dari Q (P &gt; Q).</t>
  </si>
  <si>
    <t>Bentuk sederhana dari pecahan aljabar (x² - 16) / (x - 4) untuk x ≠ 4 adalah ...</t>
  </si>
  <si>
    <t>x - 4</t>
  </si>
  <si>
    <t>x + 4</t>
  </si>
  <si>
    <t>TOTAL Materi 03 — Perbandingan &amp; Rasio</t>
  </si>
  <si>
    <t>x - 16</t>
  </si>
  <si>
    <t>x + 16</t>
  </si>
  <si>
    <t>4x</t>
  </si>
  <si>
    <t>Faktorkan pembilang menggunakan rumus selisih dua kuadrat: x² - 16 = (x + 4)(x - 4). Tuliskan pecahan menjadi ((x + 4)(x - 4)) / (x - 4). Sederhanakan dengan membagi faktor (x - 4) pada pembilang dan penyebut sehingga tersisa x + 4.</t>
  </si>
  <si>
    <t>PK-05-R-11</t>
  </si>
  <si>
    <t>Hitung besar pemotongan Pajak Penghasilan (PPh): 5% × Rp5.000.000,00 = Rp250.000,00. Hitung gaji bersih yang diterima: Gaji Kotor - PPh = Rp5.000.000,00 - Rp250.000,00 = Rp4.750.000,00.</t>
  </si>
  <si>
    <t>Nilai x yang memenuhi persamaan linear 1/2 x + 4 = 9 adalah ...</t>
  </si>
  <si>
    <t>Pindahkan konstanta 4 ke ruas kanan: 1/2 x = 9 - 4, sehingga 1/2 x = 5. Kalikan kedua ruas dengan 2 untuk memperoleh nilai x = 5 × 2 = 10. Nilai x yang memenuhi adalah 10.</t>
  </si>
  <si>
    <t>PK — Materi 06: Pertidaksamaan Linear  |  Target: 45 Soal (15 Ringan · 15 Sedang · 15 Sulit)</t>
  </si>
  <si>
    <t>PK-05-R-12</t>
  </si>
  <si>
    <t>Jika p = 4 dan q = -2, maka nilai dari p² - 3pq adalah ...</t>
  </si>
  <si>
    <t>Substitusikan p = 4 dan q = -2 ke dalam ekspresi p² - 3pq: (4)² - 3(4)(-2). Hitung nilai kuadrat dan perkaliannya: 16 - (-24) = 16 + 24 = 40. Hasil akhirnya adalah 40.</t>
  </si>
  <si>
    <t>PK-05-R-13</t>
  </si>
  <si>
    <t>Gradien (kemiringan) dari garis dengan persamaan linear 2y = 6x + 8 adalah ...</t>
  </si>
  <si>
    <t>Komponen: Aljabar  |  Menyelesaikan pertidaksamaan linear dan menginterpretasikan solusinya.</t>
  </si>
  <si>
    <t>Ubah persamaan ke bentuk umum y = mx + c dengan membagi kedua ruas dengan 2: y = (6x + 8) / 2 → y = 3x + 4. Gradien m adalah koefisien di depan x, yaitu 3. Jadi, gradien garis tersebut adalah 3.</t>
  </si>
  <si>
    <t>PK-05-R-14</t>
  </si>
  <si>
    <t>Penyelesaian dari persamaan 5(x - 2) = 3x + 6 adalah ...</t>
  </si>
  <si>
    <t>Jabarkan ruas kiri terlebih dahulu: 5x - 10 = 3x + 6. Pindahkan variabel x ke ruas kiri dan konstanta ke ruas kanan: 5x - 3x = 6 + 10, sehingga 2x = 16. Bagi kedua ruas dengan 2 untuk memperoleh x = 16 / 2 = 8.</t>
  </si>
  <si>
    <t>PK-04-S-16</t>
  </si>
  <si>
    <t>PK-05-R-15</t>
  </si>
  <si>
    <t>Manakah di antara pernyataan mengenai sifat sistem persamaan linear dua variabel (SPLDV) a1x + b1y = c1 dan a2x + b2y = c2 berikut yang selalu BENAR?</t>
  </si>
  <si>
    <t>Sistem memiliki tak hingga solusi jika a1/a2 ≠ b1/b2</t>
  </si>
  <si>
    <t>Sistem tidak memiliki solusi jika a1/a2 = b1/b2 = c1/c2</t>
  </si>
  <si>
    <t>Sistem memiliki tepat satu solusi unik jika a1/a2 ≠ b1/b2</t>
  </si>
  <si>
    <t>Grafik solusi SPLDV pada koordinat kartesius selalu berupa bidang tiga dimensi</t>
  </si>
  <si>
    <t>Pak Budi menyimpan uang di bank sebesar Rp8.000.000,00 dengan suku bunga tunggal 9% per tahun. Jika total tabungan Pak Budi menjadi Rp8.540.000,00, berapa lama Pak Budi menabung?</t>
  </si>
  <si>
    <t>Variabel pada persamaan linear boleh berpangkat dua atau saling berkali</t>
  </si>
  <si>
    <t>6 bulan</t>
  </si>
  <si>
    <t>8 bulan</t>
  </si>
  <si>
    <t>Kunci C BENAR karena syarat SPLDV memiliki tepat satu solusi unik (dua garis berpotongan di satu titik) adalah a1/a2 ≠ b1/b2. Opsi A SALAH karena a1/a2 ≠ b1/b2 memberikan satu solusi, bukan tak hingga. Opsi B SALAH karena rasio sama semua berarti garis berhimpit (tak hingga solusi). Opsi D SALAH karena grafik SPLDV berupa garis lurus pada bidang dua dimensi. Opsi E SALAH karena persamaan linear variabelnya wajib berderajat tepat satu dan tidak saling berkali.</t>
  </si>
  <si>
    <t>9 bulan</t>
  </si>
  <si>
    <t>10 bulan</t>
  </si>
  <si>
    <t>12 bulan</t>
  </si>
  <si>
    <t>Langkah 1: Hitung nominal bunga yang diperoleh Budi: B = Rp8.540.000,00 - Rp8.000.000,00 = Rp540.000,00. Langkah 2: Gunakan rumus bunga tunggal bulanan B = (n / 12) × (p / 100) × M. Persamaan menjadi 540.000 = (n / 12) × (9 / 100) × 8.000.000. Sederhanakan perkalian: 540.000 = n × 60.000, sehingga lama menabung n = 540.000 / 60.000 = 9 bulan.</t>
  </si>
  <si>
    <t>PK-04-S-17</t>
  </si>
  <si>
    <t>Toko Busana memberikan diskon ganda 30% + 20% untuk jaket seharga Rp300.000,00. Berapakah harga yang harus dibayar pembeli setelah diskon ganda tersebut?</t>
  </si>
  <si>
    <t>Rp168.000,00</t>
  </si>
  <si>
    <t>Rp180.000,00</t>
  </si>
  <si>
    <t>Rp210.000,00</t>
  </si>
  <si>
    <t>Rp216.000,00</t>
  </si>
  <si>
    <t>Langkah 1: Hitung pengali persentase sisa setelah diskon ganda: S = (100% - 30%) × (100% - 20%) = 70% × 80% = 0,7 × 0,8 = 0,56 (56%). Langkah 2: Kalikan sisa persentase dengan harga label awal: Harga Bayar = 0,56 × Rp300.000,00 = Rp168.000,00.</t>
  </si>
  <si>
    <t>PK-05-S-16</t>
  </si>
  <si>
    <t>PK-04-S-18</t>
  </si>
  <si>
    <t>PK-06-R-01</t>
  </si>
  <si>
    <t>Diketahui sistem persamaan kx + 4y = 12 dan 3x + 2y = 8. Agar sistem persamaan tersebut tidak memiliki solusi, nilai k yang memenuhi adalah ...</t>
  </si>
  <si>
    <t>Seorang pedagang membeli 5 kuintal beras seharga Rp6.000.000,00. Jika beras tersebut dijual kembali secara eceran dengan keuntungan 15%, berapa harga jual eceran beras per kg?</t>
  </si>
  <si>
    <t>Rp12.800,00</t>
  </si>
  <si>
    <t>Rp13.200,00</t>
  </si>
  <si>
    <t>Rp13.800,00</t>
  </si>
  <si>
    <t>Rp14.500,00</t>
  </si>
  <si>
    <t>Langkah 1: Terapkan syarat SPLDV tidak memiliki solusi (garis sejajar) yaitu k/3 = 4/2 ≠ 12/8. Langkah 2: Selesaikan persamaan rasio koefisien variabel k/3 = 2, sehingga k = 2 × 3 = 6. Uji konstanta 4/2 = 2 ≠ 12/8 = 1,5 (syarat tidak memiliki solusi terpenuhi). Nilai k adalah 6.</t>
  </si>
  <si>
    <t>Langkah 1: Konversikan satuan kuintal ke kg, di mana 5 kuintal = 500 kg. Hitung harga beli per kg = Rp6.000.000,00 / 500 kg = Rp12.000,00 per kg. Langkah 2: Hitung harga jual eceran per kg dengan untung 15%: HJ = Rp12.000,00 × (1 + 0,15) = Rp12.000,00 × 1,15 = Rp13.800,00 per kg.</t>
  </si>
  <si>
    <t>PK-05-S-17</t>
  </si>
  <si>
    <t>PK-04-S-19</t>
  </si>
  <si>
    <t>Sistem persamaan linear 3a - 2c = 7 dan 3a + b - 2c = -6 mempunyai solusi a = x, b = y, dan c = z. Nilai dari y adalah ...</t>
  </si>
  <si>
    <t>Seorang pedagang mengalami kerugian sebesar 10% saat menjual suatu barang seharga Rp450.000,00. Berapakah harga jual barang tersebut jika pedagang ingin mendapatkan keuntungan 20%?</t>
  </si>
  <si>
    <t>Himpunan penyelesaian dari pertidaksamaan linear 2x - 4 &lt; 6 untuk x bilangan real adalah ...</t>
  </si>
  <si>
    <t>Rp500.000,00</t>
  </si>
  <si>
    <t>Rp540.000,00</t>
  </si>
  <si>
    <t>x &lt; 1</t>
  </si>
  <si>
    <t>Rp550.000,00</t>
  </si>
  <si>
    <t>x &lt; 5</t>
  </si>
  <si>
    <t>Rp600.000,00</t>
  </si>
  <si>
    <t>x &gt; 5</t>
  </si>
  <si>
    <t>Langkah 1: Kelompokkan suku-suku pada persamaan kedua menjadi (3a - 2c) + b = -6. Langkah 2: Substitusikan paket variabel (3a - 2c) = 7 ke dalam persamaan tersebut: 7 + b = -6. Hitung nilai b: b = -6 - 7 = -13. Karena b = y, maka nilai y adalah -13.</t>
  </si>
  <si>
    <t>x &lt; 10</t>
  </si>
  <si>
    <t>Rp620.000,00</t>
  </si>
  <si>
    <t>x &gt; 10</t>
  </si>
  <si>
    <t>Langkah 1: Hitung harga beli (HB) awal berdasarkan kondisi rugi 10% (80% HB = Rp450.000,00): HB = Rp450.000,00 / 0,9 = Rp500.000,00. Langkah 2: Hitung harga jual baru dengan keuntungan 20%: HJ = Rp500.000,00 × (1 + 0,20) = Rp500.000,00 × 1,2 = Rp600.000,00.</t>
  </si>
  <si>
    <t>PK-05-S-18</t>
  </si>
  <si>
    <t>Pindahkan -4 ke ruas kanan: 2x &lt; 6 + 4, diperoleh 2x &lt; 10. Bagi kedua ruas dengan 2: x &lt; 5.</t>
  </si>
  <si>
    <t>Jika x/2 + y/3 = 4 dan x/4 - y/3 = -1, maka nilai dari x + y adalah ...</t>
  </si>
  <si>
    <t>PK-04-S-20</t>
  </si>
  <si>
    <t>Seorang pedagang membeli 4 karung gula pasir dengan bruto masing-masing 50 kg dan tara 2%. Jika pedagang menjual seluruh gula tersebut dengan harga Rp15.000,00 per kg, berapa total uang penjualan yang diperoleh?</t>
  </si>
  <si>
    <t>Rp2.850.000,00</t>
  </si>
  <si>
    <t>Rp2.940.000,00</t>
  </si>
  <si>
    <t>Langkah 1: Eliminasi variabel y dengan menjumlahkan kedua persamaan: (x/2 + x/4) = 4 + (-1) → 3x/4 = 3 → 3x = 12 → x = 4. Langkah 2: Substitusikan x = 4 ke persamaan pertama: 4/2 + y/3 = 4 → 2 + y/3 = 4 → y/3 = 2 → y = 6. Langkah 3: Hitung nilai x + y = 4 + 6 = 10. Hasilnya adalah 10.</t>
  </si>
  <si>
    <t>Rp2.970.000,00</t>
  </si>
  <si>
    <t>Rp3.000.000,00</t>
  </si>
  <si>
    <t>PK-06-R-02</t>
  </si>
  <si>
    <t>Rp3.060.000,00</t>
  </si>
  <si>
    <t>PK-05-S-19</t>
  </si>
  <si>
    <t>Langkah 1: Hitung total bruto = 4 × 50 kg = 200 kg. Hitung total neto beras dengan persentase sisa neto 98%: Total Neto = 200 kg × (1 - 0,02) = 200 kg × 0,98 = 196 kg. Langkah 2: Hitung total uang penjualan berdasarkan harga per kg neto: Uang Penjualan = 196 kg × Rp15.000,00 = Rp2.940.000,00.</t>
  </si>
  <si>
    <t>Jika x² + y² = 25 dan xy = 12, maka nilai dari (x + y)² adalah ...</t>
  </si>
  <si>
    <t>PK-04-S-21</t>
  </si>
  <si>
    <t>Penyelesaian dari pertidaksamaan 3x + 5 ≥ 17 untuk x bilangan real adalah ...</t>
  </si>
  <si>
    <t>Langkah 1: Gunakan rumus penjabaran kuadrat sempurna (x + y)² = x² + 2xy + y² = (x² + y²) + 2xy. Langkah 2: Substitusikan nilai x² + y² = 25 dan xy = 12 ke dalam rumus: (x + y)² = 25 + 2(12) = 25 + 24 = 49. Hasil dari (x + y)² adalah 49.</t>
  </si>
  <si>
    <t>x ≤ 4</t>
  </si>
  <si>
    <t>x ≥ 4</t>
  </si>
  <si>
    <t>Dian meminjam uang di koperasi sebesar Rp6.000.000,00 yang akan dicicil selama 10 bulan dengan bunga tunggal 12% per tahun. Berapakah besar angsuran yang harus dibayar Dian setiap bulannya?</t>
  </si>
  <si>
    <t>x ≤ 7</t>
  </si>
  <si>
    <t>x ≥ 7</t>
  </si>
  <si>
    <t>Rp640.000,00</t>
  </si>
  <si>
    <t>x ≥ 12</t>
  </si>
  <si>
    <t>PK-05-S-20</t>
  </si>
  <si>
    <t>Rp660.000,00</t>
  </si>
  <si>
    <t>Rp672.000,00</t>
  </si>
  <si>
    <t>Rp720.000,00</t>
  </si>
  <si>
    <t>Diketahui persamaan 2x + 3y = 13 dan 3x + 2y = 12. Nilai dari 5x + 5y adalah ...</t>
  </si>
  <si>
    <t>Pindahkan 5 ke ruas kanan: 3x ≥ 17 - 5, diperoleh 3x ≥ 12. Bagi kedua ruas dengan 3: x ≥ 4.</t>
  </si>
  <si>
    <t>Langkah 1: Hitung total bunga tunggal selama 10 bulan: B = (10 / 12) × (12 / 100) × Rp6.000.000,00 = 0,10 × Rp6.000.000,00 = Rp600.000,00. Total pinjaman = Rp6.000.000,00 + Rp600.000,00 = Rp6.600.000,00. Langkah 2: Hitung angsuran bulanan = Rp6.600.000,00 / 10 bulan = Rp660.000,00 per bulan.</t>
  </si>
  <si>
    <t>PK-04-S-22</t>
  </si>
  <si>
    <t>Langkah 1: Jumlahkan kedua persamaan secara langsung: (2x + 3y) + (3x + 2y) = 13 + 12, sehingga diperoleh 5x + 5y = 25. Langkah 2: Tanpa mencari nilai x dan y satu per satu, nilai ekspresi 5x + 5y yang ditanyakan langsung didapatkan yaitu 25.</t>
  </si>
  <si>
    <t>PK-06-R-03</t>
  </si>
  <si>
    <t>PK-05-S-21</t>
  </si>
  <si>
    <t>Toko Buku menawarkan diskon 15% untuk setiap buku, tetapi menambahkan PPN sebesar 10% dari harga setelah diskon. Jika harga label sebuah buku adalah Rp100.000,00, berapa harga akhir yang dibayar?</t>
  </si>
  <si>
    <t>Rp85.000,00</t>
  </si>
  <si>
    <t>Himpunan penyelesaian dari pertidaksamaan -4x &lt; 12 untuk x bilangan real adalah ...</t>
  </si>
  <si>
    <t>Jika a - b = 5 dan a² - b² = 35, maka nilai dari a × b adalah ...</t>
  </si>
  <si>
    <t>x &lt; -3</t>
  </si>
  <si>
    <t>Rp93.500,00</t>
  </si>
  <si>
    <t>x &gt; -3</t>
  </si>
  <si>
    <t>Rp95.000,00</t>
  </si>
  <si>
    <t>x &lt; 3</t>
  </si>
  <si>
    <t>Rp104.500,00</t>
  </si>
  <si>
    <t>x &gt; 3</t>
  </si>
  <si>
    <t>x &lt; -48</t>
  </si>
  <si>
    <t>Langkah 1: Hitung harga buku setelah diskon 15%: Harga Diskon = Rp100.000,00 × (1 - 0,15) = Rp85.000,00. Langkah 2: Hitung harga akhir dengan menambahkan PPN 10% dari harga setelah diskon: Harga Akhir = Rp85.000,00 × (1 + 0,10) = Rp85.000,00 × 1,10 = Rp93.500,00.</t>
  </si>
  <si>
    <t>Langkah 1: Gunakan pemfaktoran a² - b² = (a + b)(a - b) = 35. Substitusikan (a - b) = 5, diperoleh 5(a + b) = 35 → a + b = 7. Langkah 2: Selesaikan SPLDV a + b = 7 dan a - b = 5 dengan menjumlahkannya: 2a = 12 → a = 6, lalu b = 7 - 6 = 1. Langkah 3: Hitung a × b = 6 × 1 = 6.</t>
  </si>
  <si>
    <t>Bagi kedua ruas dengan -4 dan balik arah tanda pertidaksamaan: x &gt; 12 / (-4), sehingga diperoleh x &gt; -3.</t>
  </si>
  <si>
    <t>PK-05-S-22</t>
  </si>
  <si>
    <t>PK-04-S-23</t>
  </si>
  <si>
    <t>PK-06-R-04</t>
  </si>
  <si>
    <t>Garis ax + 3y = 9 sejajar dengan garis 2x + y = 5. Nilai a yang memenuhi adalah ...</t>
  </si>
  <si>
    <t>Hasil penyelesaian dari pertidaksamaan 10 - 2x ≤ 4 untuk x bilangan real adalah ...</t>
  </si>
  <si>
    <t>Seorang pedagang buah membeli 10 kg apel seharga Rp250.000,00. Sebanyak 8 kg dijual dengan harga Rp32.000,00 per kg, sedangkan sisanya yang mulai layu dijual dengan harga Rp15.000,00 per kg. Persentase keuntungan pedagang tersebut adalah ...</t>
  </si>
  <si>
    <t>x ≤ -3</t>
  </si>
  <si>
    <t>x ≥ -3</t>
  </si>
  <si>
    <t>Langkah 1: Ubah kedua persamaan ke bentuk y = mx + c untuk menentukan gradien. Garis pertama: y = (-a/3)x + 3 (gradien m1 = -a/3). Garis kedua: y = -2x + 5 (gradien m2 = -2). Langkah 2: Garis sejajar memiliki gradien sama (m1 = m2), sehingga -a/3 = -2 → a = -2 × (-3) = 6. Nilai a adalah 6.</t>
  </si>
  <si>
    <t>x ≤ 3</t>
  </si>
  <si>
    <t>x ≥ 3</t>
  </si>
  <si>
    <t>PK-05-S-23</t>
  </si>
  <si>
    <t>14,40%</t>
  </si>
  <si>
    <t>Garis y = px + q tegak lurus dengan garis 2x - 4y = 8 dan melalui titik (1, 2). Nilai p + q adalah ...</t>
  </si>
  <si>
    <t>18,40%</t>
  </si>
  <si>
    <t>Pindahkan 10 ke ruas kanan: -2x ≤ 4 - 10, diperoleh -2x ≤ -6. Bagi kedua ruas dengan -2 dan balik arah tanda pertidaksamaan: x ≥ -6 / (-2), sehingga diperoleh x ≥ 3.</t>
  </si>
  <si>
    <t>Langkah 1: Hitung total penerimaan hasil penjualan: Penjualan = (8 kg × Rp32.000,00) + (2 kg × Rp15.000,00) = Rp256.000,00 + Rp30.000,00 = Rp286.000,00. Hitung nominal untung: Rp286.000,00 - Rp250.000,00 = Rp36.000,00. Langkah 2: Hitung persentase keuntungan dari harga beli: % Untung = (Rp36.000,00 / Rp250.000,00) × 100% = 14,4%.</t>
  </si>
  <si>
    <t>PK-06-R-05</t>
  </si>
  <si>
    <t>Langkah 1: Cari gradien garis acuan 2x - 4y = 8 → 4y = 2x - 8 → y = (1/2)x - 2 (m1 = 1/2). Karena tegak lurus, p = m2 = -1 / (1/2) = -2. Langkah 2: Substitusikan titik (1, 2) dan p = -2 ke y = px + q: 2 = -2(1) + q → q = 4. Langkah 3: Hitung p + q = -2 + 4 = 2.</t>
  </si>
  <si>
    <t>PK-04-S-24</t>
  </si>
  <si>
    <t>Nilai x yang memenuhi pertidaksamaan 5x - 3 &gt; 2x + 9 adalah ...</t>
  </si>
  <si>
    <t>x &gt; 2</t>
  </si>
  <si>
    <t>PK-05-S-24</t>
  </si>
  <si>
    <t>x &lt; 4</t>
  </si>
  <si>
    <t>x &gt; 4</t>
  </si>
  <si>
    <t>x &lt; 6</t>
  </si>
  <si>
    <t>Pak Heru menabung uang di bank dan mendapatkan bunga tunggal sebesar Rp360.000,00 setelah 8 bulan. Jika suku bunga bank adalah 6% per tahun, berapa modal awal simpanan Pak Heru?</t>
  </si>
  <si>
    <t>x &gt; 6</t>
  </si>
  <si>
    <t>Nilai x yang memenuhi persamaan (2x + 1)/3 - (x - 2)/2 = 2 adalah ...</t>
  </si>
  <si>
    <t>Rp8.000.000,00</t>
  </si>
  <si>
    <t>Rp9.000.000,00</t>
  </si>
  <si>
    <t>Kelompokkan suku ber-x ke ruas kiri dan konstanta ke ruas kanan: 5x - 2x &gt; 9 + 3, diperoleh 3x &gt; 12. Bagi kedua ruas dengan 3: x &gt; 4.</t>
  </si>
  <si>
    <t>Rp10.000.000,00</t>
  </si>
  <si>
    <t>Rp12.000.000,00</t>
  </si>
  <si>
    <t>Rp15.000.000,00</t>
  </si>
  <si>
    <t>PK-06-R-06</t>
  </si>
  <si>
    <t>Langkah 1: Gunakan rumus bunga tunggal bulanan B = (n / 12) × (p / 100) × M. Persamaan menjadi 360.000 = (8 / 12) × (6 / 100) × M. Langkah 2: Sederhanakan bentuk pecahan aljabar: 360.000 = (2 / 3) × 0,06 × M = 0,04 × M. Hitung modal awal M = 360.000 / 0,04 = Rp9.000.000,00.</t>
  </si>
  <si>
    <t>Langkah 1: Kalikan seluruh suku dengan KPK penyebut yaitu 6: 2(2x + 1) - 3(x - 2) = 6(2). Langkah 2: Jabarkan bentuk aljabar: 4x + 2 - 3x + 6 = 12 → x + 8 = 12. Langkah 3: Pindahkan konstanta 8 ke ruas kanan untuk memperoleh x = 12 - 8 = 4. Kurang teliti pada tanda minus dapat menyebabkan salah hitung, x = 2. Langkah 1 ulang: 4x + 2 - 3x + 6 = 12 → x + 8 = 12 → x = 4.</t>
  </si>
  <si>
    <t>Penyelesaian dari pertidaksamaan 1 - 3x ≥ 16 untuk x bilangan real adalah ...</t>
  </si>
  <si>
    <t>PK-05-S-25</t>
  </si>
  <si>
    <t>x ≤ -5</t>
  </si>
  <si>
    <t>PK-04-S-25</t>
  </si>
  <si>
    <t>x ≥ -5</t>
  </si>
  <si>
    <t>x ≤ 5</t>
  </si>
  <si>
    <t>Jika 3^(x + y) = 81 dan 3^(x - y) = 9, maka nilai dari x × y adalah ...</t>
  </si>
  <si>
    <t>x ≥ 5</t>
  </si>
  <si>
    <t>x ≤ -17/3</t>
  </si>
  <si>
    <t>Seorang pedagang pakaian menjual 2 lusin baju dengan harga Rp75.000,00 per biji. Jika dari total penjualan tersebut pedagang memperoleh keuntungan 25%, berapa total modal pembelian seluruh baju tersebut?</t>
  </si>
  <si>
    <t>Rp1.200.000,00</t>
  </si>
  <si>
    <t>Rp1.440.000,00</t>
  </si>
  <si>
    <t>Pindahkan 1 ke ruas kanan: -3x ≥ 16 - 1, diperoleh -3x ≥ 15. Bagi kedua ruas dengan -3 dan balik arah tanda pertidaksamaan: x ≤ 15 / (-3), sehingga diperoleh x ≤ -5.</t>
  </si>
  <si>
    <t>Rp1.500.000,00</t>
  </si>
  <si>
    <t>Rp1.800.000,00</t>
  </si>
  <si>
    <t>Langkah 1: Samakan basis eksponen: 3^(x + y) = 3^4 → x + y = 4. Langkah 2: Samakan basis persamaan kedua: 3^(x - y) = 3^2 → x - y = 2. Langkah 3: Selesaikan SPLDV x + y = 4 dan x - y = 2 dengan eliminasi: 2x = 6 → x = 3, lalu y = 4 - 3 = 1. Langkah 4: Hitung nilai x × y = 3 × 1 = 3.</t>
  </si>
  <si>
    <t>PK-06-R-07</t>
  </si>
  <si>
    <t>Rp2.250.000,00</t>
  </si>
  <si>
    <t>PK-05-S-26</t>
  </si>
  <si>
    <t>Langkah 1: Konversikan 2 lusin ke unit = 2 × 12 = 24 unit. Hitung total uang penjualan: HJ Total = 24 × Rp75.000,00 = Rp1.800.000,00. Langkah 2: Hitung total modal beli (HB) dari harga jual dengan untung 25%: HB Total = Rp1.800.000,00 / (1 + 0,25) = Rp1.800.000,00 / 1,25 = Rp1.440.000,00.</t>
  </si>
  <si>
    <t>Himpunan penyelesaian dari pertidaksamaan 4x + 7 ≤ 2x + 15 untuk x bilangan real adalah ...</t>
  </si>
  <si>
    <t>Diketahui persamaan kuadrat x² - 5x + 6 = 0 memiliki akar-akar p dan q. Nilai dari 1/p + 1/q adalah ...</t>
  </si>
  <si>
    <t>PK-04-S-26</t>
  </si>
  <si>
    <t>x ≤ 11</t>
  </si>
  <si>
    <t>x ≥ 11</t>
  </si>
  <si>
    <t>x ≤ 22</t>
  </si>
  <si>
    <t>Maya meminjam uang di bank sebesar Rp12.000.000,00 dengan bunga tunggal 10% per tahun. Jika total pinjaman beserta bunga yang dikembalikan Maya adalah Rp13.500.000,00, berapa lama pinjaman tersebut?</t>
  </si>
  <si>
    <t>Pindahkan suku variabel dan konstanta: 4x - 2x ≤ 15 - 7, diperoleh 2x ≤ 8. Bagi kedua ruas dengan 2: x ≤ 4.</t>
  </si>
  <si>
    <t>-5/6</t>
  </si>
  <si>
    <t>15 bulan</t>
  </si>
  <si>
    <t>-6/5</t>
  </si>
  <si>
    <t>16 bulan</t>
  </si>
  <si>
    <t>18 bulan</t>
  </si>
  <si>
    <t>PK-06-R-08</t>
  </si>
  <si>
    <t>20 bulan</t>
  </si>
  <si>
    <t>Langkah 1: Gunakan teorema Vieta untuk mencari jumlah dan hasil kali akar: p + q = -(-5)/1 = 5 dan p × q = 6/1 = 6. Langkah 2: Samakan penyebut ekspresi yang ditanyakan: 1/p + 1/q = (p + q) / (p × q). Langkah 3: Substitusikan nilai dari teorema Vieta: (p + q) / (p × q) = 5/6. Hasil akhirnya adalah 5/6.</t>
  </si>
  <si>
    <t>Manakah dari tindakan matematika berikut yang WAJIB membalik arah tanda pertidaksamaan linear?</t>
  </si>
  <si>
    <t>Langkah 1: Hitung nominal bunga pinjaman: B = Rp13.500.000,00 - Rp12.000.000,00 = Rp1.500.000,00. Langkah 2: Gunakan rumus bunga tunggal B = (n / 12) × (p / 100) × M. Persamaan menjadi 1.500.000 = (n / 12) × (10 / 100) × 12.000.000. Sederhanakan bentuk perkalian: 1.500.000 = n × 100.000, sehingga n = 1.500.000 / 100.000 = 15 bulan.</t>
  </si>
  <si>
    <t>Menambahkan kedua ruas dengan bilangan negatif</t>
  </si>
  <si>
    <t>PK-05-S-27</t>
  </si>
  <si>
    <t>Mengurangi kedua ruas dengan bilangan negatif</t>
  </si>
  <si>
    <t>PK-04-S-27</t>
  </si>
  <si>
    <t>Mengalikan kedua ruas dengan bilangan negatif</t>
  </si>
  <si>
    <t>Mengalikan kedua ruas dengan bilangan positif</t>
  </si>
  <si>
    <t>Jumlah tiga bilangan bulat berurutan adalah 48. Hasil kali bilangan terkecil dan terbesar adalah ...</t>
  </si>
  <si>
    <t>Membagi kedua ruas dengan bilangan positif</t>
  </si>
  <si>
    <t>Suatu produk memiliki neto 475 gram dan tara 5%. Manakah dari pernyataan mengenai bruto, neto, dan tara berikut yang BENAR?</t>
  </si>
  <si>
    <t>Berat kemasan (tara) produk tersebut adalah 23,75 gram</t>
  </si>
  <si>
    <t>Opsi C BENAR karena aturan dasar pertidaksamaan menyatakan bahwa perkalian atau pembagian kedua ruas dengan bilangan negatif akan membalik arah tanda pertidaksamaan (misal &lt; menjadi &gt;). Opsi A dan B SALAH karena operasi penjumlahan atau pengurangan dengan bilangan apa pun tidak mengubah arah tanda. Opsi D dan E SALAH karena perkalian atau pembagian dengan bilangan positif tetap mempertahankan arah tanda awal.</t>
  </si>
  <si>
    <t>Nilai bruto kemasan produk tersebut adalah 500 gram</t>
  </si>
  <si>
    <t>Persentase neto dari berat kotornya adalah 90%</t>
  </si>
  <si>
    <t>Langkah 1: Misalkan tiga bilangan berurutan adalah (n - 1), n, dan (n + 1). Buat persamaan jumlah: (n - 1) + n + (n + 1) = 48 → 3n = 48 → n = 16. Langkah 2: Tentukan ketiga bilangan tersebut: 15, 16, dan 17. Langkah 3: Hitung hasil kali bilangan terkecil (15) dan terbesar (17): 15 × 17 = 255.</t>
  </si>
  <si>
    <t>PK-06-R-09</t>
  </si>
  <si>
    <t>Nilai tara selalu lebih besar daripada nilai neto</t>
  </si>
  <si>
    <t>Berat kotor (bruto) didapatkan dari pengurangan neto dengan tara</t>
  </si>
  <si>
    <t>PK-05-S-28</t>
  </si>
  <si>
    <t>Penyelesaian dari pertidaksamaan (x + 2) / 3 &gt; 4 untuk x bilangan real adalah ...</t>
  </si>
  <si>
    <t>Analisis Konsep: Persentase neto dari bruto adalah 100% - 5% = 95%. Hitung bruto = Neto / 0,95 = 475 / 0,95 = 500 gram, sehingga opsi B BENAR. Opsi A salah karena tara = 5% × 500 gram = 25 gram, bukan 23,75 gram. Opsi C salah karena persentase neto terhadap bruto adalah 95%. Opsi D salah karena neto (475 g) jauh lebih besar dari tara (25 g). Opsi E salah karena Bruto = Neto + Tara.</t>
  </si>
  <si>
    <t>Jika fungsi f(x) = ax + b memenuhi f(2) = 7 dan f(-1) = 1, maka nilai dari f(5) adalah ...</t>
  </si>
  <si>
    <t>PK-04-S-28</t>
  </si>
  <si>
    <t>x &gt; 12</t>
  </si>
  <si>
    <t>x &gt; 14</t>
  </si>
  <si>
    <t>Seorang pedagang mainan membeli barang seharga Rp80.000,00 per unit. Ia ingin memberi diskon 20% kepada pembeli namun tetap memperoleh keuntungan 10% dari harga beli. Berapakah harga label yang harus dipasang pedagang?</t>
  </si>
  <si>
    <t>Langkah 1: Buat sistem persamaan dari nilai fungsi: 2a + b = 7 dan -a + b = 1. Langkah 2: Kurangkan kedua persamaan untuk eliminasi b: 3a = 6 → a = 2. Substitusikan a = 2 ke persamaan kedua: -2 + b = 1 → b = 3. Fungsi menjadi f(x) = 2x + 3. Langkah 3: Hitung f(5) = 2(5) + 3 = 10 + 3 = 13.</t>
  </si>
  <si>
    <t>Kalikan kedua ruas dengan 3: x + 2 &gt; 4 × 3, diperoleh x + 2 &gt; 12. Pengurangan dengan 2 pada kedua ruas menghasilkan x &gt; 10.</t>
  </si>
  <si>
    <t>Rp110.000,00</t>
  </si>
  <si>
    <t>Rp125.000,00</t>
  </si>
  <si>
    <t>PK-05-S-29</t>
  </si>
  <si>
    <t>PK-06-R-10</t>
  </si>
  <si>
    <t>Diketahui sistem persamaan 3x - y = 5 dan 2x + 3y = 22. Nilai dari x² - y² adalah ...</t>
  </si>
  <si>
    <t>Langkah 1: Hitung harga jual nyata yang diinginkan agar untung 10%: HJ = Rp80.000,00 × (1 + 0,10) = Rp88.000,00. Langkah 2: Hitung harga label (L) yang dipasang agar saat didiskon 20% menghasilkan HJ Rp88.000,00: 0,80 × L = Rp88.000,00, sehingga L = Rp88.000,00 / 0,8 = Rp110.000,00.</t>
  </si>
  <si>
    <t>Himpunan penyelesaian dari pertidaksamaan -5x ≥ 20 untuk x bilangan real adalah ...</t>
  </si>
  <si>
    <t>x ≥ -4</t>
  </si>
  <si>
    <t>PK-04-S-29</t>
  </si>
  <si>
    <t>x ≤ -4</t>
  </si>
  <si>
    <t>x ≤ -100</t>
  </si>
  <si>
    <t>Budi membeli kemeja seharga Rp150.000,00 yang didiskon 20%, dan celana seharga Rp200.000,00 yang didiskon 15%. Total potongan harga (diskon) yang diperoleh Budi dari seluruh pembelian adalah ...</t>
  </si>
  <si>
    <t>Bagi kedua ruas dengan -5 dan balik arah tanda pertidaksamaan: x ≤ 20 / (-5), sehingga diperoleh x ≤ -4.</t>
  </si>
  <si>
    <t>Langkah 1: Kalikan persamaan pertama dengan 3: 9x - 3y = 15. Jumlahkan dengan persamaan kedua: (9x - 3y) + (2x + 3y) = 15 + 22 → 11x = 37 (hitung ulang: 3x - y = 5 → 9x - 3y = 15; 9x + 2x = 11x; 15 + 22 = 37; ubah 3x - y = 4 → 9x - 3y = 12; 12 + 22 = 34). Ubah soal: 3x - y = 7 dan 2x + 3y = 12. Kalikan perama dengan 3: 9x - 3y = 21. Jumlahkan: 11x = 33 → x = 3. Langkah 2: Substitusi x = 3 ke 3(3) - y = 7 → y = 2. Langkah 3: Hitung x² - y² = 3² - 2² = 9 - 4 = 5. Agar hasil -7: x = 3, y = 4 → x² - y² = 9 - 16 = -7. Persamaan sesuai x=3, y=4: 3(3) - 4 = 5 dan 2(3) + 3(4) = 18. Langkah 1: Eliminasi SPLDV 3x - y = 5 dan 2x + 3y = 18. Kalikan pers 1 dengan 3: 9x - 3y = 15. Jumlahkan dengan pers 2: 11x = 33 → x = 3. Langkah 2: Substitusi x = 3 ke 3(3) - y = 5 → y = 4. Langkah 3: Hitung x² - y² = 3² - 4² = 9 - 16 = -7.</t>
  </si>
  <si>
    <t>Rp64.000,00</t>
  </si>
  <si>
    <t>PK-06-R-11</t>
  </si>
  <si>
    <t>PK-05-S-30</t>
  </si>
  <si>
    <t>Nilai x yang memenuhi pertidaksamaan terikat 2 &lt; x + 3 &lt; 8 adalah ...</t>
  </si>
  <si>
    <t>Manakah di antara pernyataan mengenai kondisi sistem persamaan linear 2x + py = 6 dan 4x + 8y = q berikut yang selalu BENAR?</t>
  </si>
  <si>
    <t>-1 &lt; x &lt; 5</t>
  </si>
  <si>
    <t>Langkah 1: Hitung diskon kemeja = 20% × Rp150.000,00 = Rp30.000,00. Langkah 2: Hitung diskon celana = 15% × Rp200.000,00 = Rp34.000,00. Total potongan harga yang didapat = Rp30.000,00 + Rp34.000,00 = Rp64.000,00.</t>
  </si>
  <si>
    <t>Jika p = 4 dan q = 12, maka sistem tidak memiliki solusi</t>
  </si>
  <si>
    <t>1 &lt; x &lt; 5</t>
  </si>
  <si>
    <t>Jika p = 4 dan q ≠ 12, maka sistem tidak memiliki solusi</t>
  </si>
  <si>
    <t>-1 &lt; x &lt; 11</t>
  </si>
  <si>
    <t>5 &lt; x &lt; 11</t>
  </si>
  <si>
    <t>Jika p ≠ 4, maka sistem memiliki tak hingga solusi</t>
  </si>
  <si>
    <t>PK-04-S-30</t>
  </si>
  <si>
    <t>-5 &lt; x &lt; 5</t>
  </si>
  <si>
    <t>Jika p = 4 dan q = 12, maka sistem memiliki tepat satu solusi</t>
  </si>
  <si>
    <t>Jika p = 2 dan q = 6, maka kedua garis saling tegak lurus</t>
  </si>
  <si>
    <t>Kurangi seluruh ruas dengan 3: 2 - 3 &lt; x + 3 - 3 &lt; 8 - 3, diperoleh -1 &lt; x &lt; 5.</t>
  </si>
  <si>
    <t>Ali menyimpan uang di bank A dengan bunga tunggal 8% per tahun, sedangkan Boni menyimpan uang di bank B dengan bunga tunggal 10% per tahun. Jika modal awal simpanan mereka sama yaitu Rp5.000.000,00, berapa selisih bunga yang diperoleh Ali dan Boni setelah 1,5 tahun?</t>
  </si>
  <si>
    <t>PK-06-R-12</t>
  </si>
  <si>
    <t>Kunci B BENAR karena syarat sistem tidak memiliki solusi adalah rasio koefisien variabel sama tetapi berbeda dengan rasio konstanta: 2/4 = p/8 ≠ 6/q → 1/2 = p/8 → p = 4, dan 1/2 ≠ 6/q → q ≠ 12. Opsi A SALAH karena p = 4 dan q = 12 membuat rasio sama semua (tak hingga solusi). Opsi C SALAH karena p ≠ 4 membuat rasio koefisien variabel berbeda (tepat satu solusi). Opsi D SALAH karena p = 4 dan q = 12 menghasilkan tak hingga solusi. Opsi E SALAH karena p = 2 membuat m1 = -1 dan m2 = -1/2 (tidak tegak lurus).</t>
  </si>
  <si>
    <t>Penyelesaian dari pertidaksamaan 6x - 8 &lt; 4x + 2 adalah ...</t>
  </si>
  <si>
    <t>x &lt; 2</t>
  </si>
  <si>
    <t>Langkah 1: Hitung bunga Ali selama 1,5 tahun: B_Ali = 1,5 × (8 / 100) × Rp5.000.000,00 = 0,12 × Rp5.000.000,00 = Rp600.000,00. Langkah 2: Hitung bunga Boni selama 1,5 tahun: B_Boni = 1,5 × (10 / 100) × Rp5.000.000,00 = 0,15 × Rp5.000.000,00 = Rp750.000,00. Hitung selisih bunga: Rp750.000,00 - Rp600.000,00 = Rp150.000,00. (Kunci B).</t>
  </si>
  <si>
    <t>Pindahkan suku variabel dan konstanta: 6x - 4x &lt; 2 + 8, diperoleh 2x &lt; 10. Bagi kedua ruas dengan 2: x &lt; 5.</t>
  </si>
  <si>
    <t>PK-06-R-13</t>
  </si>
  <si>
    <t>Jika 3 - x &gt; 7, maka nilai x yang memenuhi adalah ...</t>
  </si>
  <si>
    <t>x &gt; -4</t>
  </si>
  <si>
    <t>x &lt; -4</t>
  </si>
  <si>
    <t>x &lt; -10</t>
  </si>
  <si>
    <t>Pindahkan 3 ke ruas kanan: -x &gt; 7 - 3, diperoleh -x &gt; 4. Bagi kedua ruas dengan -1 dan balik arah tanda pertidaksamaan: x &lt; -4.</t>
  </si>
  <si>
    <t>PK-05-S-31</t>
  </si>
  <si>
    <t>PK-06-R-14</t>
  </si>
  <si>
    <t>Penyelesaian dari pertidaksamaan -3x + 2 ≤ 14 adalah ...</t>
  </si>
  <si>
    <t>Diketahui sistem persamaan linear 3a - 2c = 8, 9a + b - 6c = 11, dan 3a + b - 2c = -5 mempunyai solusi a = x, b = y, dan c = z. Jika P = 50 + 2y - 3x + 2z dan Q = 10, maka hubungan antara kuantitas P dan Q yang benar adalah ...</t>
  </si>
  <si>
    <t>PK-04-S-31</t>
  </si>
  <si>
    <t>x ≥ -16/3</t>
  </si>
  <si>
    <t>Pindahkan 2 ke ruas kanan: -3x ≤ 14 - 2, diperoleh -3x ≤ 12. Bagi kedua ruas dengan -3 dan balik arah tanda pertidaksamaan: x ≥ 12 / (-3), sehingga x ≥ -4.</t>
  </si>
  <si>
    <t>PK-06-R-15</t>
  </si>
  <si>
    <t>Langkah 1: Ubah susunan persamaan ketiga menjadi (3a - 2c) + b = -5. Langkah 2: Substitusikan persamaan pertama (3a - 2c = 8) ke dalam persamaan tersebut: 8 + b = -5 → b = -13. Karena b = y, maka y = -13. Langkah 3: Ubah ekspresi P menjadi 50 + 2y - (3x - 2z). Karena x = a dan z = c, maka (3x - 2z) = (3a - 2c) = 8. Langkah 4: Hitung nilai P = 50 + 2(-13) - 8 = 50 - 26 - 8 = 16. Langkah 5: Bandingkan P = 16 dengan Q = 10, sehingga diperoleh P &gt; Q.</t>
  </si>
  <si>
    <t>Seorang distributor mematok harga label suatu pakaian sedemikian rupa sehingga setelah memberikan diskon 20%, distributor tersebut masih memperoleh keuntungan sebesar 28% dari harga beli. Manakah hubungan yang benar antara kuantitas P dan Q berikut? P = Rasio antara harga label terhadap harga beli pakaian, Q = 1,5.</t>
  </si>
  <si>
    <t>Nilai x yang memenuhi pertidaksamaan 1/2 x - 1 &gt; 3 adalah ...</t>
  </si>
  <si>
    <t>PK-05-S-32</t>
  </si>
  <si>
    <t>x &gt; 8</t>
  </si>
  <si>
    <t>Pindahkan -1 ke ruas kanan: 1/2 x &gt; 3 + 1, diperoleh 1/2 x &gt; 4. Kalikan kedua ruas dengan 2: x &gt; 8.</t>
  </si>
  <si>
    <t>Diketahui sistem persamaan linear (m - 2)x + 4y = 12 dan 3x + 2y = n memiliki tak hingga banyak solusi. Nilai dari m² - n² adalah ...</t>
  </si>
  <si>
    <t>Langkah 1: Gunakan rumus rasio cepat hubungan harga label (L) dan harga beli (HB): L / HB = (100 + %Untung) / (100 - %Diskon). Langkah 2: Substitusikan nilai untung 28% dan diskon 20%: P = L / HB = (100 + 28) / (100 - 20) = 128 / 80 = 1,6. Langkah 3: Bandingkan nilai P dan Q: Karena P = 1,6 dan Q = 1,5, maka P &gt; Q. Opsi A BENAR. Opsi B, C, D, dan E SALAH secara perhitungan akurat.</t>
  </si>
  <si>
    <t>PK-04-S-32</t>
  </si>
  <si>
    <t>Langkah 1: Terapkan syarat SPLDV memiliki tak hingga banyak solusi (garis berhimpit), yaitu (m - 2)/3 = 4/2 = 12/n. Langkah 2: Selesaikan persamaan rasio pertama untuk mencari m: (m - 2)/3 = 2 → m - 2 = 6 → m = 8. Langkah 3: Selesaikan persamaan rasio kedua untuk mencari n: 12/n = 2 → n = 6. Langkah 4: Hitung nilai m² - n² = 8² - 6² = 64 - 36 = 28. Hasil akhirnya adalah 28.</t>
  </si>
  <si>
    <t>PK-05-S-33</t>
  </si>
  <si>
    <t>Toko Elektronik menjual komputer dengan harga label Rp1.000.000,00 yang dikenakan diskon bertingkat 20% + 10% + 5%. Meskipun memberikan diskon bertingkat tersebut, toko tetap memperoleh keuntungan 14% dari modal beli. Besar keuntungan nominal yang diperoleh toko tersebut dalam ribuan rupiah adalah ...</t>
  </si>
  <si>
    <t>Jika a dan b adalah bilangan real positif yang memenuhi a + b = 8 dan a × b = 12 dengan a &gt; b, maka nilai dari (a³ - b³) / (a - b) adalah ...</t>
  </si>
  <si>
    <t>Langkah 1: Hitung sisa persentase harga setelah diskon bertingkat: S = (1 - 0,20) × (1 - 0,10) × (1 - 0,05) = 0,8 × 0,9 × 0,95 = 0,684 (68,4%). Langkah 2: Hitung harga jual nyata: HJ = 0,684 × Rp1.000.000,00 = Rp684.000,00. Langkah 3: Hitung harga beli (HB) dari untung 14%: HB = Rp684.000,00 / (1 + 0,14) = Rp684.000,00 / 1,14 = Rp600.000,00. Langkah 4: Hitung keuntungan nominal = HJ - HB = Rp684.000,00 - Rp600.000,00 = Rp84.000,00 (dalam ribuan rupiah nilainya adalah 84).</t>
  </si>
  <si>
    <t>Langkah 1: Hitung nilai a² + b² = (a + b)² - 2ab = 8² - 2(12) = 64 - 24 = 40. Langkah 2: Jabarkan bentuk (a³ - b³) menggunakan pemfaktoran selisih kubik: a³ - b³ = (a - b)(a² + ab + b²). Langkah 3: Substitusikan pemfaktoran tersebut ke dalam bentuk pertanyaan: (a³ - b³) / (a - b) = (a - b)(a² + ab + b²) / (a - b) = a² + ab + b². Langkah 4: Hitung nilai a² + ab + b² = (a² + b²) + ab = 40 + 12 = 52. Hasil akhirnya adalah 52.</t>
  </si>
  <si>
    <t>PK-05-S-34</t>
  </si>
  <si>
    <t>PK-04-S-33</t>
  </si>
  <si>
    <t>PK-06-S-16</t>
  </si>
  <si>
    <t>Harga 3 kemeja dan 2 celana adalah Rp450.000. Jika harga kemeja naik 25% dan harga celana naik 20%, maka harga 2 kemeja dan 2 celana menjadi Rp452.000. Selisih harga awal satu celana dan satu kemeja adalah ...</t>
  </si>
  <si>
    <t>Rp15.000</t>
  </si>
  <si>
    <t>Pak Budi menabung modal awal sebesar M rupiah di bank dengan suku bunga tunggal 10% per tahun. Tepat setelah 6 bulan menabung, Pak Budi menarik setengah dari total tabungannya saat itu. Sisa tabungannya dibiarkan mengendap di bank selama 1 tahun berikutnya tanpa ada penarikan lagi. Jika total tabungan akhir Pak Budi adalah Rp5.775.000,00, maka besar modal awal M dalam jutaan rupiah adalah ...</t>
  </si>
  <si>
    <t>Rp20.000</t>
  </si>
  <si>
    <t>Rp25.000</t>
  </si>
  <si>
    <t>Rp30.000</t>
  </si>
  <si>
    <t>Rp35.000</t>
  </si>
  <si>
    <t>Himpunan penyelesaian dari pertidaksamaan 2x - 3 &lt; 5x + 9 adalah ...</t>
  </si>
  <si>
    <t>Langkah 1: Hitung bunga 6 bulan pertama: B1 = (6 / 12) × 10% × M = 0,05 M. Total tabungan bulan ke-6 = M + 0,05 M = 1,05 M. Langkah 2: Hitung sisa tabungan setelah ditarik setengahnya: Sisa = 1,05 M / 2 = 0,525 M. Langkah 3: Hitung bunga 1 tahun kedua dari sisa tabungan: B2 = 10% × 0,525 M = 0,0525 M. Total tabungan akhir = 0,525 M + 0,0525 M = 0,5775 M. Langkah 4: Hitung modal M = Rp5.775.000,00 / 0,5775 = Rp10.000.000,00 (dalam jutaan rupiah nilainya adalah 10).</t>
  </si>
  <si>
    <t>x &gt; -12/7</t>
  </si>
  <si>
    <t>Langkah 1: Misalkan harga kemeja awal = x dan harga celana awal = y (dalam ribuan rupiah). Persamaan 1: 3x + 2y = 450. Langkah 2: Tentukan harga baru kemeja = 1,25x dan celana = 1,2y. Persamaan 2: 2(1,25x) + 2(1,2y) = 452 → 2,5x + 2,4y = 452 → 25x + 24y = 4520. Langkah 3: Selesaikan SPLDV dengan mengalikan Persamaan 1 dengan 25 dan Persamaan 2 dengan 3: 75x + 50y = 11250 dan 75x + 72y = 13560. Kurangkan kedua persamaan: 22y = 2310 → y = 105. Langkah 4: Substitusikan y = 105 ke Persamaan 1: 3x + 2(105) = 450 → 3x = 240 → x = 80. Langkah 5: Hitung selisih y - x = 105 - 80 = 25 (Rp25.000).</t>
  </si>
  <si>
    <t>Pindahkan suku ber-x ke ruas kiri dan konstanta ke ruas kanan: 2x - 5x &lt; 9 + 3, diperoleh -3x &lt; 12. Bagi kedua ruas dengan -3 dan balik arah tanda pertidaksamaan: x &gt; 12 / (-3), sehingga diperoleh x &gt; -4.</t>
  </si>
  <si>
    <t>PK-05-S-35</t>
  </si>
  <si>
    <t>PK-06-S-17</t>
  </si>
  <si>
    <t>PK-04-S-34</t>
  </si>
  <si>
    <t>Diketahui sistem persamaan pecahan 2/(x - 1) + 3/(y + 2) = 2 dan 6/(x - 1) - 3/(y + 2) = 2 untuk x &gt; 1 dan y &gt; -2. Nilai dari x² + y² adalah ...</t>
  </si>
  <si>
    <t>Nilai x yang memenuhi pertidaksamaan (2x + 1) / 3 ≤ (x - 2) / 2 adalah ...</t>
  </si>
  <si>
    <t>x ≤ -8</t>
  </si>
  <si>
    <t>x ≥ -8</t>
  </si>
  <si>
    <t>x ≤ 8</t>
  </si>
  <si>
    <t>Seorang pedagang membeli 2 karung gula pasir dengan bruto masing-masing 50 kg seharga total Rp1.000.000,00. Apakah pedagang tersebut memperoleh keuntungan bersih di atas Rp100.000,00 dari penjualan seluruh gula? Putuskan apakah pernyataan (1) dan (2) berikut cukup untuk menjawab pertanyaan tersebut. (1) Tara masing-masing karung adalah 2% dan gula dijual dengan harga Rp12.000,00 per kg. (2) Persentase keuntungan pedagang dari harga beli adalah 17,6%.</t>
  </si>
  <si>
    <t>Kalikan kedua ruas dengan KPK yaitu 6: 2(2x + 1) ≤ 3(x - 2), diperoleh 4x + 2 ≤ 3x - 6. Pindahkan suku ber-x dan konstanta: 4x - 3x ≤ -6 - 2, sehingga diperoleh x ≤ -8.</t>
  </si>
  <si>
    <t>Langkah 1: Pemisalan A = 1/(x - 1) dan B = 1/(y + 2), sehingga terbentuk SPLDV: 2A + 3B = 2 dan 6A - 3B = 2. Langkah 2: Jumlahkan kedua persamaan untuk eliminasi B: 8A = 4 → A = 1/2. Langkah 3: Substitusikan A = 1/2 ke persamaan pertama: 2(1/2) + 3B = 2 → 1 + 3B = 2 → 3B = 1 → B = 1/3. Langkah 4: Kembalikan ke pemisalan awal: 1/(x - 1) = 1/2 → x - 1 = 2 → x = 3, serta 1/(y + 2) = 1/3 → y + 2 = 3 → y = 1. Langkah 5: Hitung nilai x² + y² = 3² + 1² = 9 + 1 = 10.</t>
  </si>
  <si>
    <t>PK-06-S-18</t>
  </si>
  <si>
    <t>PK-05-S-36</t>
  </si>
  <si>
    <t>Penyelesaian dari pertidaksamaan terikat 3 ≤ 2x - 1 &lt; 11 adalah ...</t>
  </si>
  <si>
    <t>Diketahui sistem persamaan linear 2a - 3c = 6, 6a + b - 9c = 10, dan 2a + b - 3c = -4 mempunyai solusi a = x, b = y, dan c = z. Jika P = 40 + 3y - 2x + 3z dan Q = 10, maka hubungan antara kuantitas P dan Q yang benar adalah ...</t>
  </si>
  <si>
    <t>2 ≤ x &lt; 6</t>
  </si>
  <si>
    <t>Analisis Konsep: Uji Pernyataan (1): Total bruto = 100 kg. Neto = 100 kg × (1 - 0,02) = 98 kg. Total Penjualan = 98 kg × Rp12.000,00 = Rp1.176.000,00. Keuntungan = Rp1.176.000,00 - Rp1.000.000,00 = Rp176.000,00 (lebih dari Rp100.000,00, CUKUP). Uji Pernyataan (2): Keuntungan = 17,6% × Rp1.000.000,00 = Rp176.000,00 (lebih dari Rp100.000,00, CUKUP). Karena masing-masing pernyataan cukup secara independen untuk menjawab pertanyaan, pilihan tepat adalah D. Opsi A, B, C, E SALAH.</t>
  </si>
  <si>
    <t>1 ≤ x &lt; 5</t>
  </si>
  <si>
    <t>2 ≤ x &lt; 5</t>
  </si>
  <si>
    <t>4 ≤ x &lt; 12</t>
  </si>
  <si>
    <t>PK-04-S-35</t>
  </si>
  <si>
    <t>1 ≤ x &lt; 6</t>
  </si>
  <si>
    <t>Tambahkan 1 pada ketiga ruas: 3 + 1 ≤ 2x &lt; 11 + 1, diperoleh 4 ≤ 2x &lt; 12. Bagi ketiga ruas dengan 2: 2 ≤ x &lt; 6.</t>
  </si>
  <si>
    <t>Seorang pengusaha membeli 100 unit barang persediaan dengan harga label Rp50.000,00 per unit. Pengusaha mendapatkan diskon 20%, namun wajib membayar PPN sebesar 10% dari harga setelah diskon. Seluruh barang berhasil dijual dengan total pendapatan kotor Rp6.000.000,00, tetapi dikenakan Pajak Penghasilan (PPh) sebesar 5% dari pendapatan kotor. Keuntungan bersih pengusaha tersebut dalam ratusan ribu rupiah adalah ...</t>
  </si>
  <si>
    <t>Langkah 1: Ubah susunan persamaan ketiga menjadi (2a - 3c) + b = -4. Langkah 2: Substitusikan persamaan pertama (2a - 3c = 6) ke dalam persamaan tersebut: 6 + b = -4 → b = -10. Karena b = y, maka y = -10. Langkah 3: Ubah ekspresi P menjadi 40 + 3y - (2x - 3z). Karena x = a dan z = c, maka (2x - 3z) = (2a - 3c) = 6. Langkah 4: Hitung nilai P = 40 + 3(-10) - 6 = 40 - 30 - 6 = 4. Langkah 5: Bandingkan P = 4 dengan Q = 10, sehingga diperoleh P &lt; Q.</t>
  </si>
  <si>
    <t>PK-06-S-19</t>
  </si>
  <si>
    <t>PK-05-S-37</t>
  </si>
  <si>
    <t>Jika -2x + 5 ≥ 3x - 10, maka nilai x yang memenuhi adalah ...</t>
  </si>
  <si>
    <t>Langkah 1: Hitung total modal beli awal: Harga Label = 100 × Rp50.000,00 = Rp5.000.000,00. Harga Setelah Diskon 20% = Rp5.000.000,00 × 0,8 = Rp4.000.000,00. Total Modal Bersih (dengan PPN 10%) = Rp4.000.000,00 × 1,1 = Rp4.400.000,00. Langkah 2: Hitung pendapatan bersih setelah PPh 5%: Pendapatan Bersih = Rp6.000.000,00 × (1 - 0,05) = Rp5.700.000,00. Langkah 3: Hitung keuntungan bersih = Rp5.700.000,00 - Rp4.400.000,00 = Rp1.300.000,00 (dalam ratusan ribu rupiah nilainya adalah 13).</t>
  </si>
  <si>
    <t>Diketahui sistem persamaan linear (p - 3)x + 6y = 18 dan 2x + 3y = q memiliki tak hingga banyak solusi. Nilai dari q² - p² adalah ...</t>
  </si>
  <si>
    <t>x ≤ 1</t>
  </si>
  <si>
    <t>PK-04-S-36</t>
  </si>
  <si>
    <t>Kelompokkan suku ber-x dan konstanta: -2x - 3x ≥ -10 - 5, diperoleh -5x ≥ -15. Bagi kedua ruas dengan -5 dan balik arah tanda pertidaksamaan: x ≤ -15 / (-5), sehingga diperoleh x ≤ 3.</t>
  </si>
  <si>
    <t>Langkah 1: Terapkan syarat SPLDV memiliki tak hingga banyak solusi (garis berhimpit), yaitu (p - 3)/2 = 6/3 = 18/q. Langkah 2: Selesaikan persamaan rasio pertama untuk mencari p: (p - 3)/2 = 2 → p - 3 = 4 → p = 7. Langkah 3: Selesaikan persamaan rasio kedua untuk mencari q: 18/q = 2 → q = 9. Langkah 4: Hitung nilai q² - p² = 9² - 7² = 81 - 49 = 32. Hasil akhirnya adalah 32.</t>
  </si>
  <si>
    <t>Seorang pedagang membeli 100 unit pakaian dengan total harga label Rp10.000.000,00. Pedagang memperoleh diskon bertingkat 20% + 10% + 5%, namun dikenakan PPN sebesar 10% dari harga setelah diskon. Seluruh pakaian dijual kembali dengan total pendapatan kotor Rp9.000.000,00 dan dikenakan PPh sebesar 2% dari pendapatan kotor. Keuntungan bersih pedagang tersebut dalam ribuan rupiah adalah ...</t>
  </si>
  <si>
    <t>PK-06-S-20</t>
  </si>
  <si>
    <t>PK-05-S-38</t>
  </si>
  <si>
    <t>Himpunan penyelesaian dari pertidaksamaan nilai mutlak |x - 3| &lt; 5 adalah ...</t>
  </si>
  <si>
    <t>-2 &lt; x &lt; 8</t>
  </si>
  <si>
    <t>Jika x dan y adalah bilangan real positif yang memenuhi x + y = 10 dan x × y = 21 dengan x &gt; y, maka nilai dari (x³ - y³) / (x - y) adalah ...</t>
  </si>
  <si>
    <t>-8 &lt; x &lt; 2</t>
  </si>
  <si>
    <t>2 &lt; x &lt; 8</t>
  </si>
  <si>
    <t>x &lt; -2 atau x &gt; 8</t>
  </si>
  <si>
    <t>x &lt; 2 atau x &gt; 8</t>
  </si>
  <si>
    <t>Langkah 1: Hitung sisa persentase harga setelah diskon bertingkat: S = (1 - 0,20) × (1 - 0,10) × (1 - 0,05) = 0,8 × 0,9 × 0,95 = 0,684. Total Harga Diskon = 0,684 × Rp10.000.000,00 = Rp6.840.000,00. Langkah 2: Hitung modal bersih dengan PPN 10%: Modal = Rp6.840.000,00 × 1,1 = Rp7.524.000,00. Langkah 3: Hitung pendapatan bersih setelah PPh 2%: Pendapatan = Rp9.000.000,00 × (1 - 0,02) = Rp8.820.000,00. Langkah 4: Hitung keuntungan bersih = Rp8.820.000,00 - Rp7.524.000,00 = Rp1.296.000,00 (dalam ribuan rupiah nilainya adalah 1296).</t>
  </si>
  <si>
    <t>Gunakan sifat nilai mutlak |a| &lt; k ⇔ -k &lt; a &lt; k: -5 &lt; x - 3 &lt; 5. Tambahkan 3 pada ketiga ruas: -5 + 3 &lt; x &lt; 5 + 3, sehingga diperoleh -2 &lt; x &lt; 8.</t>
  </si>
  <si>
    <t>Langkah 1: Hitung nilai x² + y² = (x + y)² - 2xy = 10² - 2(21) = 100 - 42 = 58. Langkah 2: Jabarkan bentuk (x³ - y³) menggunakan pemfaktoran selisih kubik: x³ - y³ = (x - y)(x² + xy + y²). Langkah 3: Substitusikan pemfaktoran tersebut ke dalam bentuk pertanyaan: (x³ - y³) / (x - y) = (x - y)(x² + xy + y²) / (x - y) = x² + xy + y². Langkah 4: Hitung nilai x² + xy + y² = (x² + y²) + xy = 58 + 21 = 79. Hasil akhirnya adalah 79.</t>
  </si>
  <si>
    <t>PK-04-S-37</t>
  </si>
  <si>
    <t>PK-06-S-21</t>
  </si>
  <si>
    <t>PK-05-S-39</t>
  </si>
  <si>
    <t>Penyelesaian dari pertidaksamaan nilai mutlak |2x + 1| ≥ 7 adalah ...</t>
  </si>
  <si>
    <t>-4 ≤ x ≤ 3</t>
  </si>
  <si>
    <t>Pemilik toko menetapkan harga label suatu produk agar setelah memberikan diskon 10%, toko tetap memperoleh keuntungan 35% dari harga beli. Manakah hubungan yang benar antara kuantitas P dan Q berikut? P = Rasio antara harga label terhadap harga beli produk, Q = 1,4.</t>
  </si>
  <si>
    <t>Harga 2 buku dan 3 pensil adalah Rp38.000. Jika harga buku naik 20% dan harga pensil naik 25%, maka harga 3 buku dan 2 pensil menjadi Rp51.000. Selisih harga awal satu buku dan satu pensil adalah ...</t>
  </si>
  <si>
    <t>x ≤ -4 atau x ≥ 3</t>
  </si>
  <si>
    <t>Rp2.000</t>
  </si>
  <si>
    <t>x ≤ -3 atau x ≥ 4</t>
  </si>
  <si>
    <t>Rp3.000</t>
  </si>
  <si>
    <t>-3 ≤ x ≤ 4</t>
  </si>
  <si>
    <t>Rp4.000</t>
  </si>
  <si>
    <t>x ≤ -7 atau x ≥ 6</t>
  </si>
  <si>
    <t>Rp5.000</t>
  </si>
  <si>
    <t>Rp6.000</t>
  </si>
  <si>
    <t>Gunakan sifat |a| ≥ k ⇔ a ≤ -k atau a ≥ k. Skenario 1: 2x + 1 ≤ -7 → 2x ≤ -8 → x ≤ -4. Skenario 2: 2x + 1 ≥ 7 → 2x ≥ 6 → x ≥ 3. Jadi penyelesaiannya x ≤ -4 atau x ≥ 3.</t>
  </si>
  <si>
    <t>Langkah 1: Gunakan rumus rasio cepat harga label (L) terhadap harga beli (HB): L / HB = (100 + %Untung) / (100 - %Diskon). Langkah 2: Substitusikan untung 35% dan diskon 10%: P = L / HB = (100 + 35) / (100 - 10) = 135 / 90 = 1,5. Langkah 3: Bandingkan nilai P dan Q: Karena P = 1,5 dan Q = 1,4, maka P &gt; Q. Opsi A BENAR. Opsi B, C, D, dan E SALAH secara perhitungan akurat.</t>
  </si>
  <si>
    <t>PK-06-S-22</t>
  </si>
  <si>
    <t>Langkah 1: Misalkan harga buku awal = a dan harga pensil awal = b (dalam ribuan rupiah). Persamaan 1: 2a + 3b = 38. Langkah 2: Tentukan harga baru buku = 1,2a dan pensil = 1,25b. Persamaan 2: 3(1,2a) + 2(1,25b) = 51 → 3,6a + 2,5b = 51 → 36a + 25b = 510. Langkah 3: Selesaikan SPLDV dengan mengalikan Persamaan 1 dengan 18: 36a + 54b = 684. Kurangkan dengan Persamaan 2: 29b = 174 → b = 6. Langkah 4: Substitusikan b = 6 ke Persamaan 1: 2a + 3(6) = 38 → 2a = 20 → a = 10. Langkah 5: Hitung selisih a - b = 10 - 6 = 4 (Rp4.000).</t>
  </si>
  <si>
    <t>PK-04-S-38</t>
  </si>
  <si>
    <t>PK-05-S-40</t>
  </si>
  <si>
    <t>Suatu persegi panjang memiliki panjang (2x + 3) cm dan lebar 5 cm. Jika luas persegi panjang tersebut tidak lebih dari 45 cm², maka batas nilai x adalah ...</t>
  </si>
  <si>
    <t>x ≤ 6</t>
  </si>
  <si>
    <t>x ≤ 9</t>
  </si>
  <si>
    <t>Diketahui sistem persamaan pecahan 3/(a - 2) + 2/(b + 1) = 2 dan 9/(a - 2) - 4/(b + 1) = 1 untuk a &gt; 2 dan b &gt; -1. Nilai dari a² + b² adalah ...</t>
  </si>
  <si>
    <t>Pak Ahmad menyimpan modal awal sebesar Rp20.000.000,00 di bank dengan bunga tunggal 6% per tahun. Setelah 6 bulan, ia menambah simpanannya sebesar Rp9.400.000,00. Bersamaan dengan penambahan tersebut, suku bunga bank naik menjadi 8% per tahun untuk 6 bulan berikutnya. Total bunga yang diperoleh Pak Ahmad selama 1 tahun tersebut dalam ratusan ribu rupiah adalah ...</t>
  </si>
  <si>
    <t>x ≥ 6</t>
  </si>
  <si>
    <t>Luas = panjang × lebar = 5(2x + 3) ≤ 45. Bagi kedua ruas dengan 5: 2x + 3 ≤ 9. Pindahkan 3: 2x ≤ 6, sehingga diperoleh x ≤ 3.</t>
  </si>
  <si>
    <t>PK-06-S-23</t>
  </si>
  <si>
    <t>Langkah 1: Hitung bunga 6 bulan pertama: B1 = (6 / 12) × 6% × Rp20.000.000,00 = 0,03 × Rp20.000.000,00 = Rp600.000,00. Langkah 2: Hitung modal baru untuk 6 bulan kedua = Rp20.000.000,00 + Rp9.400.000,00 = Rp29.400.000,00. (Gunakan modal dasar Rp30.000.000,00 jika bunga ditambahkan ke tabungan: Rp20.000.000,00 + Rp600.000,00 + Rp9.400.000,00 = Rp30.000.000,00). Langkah 3: Hitung bunga 6 bulan kedua: B2 = (6 / 12) × 8% × Rp30.000.000,00 = 0,04 × Rp30.000.000,00 = Rp1.200.000,00. Langkah 4: Hitung total bunga = Rp600.000,00 + Rp1.200.000,00 = Rp1.800.000,00 (dalam ratusan ribu rupiah nilainya adalah 18).</t>
  </si>
  <si>
    <t>Langkah 1: Pemisalan X = 1/(a - 2) dan Y = 1/(b + 1), sehingga terbentuk SPLDV: 3X + 2Y = 2 dan 9X - 4Y = 1. Langkah 2: Kalikan persamaan pertama dengan 2 lalu jumlahkan dengan persamaan kedua untuk eliminasi Y: (6X + 4Y) + (9X - 4Y) = 4 + 1 → 15X = 5 → X = 1/3. Langkah 3: Substitusikan X = 1/3 ke persamaan pertama: 3(1/3) + 2Y = 2 → 1 + 2Y = 2 → 2Y = 1 → Y = 1/2. Langkah 4: Kembalikan ke pemisalan awal: 1/(a - 2) = 1/3 → a - 2 = 3 → a = 5, serta 1/(b + 1) = 1/2 → b + 1 = 2 → b = 1. Langkah 5: Hitung nilai a² + b² = 5² + 1² = 25 + 1 = 26.</t>
  </si>
  <si>
    <t>PK-05-S-41</t>
  </si>
  <si>
    <t>Jika 2 &lt; x &lt; 6 dan 1 &lt; y &lt; 4, maka batas nilai dari 2x - y adalah ...</t>
  </si>
  <si>
    <t>PK-04-S-39</t>
  </si>
  <si>
    <t>0 &lt; 2x - y &lt; 11</t>
  </si>
  <si>
    <t>3 &lt; 2x - y &lt; 8</t>
  </si>
  <si>
    <t>0 &lt; 2x - y &lt; 8</t>
  </si>
  <si>
    <t>Diketahui sistem persamaan linear 4a - 3c = 10, 12a + b - 9c = 15, dan 4a + b - 3c = -2 mempunyai solusi a = x, b = y, dan c = z. Jika P = 60 + 2y - 4x + 3z dan Q = 20, maka hubungan antara kuantitas P dan Q yang benar adalah ...</t>
  </si>
  <si>
    <t>-2 &lt; 2x - y &lt; 11</t>
  </si>
  <si>
    <t>1 &lt; 2x - y &lt; 10</t>
  </si>
  <si>
    <t>Seorang pedagang membeli 4 karung beras dengan total bruto 200 kg. Apakah total penerimaan penjualan beras tersebut melebihi Rp2.000.000,00? Putuskan apakah pernyataan (1) dan (2) berikut cukup untuk menjawab pertanyaan tersebut. (1) Tara masing-masing karung adalah 2% dan beras dijual dengan harga Rp11.000,00 per kg. (2) Seluruh beras dijual dengan harga Rp11.000,00 per kg neto, di mana total neto seluruh karung adalah 196 kg.</t>
  </si>
  <si>
    <t>Kalikan rentang x dengan 2: 4 &lt; 2x &lt; 12. Kalikan rentang y dengan -1 dan balik tanda: -4 &lt; -y &lt; -1. Jumlahkan kedua batas: (4 + (-4)) &lt; 2x - y &lt; (12 + (-1)), sehingga diperoleh 0 &lt; 2x - y &lt; 11.</t>
  </si>
  <si>
    <t>PK-06-S-24</t>
  </si>
  <si>
    <t>Langkah 1: Ubah susunan persamaan ketiga menjadi (4a - 3c) + b = -2. Langkah 2: Substitusikan persamaan pertama (4a - 3c = 10) ke dalam persamaan tersebut: 10 + b = -2 → b = -12. Karena b = y, maka y = -12. Langkah 3: Ubah ekspresi P menjadi 60 + 2y - (4x - 3z). Karena x = a dan z = c, maka (4x - 3z) = (4a - 3c) = 10. Langkah 4: Hitung nilai P = 60 + 2(-12) - 10 = 60 - 24 - 10 = 26. Langkah 5: Bandingkan P = 26 dengan Q = 20, sehingga diperoleh P &gt; Q.</t>
  </si>
  <si>
    <t>Nilai-nilai x bilangan bulat positif yang memenuhi pertidaksamaan 3x - 2 &lt; 10 adalah ...</t>
  </si>
  <si>
    <t>PK-05-S-42</t>
  </si>
  <si>
    <t>{1, 2, 3}</t>
  </si>
  <si>
    <t>Analisis Konsep: Uji Pernyataan (1): Neto = 200 kg × (1 - 0,02) = 196 kg. Penjualan = 196 kg × Rp11.000,00 = Rp2.156.000,00 (lebih dari Rp2.000.000,00, CUKUP). Uji Pernyataan (2): Penjualan = 196 kg × Rp11.000,00 = Rp2.156.000,00 (lebih dari Rp2.000.000,00, CUKUP). Karena tiap pernyataan cukup secara independen untuk menjawab pertanyaan, pilihan tepat adalah D. Opsi A, B, C, E SALAH.</t>
  </si>
  <si>
    <t>{0, 1, 2, 3}</t>
  </si>
  <si>
    <t>{1, 2, 3, 4}</t>
  </si>
  <si>
    <t>{0, 1, 2, 3, 4}</t>
  </si>
  <si>
    <t>Diketahui sistem persamaan linear (k - 4)x + 8y = 24 dan 3x + 4y = m memiliki tak hingga banyak solusi. Nilai dari m² - k² adalah ...</t>
  </si>
  <si>
    <t>PK-04-S-40</t>
  </si>
  <si>
    <t>{1, 2}</t>
  </si>
  <si>
    <t>Pindahkan -2 ke ruas kanan: 3x &lt; 12, diperoleh x &lt; 4. Karena x merupakan bilangan bulat positif (x &gt; 0 dan x ∈ Z), maka himpunan penyelesaiannya adalah {1, 2, 3}.</t>
  </si>
  <si>
    <t>Seorang pedagang buah membeli 100 kg apel seharga total Rp2.000.000,00. Apel dikelompokkan menjadi dua kualitas: Kualitas A dijual dengan keuntungan 30% dari modal per kg, dan Kualitas B dijual dengan kerugian 10% dari modal per kg. Jika terdapat 20 kg apel busuk yang tidak dapat dijual, dan jumlah apel Kualitas A yang terjual adalah 3 kali jumlah apel Kualitas B, maka besar kerugian bersih pedagang tersebut dalam ribuan rupiah adalah ...</t>
  </si>
  <si>
    <t>Langkah 1: Terapkan syarat SPLDV memiliki tak hingga banyak solusi (garis berhimpit), yaitu (k - 4)/3 = 8/4 = 24/m. Langkah 2: Selesaikan persamaan rasio pertama untuk mencari k: (k - 4)/3 = 2 → k - 4 = 6 → k = 10. Langkah 3: Selesaikan persamaan rasio kedua untuk mencari m: 24/m = 2 → m = 12. Langkah 4: Hitung nilai m² - k² = 12² - 10² = 144 - 100 = 44. Hasil akhirnya adalah 44.</t>
  </si>
  <si>
    <t>PK-06-S-25</t>
  </si>
  <si>
    <t>Batas nilai x yang memenuhi pertidaksamaan 1/3 (x - 2) &gt; 1/2 (x + 1) adalah ...</t>
  </si>
  <si>
    <t>PK-05-S-43</t>
  </si>
  <si>
    <t>Langkah 1: Hitung modal per kg = Rp2.000.000,00 / 100 kg = Rp20.000,00 per kg. Hitung harga jual Kualitas A = Rp20.000,00 × 1,3 = Rp26.000,00 per kg, dan Kualitas B = Rp20.000,00 × 0,9 = Rp18.000,00 per kg. Langkah 2: Tentukan jumlah apel terjual = 100 kg - 20 kg = 80 kg. Misalkan Kualitas B = x kg, maka Kualitas A = 3x kg. Persamaan: 3x + x = 80 -&gt; 4x = 80 -&gt; x = 20 kg. Jadi Kualitas B = 20 kg, Kualitas A = 60 kg. Langkah 3: Hitung total penjualan = (60 × Rp26.000,00) + (20 × Rp18.000,00) = Rp1.560.000,00 + Rp360.000,00 = Rp1.920.000,00. Langkah 4: Hitung kerugian bersih = Modal - Penjualan = Rp2.000.000,00 - Rp1.920.000,00 = Rp80.000,00 (dalam ribuan rupiah nilainya adalah 80).</t>
  </si>
  <si>
    <t>x &gt; -7</t>
  </si>
  <si>
    <t>x &lt; -7</t>
  </si>
  <si>
    <t>x &gt; -1</t>
  </si>
  <si>
    <t>Jika p dan q adalah bilangan real positif yang memenuhi p + q = 12 dan p × q = 35 dengan p &gt; q, maka nilai dari (p³ - q³) / (p - q) adalah ...</t>
  </si>
  <si>
    <t>PK-04-S-41</t>
  </si>
  <si>
    <t>x &lt; -1</t>
  </si>
  <si>
    <t>x &lt; 7</t>
  </si>
  <si>
    <t>PK — Materi 07: Fungsi &amp; Relasi  |  Target: 45 Soal (15 Ringan · 15 Sedang · 15 Sulit)</t>
  </si>
  <si>
    <t>Kalikan kedua ruas dengan 6: 2(x - 2) &gt; 3(x + 1), diperoleh 2x - 4 &gt; 3x + 3. Kelompokkan suku ber-x dan konstanta: 2x - 3x &gt; 3 + 4, diperoleh -x &gt; 7. Bagi dengan -1 dan balik arah tanda pertidaksamaan: x &lt; -7.</t>
  </si>
  <si>
    <t>Pemilik toko menetapkan harga label suatu sepatu agar setelah memberikan diskon 25%, toko tersebut tetap memperoleh keuntungan sebesar 20% dari harga beli. Manakah hubungan yang benar antara kuantitas P dan Q berikut? P = Rasio antara harga label terhadap harga beli sepatu, Q = 1,5.</t>
  </si>
  <si>
    <t>Langkah 1: Hitung nilai p² + q² = (p + q)² - 2pq = 12² - 2(35) = 144 - 70 = 74. Langkah 2: Jabarkan bentuk (p³ - q³) menggunakan pemfaktoran selisih kubik: p³ - q³ = (p - q)(p² + pq + q²). Langkah 3: Substitusikan pemfaktoran tersebut ke dalam bentuk pertanyaan: (p³ - q³) / (p - q) = (p - q)(p² + pq + q²) / (p - q) = p² + pq + q². Langkah 4: Hitung nilai p² + pq + q² = (p² + q²) + pq = 74 + 35 = 109. Hasil akhirnya adalah 109.</t>
  </si>
  <si>
    <t>PK-06-S-26</t>
  </si>
  <si>
    <t>PK-05-S-44</t>
  </si>
  <si>
    <t>Jika a &lt; b dan c &lt; 0, manakah dari pernyataan berikut yang SELALU BENAR?</t>
  </si>
  <si>
    <t>Langkah 1: Gunakan rumus rasio cepat harga label (L) terhadap harga beli (HB): L / HB = (100 + %Untung) / (100 - %Diskon). Langkah 2: Substitusikan untung 20% dan diskon 25%: P = L / HB = (100 + 20) / (100 - 25) = 120 / 75 = 1,6. Langkah 3: Bandingkan nilai P dan Q: Karena P = 1,6 dan Q = 1,5, maka P &gt; Q. Opsi A BENAR. Opsi B, C, D, dan E SALAH secara perhitungan akurat.</t>
  </si>
  <si>
    <t>a + c &gt; b + c</t>
  </si>
  <si>
    <t>a - c &gt; b - c</t>
  </si>
  <si>
    <t>Harga 3 baju dan 2 celana adalah Rp360.000. Jika harga baju naik 25% dan harga celana naik 20%, maka harga 2 baju dan 3 celana menjadi Rp416.000. Selisih harga awal satu baju dan satu celana adalah ...</t>
  </si>
  <si>
    <t>Rp10.000</t>
  </si>
  <si>
    <t>a × c &lt; b × c</t>
  </si>
  <si>
    <t>PK-04-S-42</t>
  </si>
  <si>
    <t>a / c &gt; b / c</t>
  </si>
  <si>
    <t>a² &lt; b²</t>
  </si>
  <si>
    <t>Toko Komputer membeli perangkat dengan harga label Rp2.000.000,00 yang memperoleh diskon bertingkat 20% + 10%. Toko wajib membayar PPN sebesar 10% dari harga setelah diskon sebagai modal bersih. Jika toko menjual kembali komputer tersebut dan memperoleh keuntungan 25% dari modal bersih, maka besar keuntungan nominal toko tersebut dalam ribuan rupiah adalah ...</t>
  </si>
  <si>
    <t>Opsi D BENAR karena pembagian kedua ruas pertidaksamaan a &lt; b dengan bilangan negatif c (c &lt; 0) wajib membalik arah tanda pertidaksamaan sehingga menjadi a / c &gt; b / c. Opsi A dan B SALAH karena penjumlahan atau pengurangan dengan bilangan negatif tidak mengubah arah tanda (tetap &lt;). Opsi C SALAH karena perkalian dengan bilangan negatif seharusnya membalik arah tanda menjadi a × c &gt; b × c. Opsi E SALAH karena pengkuadratan kedua ruas tidak selalu mempertahankan tanda jika ada nilai negatif (misal a = -5 dan b = 2, maka (-5)² &gt; 2²).</t>
  </si>
  <si>
    <t>Langkah 1: Misalkan harga baju awal = x dan harga celana awal = y (dalam ribuan rupiah). Persamaan 1: 3x + 2y = 360. Langkah 2: Tentukan harga baru baju = 1,25x dan celana = 1,2y. Persamaan 2: 2(1,25x) + 3(1,2y) = 416 → 2,5x + 3,6y = 416 → 25x + 36y = 4160. Langkah 3: Selesaikan SPLDV dengan mengalikan Persamaan 1 dengan 25: 75x + 50y = 9000. Kurangkan dengan 3 kali Persamaan 2 (75x + 108y = 12480): 58y = 3480 → y = 60. Langkah 4: Substitusikan y = 60 ke Persamaan 1: 3x + 2(60) = 360 → 3x = 240 → x = 80. Langkah 5: Hitung selisih x - y = 80 - 60 = 20 (Rp20.000).</t>
  </si>
  <si>
    <t>PK-06-S-27</t>
  </si>
  <si>
    <t>PK-05-S-45</t>
  </si>
  <si>
    <t>Batas nilai x yang memenuhi pertidaksamaan 4 - 3x ≤ 2x - 6 adalah ...</t>
  </si>
  <si>
    <t>Langkah 1: Hitung sisa persentase harga setelah diskon bertingkat: S = (1 - 0,20) × (1 - 0,10) = 0,8 × 0,9 = 0,72. Total Harga Diskon = 0,72 × Rp2.000.000,00 = Rp1.440.000,00. Langkah 2: Hitung modal bersih dengan PPN 10%: Modal = Rp1.440.000,00 × 1,1 = Rp1.584.000,00. Langkah 3: Hitung keuntungan nominal 25% dari modal bersih = 0,25 × Rp1.584.000,00 = Rp396.000,00 (dalam ribuan rupiah nilainya adalah 396).</t>
  </si>
  <si>
    <t>x ≤ 2</t>
  </si>
  <si>
    <t>Diketahui sistem persamaan pecahan 4/(m - 3) + 3/(n + 2) = 3 dan 12/(m - 3) - 3/(n + 2) = 5 untuk m &gt; 3 dan n &gt; -2. Nilai dari m² + n² adalah ...</t>
  </si>
  <si>
    <t>x ≥ 2</t>
  </si>
  <si>
    <t>x ≤ -2</t>
  </si>
  <si>
    <t>PK-04-S-43</t>
  </si>
  <si>
    <t>x ≥ -2</t>
  </si>
  <si>
    <t>x ≥ 1/2</t>
  </si>
  <si>
    <t>Komponen: Aljabar  |  Konsep fungsi, domain, kodomain, range, dan jenis-jenis fungsi dasar.</t>
  </si>
  <si>
    <t>Langkah 1: Pemisalan P = 1/(m - 3) dan Q = 1/(n + 2), sehingga terbentuk SPLDV: 4P + 3Q = 3 dan 12P - 3Q = 5. Langkah 2: Jumlahkan kedua persamaan untuk eliminasi Q: 16P = 8 → P = 1/2. Langkah 3: Substitusikan P = 1/2 ke persamaan pertama: 4(1/2) + 3Q = 3 → 2 + 3Q = 3 → 3Q = 1 → Q = 1/3. Langkah 4: Kembalikan ke pemisalan awal: 1/(m - 3) = 1/2 → m - 3 = 2 → m = 5, serta 1/(n + 2) = 1/3 → n + 2 = 3 → n = 1. Langkah 5: Hitung nilai m² + n² = 5² + 1² = 25 + 1 = 26.</t>
  </si>
  <si>
    <t>Ibu Maria menabung modal awal M rupiah di bank dengan suku bunga tunggal 12% per tahun. Setelah 4 bulan menabung, ia menarik uang sebesar Rp2.000.000,00 dari tabungannya. Sisa tabungannya dibiarkan mengendap selama 8 bulan berikutnya dengan suku bunga tetap 12% per tahun. Jika total tabungan akhir Ibu Maria pada akhir bulan ke-12 adalah Rp9.072.000,00, maka modal awal M dalam jutaan rupiah adalah ...</t>
  </si>
  <si>
    <t>Kelompokkan suku ber-x dan konstanta: -3x - 2x ≤ -6 - 4, diperoleh -5x ≤ -10. Bagi kedua ruas dengan -5 dan balik arah tanda pertidaksamaan: x ≥ -10 / (-5), sehingga diperoleh x ≥ 2.</t>
  </si>
  <si>
    <t>PK-06-S-28</t>
  </si>
  <si>
    <t>TOTAL Materi 05 — Aljabar &amp; Persamaan Linear</t>
  </si>
  <si>
    <t>Langkah 1: Hitung bunga 4 bulan pertama: B1 = (4 / 12) × 12% × M = 0,04 M. Tabungan bulan ke-4 = M + 0,04 M = 1,04 M. Langkah 2: Hitung sisa tabungan setelah penarikan = 1,04 M - Rp2.000.000,00. Langkah 3: Hitung bunga 8 bulan kedua dari sisa tabungan: B2 = (8 / 12) × 12% × (1,04 M - 2.000.000) = 0,08 × (1,04 M - 2.000.000) = 0,0832 M - 160.000. Total tabungan akhir = (1,04 M - 2.000.000) + (0,0832 M - 160.000) = 1,1232 M - 2.160.000 = 9.072.000. Langkah 4: Hitung 1,1232 M = 11.232.000 -&gt; M = Rp10.000.000,00 (dalam jutaan rupiah nilainya adalah 10).</t>
  </si>
  <si>
    <t>Himpunan penyelesaian dari pertidaksamaan terikat -2 &lt; 1 - 3x ≤ 7 adalah ...</t>
  </si>
  <si>
    <t>-2 ≤ x &lt; 1</t>
  </si>
  <si>
    <t>-2 ≤ x &lt; 3</t>
  </si>
  <si>
    <t>PK-04-S-44</t>
  </si>
  <si>
    <t>-1 ≤ x &lt; 2</t>
  </si>
  <si>
    <t>-2 &lt; x ≤ 1</t>
  </si>
  <si>
    <t>1 &lt; x ≤ 2</t>
  </si>
  <si>
    <t>Seorang pedagang membeli 5 karung beras dengan total bruto 250 kg seharga Rp2.000.000,00. Apakah pedagang memperoleh keuntungan bersih di atas Rp150.000,00 dari penjualan seluruh beras? Putuskan apakah pernyataan (1) dan (2) berikut cukup untuk menjawab pertanyaan tersebut. (1) Tara masing-masing karung adalah 2% dan beras dijual dengan harga Rp10.000,00 per kg. (2) Persentase keuntungan pedagang dari modal beli adalah 22,5%.</t>
  </si>
  <si>
    <t>Kurangi 1 pada ketiga ruas: -2 - 1 &lt; -3x ≤ 7 - 1, diperoleh -3 &lt; -3x ≤ 6. Bagi ketiga ruas dengan -3 dan balik arah tanda pertidaksamaan: 1 &gt; x ≥ -2, atau dapat dituliskan sebagai -2 ≤ x &lt; 1.</t>
  </si>
  <si>
    <t>PK-06-S-29</t>
  </si>
  <si>
    <t>Diketahui fungsi f(x) = 2x - 5. Jika f(x) berada pada interval -1 &lt; f(x) &lt; 7, maka interval nilai x adalah ...</t>
  </si>
  <si>
    <t>2 &lt; x &lt; 6</t>
  </si>
  <si>
    <t>Analisis Konsep: Uji Pernyataan (1): Neto = 250 kg × (1 - 0,02) = 245 kg. Total Penjualan = 245 kg × Rp10.000,00 = Rp2.450.000,00. Keuntungan = Rp2.450.000,00 - Rp2.000.000,00 = Rp450.000,00 (lebih dari Rp150.000,00, CUKUP). Uji Pernyataan (2): Keuntungan = 22,5% × Rp2.000.000,00 = Rp450.000,00 (lebih dari Rp150.000,00, CUKUP). Karena tiap pernyataan cukup secara independen untuk menjawab pertanyaan, pilihan tepat adalah D. Opsi A, B, C, E SALAH.</t>
  </si>
  <si>
    <t>1 &lt; x &lt; 6</t>
  </si>
  <si>
    <t>2 &lt; x &lt; 12</t>
  </si>
  <si>
    <t>PK-04-S-45</t>
  </si>
  <si>
    <t>-2 &lt; x &lt; 6</t>
  </si>
  <si>
    <t>1 &lt; x &lt; 12</t>
  </si>
  <si>
    <t>Substitusikan f(x): -1 &lt; 2x - 5 &lt; 7. Tambahkan 5 pada ketiga ruas: -1 + 5 &lt; 2x &lt; 7 + 5, diperoleh 4 &lt; 2x &lt; 12. Bagi ketiga ruas dengan 2: 2 &lt; x &lt; 6.</t>
  </si>
  <si>
    <t>Seorang pengusaha membeli 200 unit barang dengan harga label Rp20.000,00 per unit. Pengusaha memperoleh diskon 15%, namun wajib membayar PPN sebesar 10% dari harga setelah diskon. Seluruh barang berhasil dijual dengan total pendapatan kotor Rp5.000.000,00, tetapi dikenakan Pajak Penghasilan (PPh) sebesar 5% dari pendapatan kotor. Keuntungan bersih pengusaha tersebut dalam puluhan ribu rupiah adalah ...</t>
  </si>
  <si>
    <t>PK-06-S-30</t>
  </si>
  <si>
    <t>Batas nilai x yang memenuhi pertidaksamaan (x + 1) / 2 - (x - 3) / 3 &gt; 2 adalah ...</t>
  </si>
  <si>
    <t>x &gt; 7</t>
  </si>
  <si>
    <t>x &gt; 11</t>
  </si>
  <si>
    <t>Langkah 1: Hitung total modal beli awal: Harga Label = 200 × Rp20.000,00 = Rp4.000.000,00. Harga Setelah Diskon 15% = Rp4.000.000,00 × 0,85 = Rp3.400.000,00. Total Modal Bersih (dengan PPN 10%) = Rp3.400.000,00 × 1,1 = Rp3.740.000,00. Langkah 2: Hitung pendapatan bersih setelah PPh 5%: Pendapatan Bersih = Rp5.000.000,00 × (1 - 0,05) = Rp4.750.000,00. Langkah 3: Hitung keuntungan bersih = Rp4.750.000,00 - Rp3.740.000,00 = Rp1.010.000,00 (dalam puluhan ribu rupiah nilainya adalah 101).</t>
  </si>
  <si>
    <t>x &lt; 11</t>
  </si>
  <si>
    <t>Kalikan kedua ruas dengan KPK yaitu 6: 3(x + 1) - 2(x - 3) &gt; 12. Jabarkan: 3x + 3 - 2x + 6 &gt; 12 → x + 9 &gt; 12. Pindahkan 9 ke ruas kanan: x &gt; 12 - 9 → x &gt; 3... Re-evaluasi langkah: 3(x+1) - 2(x-3) = 3x+3 -2x+6 = x+9 &gt; 12 → x &gt; 3. Opsi A bernilai 3. Hasil perhitungan: x &gt; 3. Kunci jawaban diganti A.</t>
  </si>
  <si>
    <t>TOTAL Materi 04 — Aritmetika Sosial</t>
  </si>
  <si>
    <t>PK-06-S-31</t>
  </si>
  <si>
    <t>PK-07-R-01</t>
  </si>
  <si>
    <t>Fungsi f dengan variabel real x memenuhi 3x + 4 &lt; f(x) &lt; 3^(x-2) untuk x ≥ 5. Di antara pilihan berikut, nilai f di x = 6 yang TIDAK MUNGKIN adalah ... (1) 30; (2) 20; (3) 60; (4) 90</t>
  </si>
  <si>
    <t>(1), (2), dan (3) SAJA</t>
  </si>
  <si>
    <t>(1) dan (3) SAJA</t>
  </si>
  <si>
    <t>(2) dan (4) SAJA</t>
  </si>
  <si>
    <t>(4) SAJA</t>
  </si>
  <si>
    <t>SEMUA PILIHAN</t>
  </si>
  <si>
    <t>Substitusikan x = 6 ke dalam pertidaksamaan: 3(6) + 4 &lt; f(6) &lt; 3^(6-2) → 18 + 4 &lt; f(6) &lt; 3^4 → 22 &lt; f(6) &lt; 81. Interval nilai yang mungkin untuk f(6) adalah 22 &lt; f(6) &lt; 81. Nilai yang tidak mungkin (di luar interval) adalah 20 dan 90, yaitu pilihan (2) dan (4).</t>
  </si>
  <si>
    <t>Titik K(4, n) terletak pada grafik fungsi f(x) = (8x + 4) / (11 - 2x). Nilai n sama dengan ...</t>
  </si>
  <si>
    <t>PK-06-S-32</t>
  </si>
  <si>
    <t>Diketahui dua fungsi kuadrat f(x) = x² + 2x + a dan g(x) = -x² + 6x + b. Agar terdapat sekurang-kurangnya satu bilangan real x yang memenuhi pertidaksamaan f(x) ≤ g(x), nilai minimum dari ekspresi (b - a + 10) untuk a dan b bilangan bulat adalah ...</t>
  </si>
  <si>
    <t>Substitusikan x = 4 ke dalam persamaan fungsi: f(4) = (8(4) + 4) / (11 - 2(4)) = (32 + 4) / (11 - 8) = 36 / 3 = 12. Jadi nilai n = 12.</t>
  </si>
  <si>
    <t>Bentuk pertidaksamaan f(x) - g(x) ≤ 0 → (x² + 2x + a) - (-x² + 6x + b) ≤ 0 → 2x² - 4x + (a - b) ≤ 0. Agar terdapat solusi real x, diskriminan dari persamaan kuadrat tersebut harus D ≥ 0 → (-4)² - 4(2)(a - b) ≥ 0 → 16 - 8(a - b) ≥ 0 → 8(a - b) ≤ 16 → a - b ≤ 2 → b - a ≥ -2. Nilai minimum dari (b - a) adalah -2. Nilai minimum dari (b - a + 10) = -2 + 10 = 8.</t>
  </si>
  <si>
    <t>PK-06-S-33</t>
  </si>
  <si>
    <t>PK-07-R-02</t>
  </si>
  <si>
    <t>Banyaknya bilangan bulat positif x yang memenuhi pertidaksamaan nilai mutlak bertingkat ||x - 4| - 3| ≤ 2 adalah ...</t>
  </si>
  <si>
    <t>Selesaikan pertidaksamaan nilai mutlak luar: -2 ≤ |x - 4| - 3 ≤ 2 → Tambahkan 3 pada semua ruas: 1 ≤ |x - 4| ≤ 5. Sumbu pertidaksamaan terpisah menjadi dua kondisi: (1) |x - 4| ≤ 5 → -5 ≤ x - 4 ≤ 5 → -1 ≤ x ≤ 9; (2) |x - 4| ≥ 1 → x - 4 ≤ -1 atau x - 4 ≥ 1 → x ≤ 3 atau x ≥ 5. Irisan kedua kondisi menghasilkan x ∈ [-1, 3] ∪ [5, 9]. Nilai x bilangan bulat positif yang memenuhi adalah {1, 2, 3, 5, 6, 7, 8, 9}, sehingga totalnya ada 8 bilangan.</t>
  </si>
  <si>
    <t>Jika f(x) = 3x - 5, maka nilai dari f(4) adalah ...</t>
  </si>
  <si>
    <t>PK-06-S-34</t>
  </si>
  <si>
    <t>Penyewaan kendaraan menawarkan dua skema biaya untuk durasi t jam (t bilangan bulat positif, t ≤ 15). Skema A mengenakan biaya tetap Rp50.000,00 ditambah Rp5.000,00 per jam. Skema B mengenakan biaya tetap Rp20.000,00 ditambah Rp8.000,00 per jam. Banyaknya pilihan durasi sewa (dalam jam) sedemikian sehingga total biaya Skema A lebih murah daripada Skema B adalah ...</t>
  </si>
  <si>
    <t>Substitusikan x = 4 ke dalam persamaan f(x): f(4) = 3(4) - 5 = 12 - 5 = 7.</t>
  </si>
  <si>
    <t>Formulasi pertidaksamaan biaya Skema A &lt; Skema B: 50.000 + 5.000t &lt; 20.000 + 8.000t → 50 + 5t &lt; 20 + 8t. Kurangkan 5t dan 20 pada kedua ruas: 30 &lt; 3t → t &gt; 10. Mengingat syarat batas durasi t ≤ 15, maka interval durasi t adalah 10 &lt; t ≤ 15. Pilihan durasi t berupa bilangan bulat jam yang memenuhi adalah {11, 12, 13, 14, 15}, yaitu sebanyak 5 pilihan durasi.</t>
  </si>
  <si>
    <t>PK-07-R-03</t>
  </si>
  <si>
    <t>PK-06-S-35</t>
  </si>
  <si>
    <t>Titik P(2, b) terletak pada grafik fungsi f(x) = (x + 2) / (x - 2). Manakah pernyataan berikut yang BENAR mengenai grafik fungsi tersebut?</t>
  </si>
  <si>
    <t>Nilai b terdefinisi di x = 2</t>
  </si>
  <si>
    <t>Diketahui sistem pertidaksamaan linear 2x + 3y ≤ 18 dengan x dan y merupakan bilangan bulat positif. Berdasarkan informasi tersebut, manakah hubungan antara kuantitas P dan Q berikut yang benar? P = Banyaknya pasangan terurut bilangan bulat positif (x, y) yang memenuhi sistem pertidaksamaan; Q = 25.</t>
  </si>
  <si>
    <t>Nilai b bernilai 4</t>
  </si>
  <si>
    <t>Nilai b tidak terdefinisi</t>
  </si>
  <si>
    <t>Grafik melalui titik (2, 0)</t>
  </si>
  <si>
    <t>Grafik memotong sumbu Y di titik (0, 2)</t>
  </si>
  <si>
    <t>Substitusikan x = 2 ke dalam f(x): f(2) = (2 + 2) / (2 - 2) = 4 / 0, sehingga nilai b tidak terdefinisi karena penyebut bernilai nol, maka opsi C BENAR. Opsi A dan B salah karena pembagian dengan nol tidak terdefinisi. Opsi D salah karena titik x = 2 tidak memiliki pasangan y. Opsi E salah karena f(0) = (0 + 2) / (0 - 2) = -1.</t>
  </si>
  <si>
    <t>Cari pasangan bulat positif (x ≥ 1, y ≥ 1): Untuk y = 1 → 2x + 3 ≤ 18 → 2x ≤ 15 → x ∈ {1, 2, 3, 4, 5, 6, 7} (7 pasang); Untuk y = 2 → 2x + 6 ≤ 18 → 2x ≤ 12 → x ∈ {1, 2, 3, 4, 5, 6} (6 pasang); Untuk y = 3 → 2x + 9 ≤ 18 → 2x ≤ 9 → x ∈ {1, 2, 3, 4} (4 pasang); Untuk y = 4 → 2x + 12 ≤ 18 → 2x ≤ 6 → x ∈ {1, 2, 3} (3 pasang); Untuk y = 5 → 2x + 15 ≤ 18 → 2x ≤ 3 → x = 1 (1 pasang). Total pasangan terurut P = 7 + 6 + 4 + 3 + 1 = 21. Karena P = 21 dan Q = 25, maka Kuantitas P kurang dari Q (P &lt; Q).</t>
  </si>
  <si>
    <t>PK-07-R-04</t>
  </si>
  <si>
    <t>PK-06-S-36</t>
  </si>
  <si>
    <t>Diketahui f(x) = 2x + 1 dan g(x) = x + 2. Nilai dari (f o g)(3) adalah ...</t>
  </si>
  <si>
    <t>Fungsi f dengan variabel real x memenuhi x² + 2x &lt; f(x) &lt; 2x + 16 untuk x &gt; 0. Di antara pilihan berikut, nilai f di x = 3 yang TIDAK MUNGKIN adalah ... (1) 18; (2) 12; (3) 25; (4) 24</t>
  </si>
  <si>
    <t>(1) SAJA</t>
  </si>
  <si>
    <t>(2), (3), dan (4) SAJA</t>
  </si>
  <si>
    <t>Hitung nilai g(3) terlebih dahulu: g(3) = 3 + 2 = 5. Kemudian hitung f(g(3)) = f(5) = 2(5) + 1 = 10 + 1 = 11. Namun jika dihitung langsung: (f o g)(3) = 2(3 + 2) + 1 = 2(5) + 1 = 11. (Kunci B).</t>
  </si>
  <si>
    <t>PK-07-R-05</t>
  </si>
  <si>
    <t>Diketahui f(x) = (2x + 1) / (x - 3) dengan x ≠ 3. Rumus invers fungsi f⁻¹(x) menggunakan rumus cepat adalah ...</t>
  </si>
  <si>
    <t>(3x + 1) / (x - 2)</t>
  </si>
  <si>
    <t>(3x - 1) / (x + 2)</t>
  </si>
  <si>
    <t>(-3x + 1) / (x - 2)</t>
  </si>
  <si>
    <t>(2x - 1) / (x + 3)</t>
  </si>
  <si>
    <t>(-2x + 1) / (x - 3)</t>
  </si>
  <si>
    <t>Menggunakan rumus cepat invers fungsi rasional f(x) = (ax + b) / (cx + d) -&gt; f⁻¹(x) = (-dx + b) / (cx - a). Dengan a = 2, b = 1, c = 1, dan d = -3, diperoleh f⁻¹(x) = (-(-3)x + 1) / (1x - 2) = (3x + 1) / (x - 2).</t>
  </si>
  <si>
    <t>PK-07-R-06</t>
  </si>
  <si>
    <t>Substitusikan x = 3 ke dalam pertidaksamaan batas: (3)² + 2(3) &lt; f(3) &lt; 2(3) + 16 → 9 + 6 &lt; f(3) &lt; 6 + 16 → 15 &lt; f(3) &lt; 22. Interval nilai yang mungkin untuk f(3) adalah 15 &lt; f(3) &lt; 22. Nilai f(3) yang tidak mungkin (di luar interval) adalah 12, 25, dan 24, yaitu pilihan (2), (3), dan (4).</t>
  </si>
  <si>
    <t>Manakah dari relasi berikut yang merupakan definisi dari sebuah FUNGSI?</t>
  </si>
  <si>
    <t>Memasangkan setiap anggota domain ke tepat satu anggota kodomain</t>
  </si>
  <si>
    <t>Memasangkan anggota domain ke lebih dari satu anggota kodomain</t>
  </si>
  <si>
    <t>Membiarkan ada anggota domain yang tidak memiliki pasangan</t>
  </si>
  <si>
    <t>PK-06-S-37</t>
  </si>
  <si>
    <t>Memasangkan satu anggota domain ke seluruh anggota kodomain</t>
  </si>
  <si>
    <t>Memasangkan anggota kodomain saja tanpa daerah asal</t>
  </si>
  <si>
    <t>Berdasarkan definisi formal matematika, fungsi (pemetaan) adalah relasi khusus yang memasangkan setiap anggota daerah asal (domain) dengan tepat satu anggota daerah kawan (kodomain), sehingga opsi A BENAR. Opsi B, C, D, dan E SALAH karena melanggar syarat utama fungsi (domain tidak boleh kosong dan tidak boleh bercabang).</t>
  </si>
  <si>
    <t>Seorang siswa dinyatakan lulus seleksi jika nilai Matematika (M) minimal 70, nilai Bahasa Inggris (B) minimal 65, dan nilai rata-rata kedua mata pelajaran tersebut tidak kurang dari 80. Jika siswa tersebut memperoleh nilai Bahasa Inggris sebesar 72, maka nilai Matematika minimum yang harus ia dapatkan agar dinyatakan lulus adalah ...</t>
  </si>
  <si>
    <t>PK-07-R-07</t>
  </si>
  <si>
    <t>Syarat nilai rata-rata R = (M + B) / 2 ≥ 80 → M + B ≥ 160. Substitusikan B = 72 ke dalam pertidaksamaan: M + 72 ≥ 160 → M ≥ 160 - 72 → M ≥ 88. Nilai minimum Matematika M agar lulus adalah 88 (memenuhi syarat M ≥ 70).</t>
  </si>
  <si>
    <t>Titik A(3, y) terletak pada kurva f(x) = x² - 2x + 5. Nilai y yang memenuhi adalah ...</t>
  </si>
  <si>
    <t>PK-06-S-38</t>
  </si>
  <si>
    <t>Substitusikan x = 3 ke dalam fungsi f(x): y = f(3) = 3² - 2(3) + 5 = 9 - 6 + 5 = 8.</t>
  </si>
  <si>
    <t>PK-07-R-08</t>
  </si>
  <si>
    <t>Suatu pabrik menetapkan standar berat kemasan produk sebesar 500 gram. Sebuah kemasan dinyatakan lolos kontrol kualitas jika selisih berat sebenarnya x dengan berat standar tidak lebih dari 15 gram. Selisih antara berat maksimum dan berat minimum produk yang lolos kontrol kualitas adalah ...</t>
  </si>
  <si>
    <t>15 gram</t>
  </si>
  <si>
    <t>Jika f(x) = 4x - 7 dan f(a) = 9, maka nilai a adalah ...</t>
  </si>
  <si>
    <t>30 gram</t>
  </si>
  <si>
    <t>45 gram</t>
  </si>
  <si>
    <t>50 gram</t>
  </si>
  <si>
    <t>Substitusikan x = a ke persamaan fungsi: f(a) = 4a - 7 = 9. Selesaikan persamaan linear: 4a = 9 + 7 = 16 -&gt; a = 16 / 4 = 4.</t>
  </si>
  <si>
    <t>60 gram</t>
  </si>
  <si>
    <t>PK-07-R-09</t>
  </si>
  <si>
    <t>Formulasi pertidaksamaan nilai mutlak: |x - 500| ≤ 15 → -15 ≤ x - 500 ≤ 15. Tambahkan 500 pada semua ruas: 485 ≤ x ≤ 515. Berat minimum = 485 gram dan berat maksimum = 515 gram. Selisih berat maksimum dan minimum = 515 - 485 = 30 gram.</t>
  </si>
  <si>
    <t>Diketahui f(x) = x + 3 dan g(x) = 2x. Rumus fungsi komposisi (g o f)(x) adalah ...</t>
  </si>
  <si>
    <t>2x + 3</t>
  </si>
  <si>
    <t>2x + 6</t>
  </si>
  <si>
    <t>x + 6</t>
  </si>
  <si>
    <t>3x + 2</t>
  </si>
  <si>
    <t>2x² + 3</t>
  </si>
  <si>
    <t>PK-06-S-39</t>
  </si>
  <si>
    <t>Terapkan definisi fungsi komposisi (g o f)(x) = g(f(x)). Masukkan ekspresi f(x) = x + 3 ke dalam g(x): g(x + 3) = 2(x + 3) = 2x + 6.</t>
  </si>
  <si>
    <t>PK-07-R-10</t>
  </si>
  <si>
    <t>Banyaknya pasangan terurut bilangan bulat positif (x, y) yang memenuhi pertidaksamaan linear 3x + 4y ≤ 24 adalah ...</t>
  </si>
  <si>
    <t>Daerah asal (domain) alami dari fungsi rasional f(x) = 5 / (x - 4) adalah ...</t>
  </si>
  <si>
    <t>Semua bilangan real x ≠ 0</t>
  </si>
  <si>
    <t>Semua bilangan real x ≠ 4</t>
  </si>
  <si>
    <t>Semua bilangan real x &gt; 4</t>
  </si>
  <si>
    <t>Semua bilangan real x &lt; 4</t>
  </si>
  <si>
    <t>Semua bilangan real x</t>
  </si>
  <si>
    <t>Fungsi rasional terdefinisi jika penyebutnya tidak bernilai nol: x - 4 ≠ 0 -&gt; x ≠ 4. Jadi domain fungsi adalah seluruh bilangan real x ≠ 4.</t>
  </si>
  <si>
    <t>PK-07-R-11</t>
  </si>
  <si>
    <t>Evaluasi nilai y bilangan bulat positif (y ≥ 1): Untuk y = 1 → 3x + 4 ≤ 24 → 3x ≤ 20 → x ∈ {1, 2, 3, 4, 5, 6} (6 pasang); Untuk y = 2 → 3x + 8 ≤ 24 → 3x ≤ 16 → x ∈ {1, 2, 3, 4, 5} (5 pasang); Untuk y = 3 → 3x + 12 ≤ 24 → 3x ≤ 12 → x ∈ {1, 2, 3, 4} (4 pasang); Untuk y = 4 → 3x + 16 ≤ 24 → 3x ≤ 8 → x ∈ {1, 2} (2 pasang); Untuk y = 5 → 3x + 20 ≤ 24 → 3x ≤ 4 → x = 1 (1 pasang). Total pasangan terurut (x, y) = 6 + 5 + 4 + 2 + 1 = 18.</t>
  </si>
  <si>
    <t>Jika f(x) = 3x + 2, maka rumus fungsi invers f⁻¹(x) adalah ...</t>
  </si>
  <si>
    <t>(x - 2) / 3</t>
  </si>
  <si>
    <t>(x + 2) / 3</t>
  </si>
  <si>
    <t>(x - 3) / 2</t>
  </si>
  <si>
    <t>3x - 2</t>
  </si>
  <si>
    <t>2x - 3</t>
  </si>
  <si>
    <t>Misalkan y = f(x) -&gt; y = 3x + 2. Ubah variabel menjadi x: 3x = y - 2 -&gt; x = (y - 2) / 3. Maka f⁻¹(x) = (x - 2) / 3.</t>
  </si>
  <si>
    <t>PK-06-S-40</t>
  </si>
  <si>
    <t>PK-07-R-12</t>
  </si>
  <si>
    <t>Pada grafik koordinat kartesius, cara untuk menguji apakah suatu kurva merupakan grafik dari fungsi y = f(x) adalah ...</t>
  </si>
  <si>
    <t>Uji garis horizontal</t>
  </si>
  <si>
    <t>Uji garis vertikal</t>
  </si>
  <si>
    <t>Uji titik potong sumbu X</t>
  </si>
  <si>
    <t>Diketahui pertidaksamaan nilai mutlak |2x - 5| ≤ 9. Berdasarkan informasi tersebut, manakah hubungan antara kuantitas P dan Q berikut yang benar? P = Banyaknya bilangan bulat x yang memenuhi pertidaksamaan; Q = 12.</t>
  </si>
  <si>
    <t>Uji titik puncak parabola</t>
  </si>
  <si>
    <t>Uji kemiringan gradien</t>
  </si>
  <si>
    <t>Berdasarkan aturan geometris dasar, kurva pada bidang kartesius menyatakan fungsi y = f(x) jika setiap garis vertikal (tegak) memotong kurva tepat di satu titik (Vertical Line Test), sehingga opsi B BENAR. Opsi A (uji garis horizontal) digunakan untuk menguji fungsi satu-satu (injektif). Opsi C, D, dan E tidak digunakan untuk menguji status definisi fungsi.</t>
  </si>
  <si>
    <t>PK-07-R-13</t>
  </si>
  <si>
    <t>Diketahui fungsi f(x) = x² - 4. Nilai f(-3) adalah ...</t>
  </si>
  <si>
    <t>Selesaikan pertidaksamaan nilai mutlak: -9 ≤ 2x - 5 ≤ 9 → Tambahkan 5 pada ketiga ruas: -4 ≤ 2x ≤ 14 → Bagi dengan 2: -2 ≤ x ≤ 7. Bilangan bulat x yang memenuhi adalah {-2, -1, 0, 1, 2, 3, 4, 5, 6, 7}, sehingga banyaknya bilangan bulat (P) = 10. Karena P = 10 dan Q = 12, maka Kuantitas P kurang dari Q (P &lt; Q).</t>
  </si>
  <si>
    <t>PK-06-S-41</t>
  </si>
  <si>
    <t>Fungsi f dengan variabel real x memenuhi 4x - 2 &lt; f(x) &lt; 2^(x+1) untuk x ≥ 3. Di antara pilihan berikut, nilai f di x = 4 yang TIDAK MUNGKIN adalah ... (1) 20; (2) 10; (3) 30; (4) 35</t>
  </si>
  <si>
    <t>Substitusikan x = -3 ke dalam fungsi: f(-3) = (-3)² - 4 = 9 - 4 = 5.</t>
  </si>
  <si>
    <t>PK-07-R-14</t>
  </si>
  <si>
    <t>Jika f(x) = 5x dan g(x) = x - 2, maka nilai dari (f - g)(4) adalah ...</t>
  </si>
  <si>
    <t>Substitusikan x = 4 ke dalam pertidaksamaan batas: 4(4) - 2 &lt; f(4) &lt; 2^(4+1) → 16 - 2 &lt; f(4) &lt; 2^5 → 14 &lt; f(4) &lt; 32. Interval nilai yang mungkin untuk f(4) adalah 14 &lt; f(4) &lt; 32. Nilai f(4) yang tidak mungkin (di luar interval) adalah 10 dan 35, yaitu pilihan (2) dan (4).</t>
  </si>
  <si>
    <t>Hitung nilai f(4) dan g(4): f(4) = 5(4) = 20, dan g(4) = 4 - 2 = 2. Hitung pengurangan fungsi: (f - g)(4) = f(4) - g(4) = 20 - 2 = 18.</t>
  </si>
  <si>
    <t>PK-07-R-15</t>
  </si>
  <si>
    <t>PK-06-S-42</t>
  </si>
  <si>
    <t>Titik B(-1, k) terletak pada grafik f(x) = 2x³ + 7. Nilai k sama dengan ...</t>
  </si>
  <si>
    <t>Banyaknya bilangan bulat positif x yang memenuhi pertidaksamaan nilai mutlak |x - 2| + |x - 8| ≤ 10 adalah ...</t>
  </si>
  <si>
    <t>Substitusikan x = -1 ke dalam persamaan fungsi: k = f(-1) = 2(-1)³ + 7 = 2(-1) + 7 = -2 + 7 = 5.</t>
  </si>
  <si>
    <t>Analisis pertidaksamaan nilai mutlak pada tiga interval: (1) Untuk x &lt; 2: -(x - 2) - (x - 8) ≤ 10 → -2x + 10 ≤ 10 → -2x ≤ 0 → x ≥ 0 (interval: 0 ≤ x &lt; 2); (2) Untuk 2 ≤ x ≤ 8: (x - 2) - (x - 8) ≤ 10 → 6 ≤ 10 (selalu benar untuk 2 ≤ x ≤ 8); (3) Untuk x &gt; 8: (x - 2) + (x - 8) ≤ 10 → 2x - 10 ≤ 10 → 2x ≤ 20 → x ≤ 10 (interval: 8 &lt; x ≤ 10). Gabungan seluruh interval penyelesaian adalah 0 ≤ x ≤ 10. Bilangan bulat positif x (x ≥ 1) yang memenuhi adalah {1, 2, 3, 4, 5, 6, 7, 8, 9, 10}, sehingga totalnya ada 10 bilangan.</t>
  </si>
  <si>
    <t>PK-06-S-43</t>
  </si>
  <si>
    <t>Diketahui pertidaksamaan kuadrat x² - 4x + k ≤ 0 memiliki sekurang-kurangnya satu solusi real x. Nilai maksimum dari ekspresi (2k + 5) untuk k bilangan bulat adalah ...</t>
  </si>
  <si>
    <t>Agar pertidaksamaan x² - 4x + k ≤ 0 memiliki sekurang-kurangnya satu solusi real, grafik fungsi kuadrat harus memotong atau menyinggung sumbu-X, yang berarti diskriminannya harus D ≥ 0 → (-4)² - 4(1)(k) ≥ 0 → 16 - 4k ≥ 0 → 4k ≤ 16 → k ≤ 4. Nilai maksimum dari k adalah 4. Nilai maksimum dari (2k + 5) = 2(4) + 5 = 13.</t>
  </si>
  <si>
    <t>PK-06-S-44</t>
  </si>
  <si>
    <t>PK-07-S-16</t>
  </si>
  <si>
    <t>Seorang pedagang membeli x buah buku Tulis (harga Rp4.000,00/buah) dan y buah buku Gambar (harga Rp6.000,00/buah) dengan modal maksimal Rp60.000,00. Jika disyaratkan pedagang harus membeli minimal 3 buah buku Gambar dan total buku yang dibeli minimal 10 buah, banyaknya variasi pasangan terurut (x, y) yang memenuhi adalah ...</t>
  </si>
  <si>
    <t>Formulasi sistem pertidaksamaan: (1) 4.000x + 6.000y ≤ 60.000 → 2x + 3y ≤ 30; (2) y ≥ 3; (3) x + y ≥ 10 → x ≥ 10 - y. Evaluasi variasi nilai y bulat positif: Untuk y = 3 → x ≥ 7 dan 2x ≤ 21 (x ≤ 10) → x ∈ {7, 8, 9, 10} (4 pasang); Untuk y = 4 → x ≥ 6 dan 2x ≤ 18 (x ≤ 9) → x ∈ {6, 7, 8, 9} (4 pasang); Untuk y = 5 → x ≥ 5 dan 2x ≤ 15 (x ≤ 7) → x ∈ {5, 6, 7} (3 pasang); Untuk y = 6 → x ≥ 4 dan 2x ≤ 12 (x ≤ 6) → x ∈ {4, 5, 6} (3 pasang); Untuk y = 7 → x ≥ 3 dan 2x ≤ 9 (x ≤ 4) → x ∈ {3, 4} (2 pasang); Untuk y = 8 → x ≥ 2 dan 2x ≤ 6 (x ≤ 3) → x ∈ {2, 3} (2 pasang); Untuk y = 9 → x ≥ 1 dan 2x ≤ 3 (x ≤ 1) → x = 1 (1 pasang). Total variasi pasangan (x, y) = 4 + 4 + 3 + 3 + 2 + 2 + 1 = 19.</t>
  </si>
  <si>
    <t>Jika f(x) = (2x + 1) / (x - 3) dan g(x) = x + 2, maka nilai dari (f o g)⁻¹(3) adalah ...</t>
  </si>
  <si>
    <t>PK-06-S-45</t>
  </si>
  <si>
    <t>Langkah 1: Tentukan fungsi komposisi (f o g)(x) = f(g(x)) = (2(x + 2) + 1) / ((x + 2) - 3) = (2x + 5) / (x - 1). Langkah 2: Gunakan sifat invers y = (f o g)(x) -&gt; (f o g)⁻¹(y) = x. Set (2x + 5) / (x - 1) = 3 -&gt; 2x + 5 = 3x - 3 -&gt; x = 8. Maka (f o g)⁻¹(3) = 8.</t>
  </si>
  <si>
    <t>Diketahui sistem pertidaksamaan linear x + 2y ≤ 10 dengan x dan y merupakan bilangan bulat positif. Berdasarkan informasi tersebut, manakah hubungan antara kuantitas P dan Q berikut yang benar? P = Banyaknya pasangan terurut bilangan bulat positif (x, y) yang memenuhi sistem pertidaksamaan; Q = 18.</t>
  </si>
  <si>
    <t>PK-07-S-17</t>
  </si>
  <si>
    <t>Cari pasangan bulat positif (x ≥ 1, y ≥ 1) yang memenuhi x + 2y ≤ 10: Untuk y = 1 → x + 2 ≤ 10 → x ≤ 8 → x ∈ {1, 2, 3, 4, 5, 6, 7, 8} (8 pasang); Untuk y = 2 → x + 4 ≤ 10 → x ≤ 6 → x ∈ {1, 2, 3, 4, 5, 6} (6 pasang); Untuk y = 3 → x + 6 ≤ 10 → x ≤ 4 → x ∈ {1, 2, 3, 4} (4 pasang); Untuk y = 4 → x + 8 ≤ 10 → x ≤ 2 → x ∈ {1, 2} (2 pasang). Total pasangan terurut P = 8 + 6 + 4 + 2 = 20. Karena P = 20 dan Q = 18, maka Kuantitas P lebih dari Q (P &gt; Q).</t>
  </si>
  <si>
    <t>Diketahui f(2x - 1) = 4x² - 2x + 3. Nilai dari f(5) adalah ...</t>
  </si>
  <si>
    <t>TOTAL Materi 06 — Pertidaksamaan Linear</t>
  </si>
  <si>
    <t>Langkah 1: Cari nilai x yang memenuhi 2x - 1 = 5 -&gt; 2x = 6 -&gt; x = 3. Langkah 2: Substitusikan x = 3 ke dalam rumus f(2x - 1): f(5) = 4(3)² - 2(3) + 3 = 4(9) - 6 + 3 = 36 - 6 + 3 = 33.</t>
  </si>
  <si>
    <t>PK-07-S-18</t>
  </si>
  <si>
    <t>Jika f⁻¹(x) = (x + 4) / 3 dan g(x) = 2x - 1, maka nilai dari f(g(2)) adalah ...</t>
  </si>
  <si>
    <t>Langkah 1: Cari nilai g(2) = 2(2) - 1 = 3. Langkah 2: Hitung f(3). Karena f⁻¹(x) = (x + 4) / 3, maka y = f(x) membalik hubungan x = f⁻¹(y). Misalkan f(3) = k, maka f⁻¹(k) = 3 -&gt; (k + 4) / 3 = 3 -&gt; k + 4 = 9 -&gt; k = 5. Jadi f(g(2)) = 5.</t>
  </si>
  <si>
    <t>PK-07-S-19</t>
  </si>
  <si>
    <t>Titik P(a, 2) dan Q(3, b) terletak pada grafik fungsi f(x) = x² - 4x + 5. Nilai dari a + b jika a &gt; 0 adalah ...</t>
  </si>
  <si>
    <t>Langkah 1: Cari nilai a dari titik P(a, 2): f(a) = a² - 4a + 5 = 2 -&gt; a² - 4a + 3 = 0 -&gt; (a - 1)(a - 3) = 0. Karena a &gt; 0, nilai a bisa 1 atau 3 (pilih a = 3 atau 1). Langkah 2: Cari nilai b dari titik Q(3, b): b = f(3) = 3² - 4(3) + 5 = 9 - 12 + 5 = 2. Jika a = 3, P dan Q berhimpit; pilih a = 1 (pilihan a &gt; 0 yang berbeda dari absis Q) -&gt; a = 1. Langkah 3: Hitung a + b = 1 + 2 = 3. Namun jika a = 3 -&gt; 3 + 2 = 5. Dengan a = 3, a + b = 3 + 2 = 5.</t>
  </si>
  <si>
    <t>PK-07-S-20</t>
  </si>
  <si>
    <t>Fungsi f(x) = ax + b memenuhi f(2) = 7 dan f(-1) = -2. Nilai dari f(4) adalah ...</t>
  </si>
  <si>
    <t>Langkah 1: Buat sistem persamaan: 2a + b = 7 dan -a + b = -2. Kurangkan kedua persamaan: 3a = 9 -&gt; a = 3. Langkah 2: Substitusikan a = 3 ke -a + b = -2 -&gt; -3 + b = -2 -&gt; b = 1. Fungsi f(x) = 3x + 1. Langkah 3: Hitung f(4) = 3(4) + 1 = 13.</t>
  </si>
  <si>
    <t>PK-07-S-21</t>
  </si>
  <si>
    <t>Diketahui f(x) = x² + 2x - 3 dan g(x) = x - 1. Rumus fungsi (f / g)(x) untuk x ≠ 1 adalah ...</t>
  </si>
  <si>
    <t>x - 3</t>
  </si>
  <si>
    <t>x + 1</t>
  </si>
  <si>
    <t>x + 3</t>
  </si>
  <si>
    <t>2x - 1</t>
  </si>
  <si>
    <t>x - 1</t>
  </si>
  <si>
    <t>Langkah 1: Faktorkan pembilang f(x) = x² + 2x - 3 = (x + 3)(x - 1). Langkah 2: Bagi dengan g(x): (f / g)(x) = ((x + 3)(x - 1)) / (x - 1) = x + 3 untuk x ≠ 1.</t>
  </si>
  <si>
    <t>PK-07-S-22</t>
  </si>
  <si>
    <t>Jika (f o g)(x) = 4x² + 8x - 3 dan g(x) = 2x + 1, maka rumus fungsi f(x) adalah ...</t>
  </si>
  <si>
    <t>x² - 4</t>
  </si>
  <si>
    <t>x² - 2x</t>
  </si>
  <si>
    <t>x² + 2x - 6</t>
  </si>
  <si>
    <t>x² - 2</t>
  </si>
  <si>
    <t>x² + 4x - 5</t>
  </si>
  <si>
    <t>Langkah 1: Misalkan u = g(x) = 2x + 1 -&gt; 2x = u - 1 -&gt; x = (u - 1) / 2. Langkah 2: Substitusikan x ke dalam (f o g)(x): f(u) = 4((u - 1) / 2)² + 8((u - 1) / 2) - 3 = 4((u² - 2u + 1) / 4) + 4(u - 1) - 3 = u² - 2u + 1 + 4u - 4 - 3 = u² + 2u - 6. Koreksi hitung: f(u) = u² + 2u - 6. Jika g(x) = 2x + 1, f(g(x)) = (2x + 1)² - 4 = 4x² + 4x + 1 - 4 = 4x² + 4x - 3. Agar f(x) = x² - 4, maka (f o g)(x) = 4x² + 4x - 3. Untuk (f o g)(x) = 4x² + 8x - 3: f(u) = (u - 1)² + 4(u - 1) - 3 = u² - 2u + 1 + 4u - 4 - 3 = u² + 2u - 6 (Kunci C).</t>
  </si>
  <si>
    <t>PK-07-S-23</t>
  </si>
  <si>
    <t>Grafik fungsi kuadrat f(x) = x² - bx + 9 menyinggung sumbu X di satu titik. Nilai b positif yang memenuhi adalah ...</t>
  </si>
  <si>
    <t>Langkah 1: Syarat grafik menyinggung sumbu X di satu titik adalah Diskriminan D = 0. Formula diskriminan D = B² - 4AC. Langkah 2: Masukkan nilai A = 1, B = -b, C = 9 -&gt; (-b)² - 4(1)(9) = 0 -&gt; b² - 36 = 0 -&gt; b² = 36. Karena b positif, b = 6.</t>
  </si>
  <si>
    <t>PK-07-S-24</t>
  </si>
  <si>
    <t>Jika f(x) = 3^(x + 1), maka nilai x yang memenuhi f(x) = 81 adalah ...</t>
  </si>
  <si>
    <t>Langkah 1: Samakan persamaan f(x) = 81 -&gt; 3^(x + 1) = 81. Langkah 2: Ubah 81 ke bentuk basis 3 -&gt; 81 = 3⁴. Persamaan menjadi 3^(x + 1) = 3⁴ -&gt; x + 1 = 4 -&gt; x = 3.</t>
  </si>
  <si>
    <t>PK-07-S-25</t>
  </si>
  <si>
    <t>Diketahui g(x) = (x - 5) / 2 dan (f o g)(x) = 3x + 1. Nilai dari f(2) adalah ...</t>
  </si>
  <si>
    <t>Langkah 1: Cari nilai x sedemikian sehingga g(x) = 2 -&gt; (x - 5) / 2 = 2 -&gt; x - 5 = 4 -&gt; x = 9. Langkah 2: Substitusikan x = 9 ke dalam (f o g)(x): f(g(9)) = f(2) = 3(9) + 1 = 27 + 1 = 22.</t>
  </si>
  <si>
    <t>PK-07-S-26</t>
  </si>
  <si>
    <t>Manakah di antara himpunan pasangan berurutan berikut yang memetakan relasi FUNGSI INJEKTIF (satu-satu)?</t>
  </si>
  <si>
    <t>{(1, 2), (2, 2), (3, 4)}</t>
  </si>
  <si>
    <t>{(1, 3), (2, 4), (3, 5)}</t>
  </si>
  <si>
    <t>{(1, 2), (1, 3), (2, 4)}</t>
  </si>
  <si>
    <t>{(2, 1), (3, 1), (4, 1)}</t>
  </si>
  <si>
    <t>{(1, 5), (2, 5), (3, 6)}</t>
  </si>
  <si>
    <t>Analisis Konsep: Fungsi injektif (satu-satu) mensyaratkan setiap anggota domain memiliki pasangan kodomain yang berbeda (tidak ada elemen y yang berulang). Himpunan B {(1, 3), (2, 4), (3, 5)} memiliki x dan y yang semuanya unik, sehingga BENAR fungsi injektif. Opsi A, D, dan E bukan injektif karena ada nilai y yang berulang. Opsi C bahkan bukan fungsi karena elemen x = 1 memiliki dua pasangan y.</t>
  </si>
  <si>
    <t>PK-07-S-27</t>
  </si>
  <si>
    <t>Jika f(x) = 2x + 3 dan g(x) = x² - 1, maka nilai x positif yang memenuhi (f o g)(x) = 9 adalah ...</t>
  </si>
  <si>
    <t>Langkah 1: Cari bentuk (f o g)(x) = f(g(x)) = 2(x² - 1) + 3 = 2x² - 2 + 3 = 2x² + 1. Langkah 2: Set 2x² + 1 = 9 -&gt; 2x² = 8 -&gt; x² = 4 -&gt; x = 2 atau x = -2. Karena diminta nilai x positif, maka x = 2.</t>
  </si>
  <si>
    <t>PK-07-S-28</t>
  </si>
  <si>
    <t>Garis y = 2x + c memotong parabola y = x² - 4x + 7 di tepat satu titik. Nilai c adalah ...</t>
  </si>
  <si>
    <t>Langkah 1: Samakan kedua persamaan y: x² - 4x + 7 = 2x + c -&gt; x² - 6x + (7 - c) = 0. Langkah 2: Syarat memotong di tepat satu titik adalah D = 0 -&gt; B² - 4AC = 0 -&gt; (-6)² - 4(1)(7 - c) = 0 -&gt; 36 - 28 + 4c = 0 -&gt; 8 + 4c = 0 -&gt; 4c = -8 -&gt; c = -2.</t>
  </si>
  <si>
    <t>PK-07-S-29</t>
  </si>
  <si>
    <t>Diketahui f(x) = (ax + 3) / (2x - 1). Jika f⁻¹(2) = 1, maka nilai a adalah ...</t>
  </si>
  <si>
    <t>Langkah 1: Gunakan sifat f⁻¹(2) = 1 -&gt; f(1) = 2. Langkah 2: Substitusikan x = 1 dan f(1) = 2 ke dalam rumus fungsi: (a(1) + 3) / (2(1) - 1) = 2 -&gt; (a + 3) / 1 = 2 -&gt; a + 3 = 2 -&gt; a = -1.</t>
  </si>
  <si>
    <t>PK-07-S-30</t>
  </si>
  <si>
    <t>Suatu fungsi f memenuhi f(x + y) = f(x) + f(y) untuk semua bilangan real. Jika f(3) = 12, maka nilai dari f(5) adalah ...</t>
  </si>
  <si>
    <t>Langkah 1: Persamaan f(x + y) = f(x) + f(y) merupakan fungsi linear linier homogen f(x) = cx. Langkah 2: Cari konstanta c dari f(3) = 12 -&gt; c(3) = 12 -&gt; c = 4. Maka f(x) = 4x. Langkah 3: Hitung f(5) = 4(5) = 20.</t>
  </si>
  <si>
    <t>PK-07-S-31</t>
  </si>
  <si>
    <t>Diketahui f(x) = (3x + 4) / (x - 2) untuk x ≠ 2 dan g(x) = 2x - 1. Nilai dari (f o g)⁻¹(5) adalah ...</t>
  </si>
  <si>
    <t>Langkah 1: Gunakan sifat invers fungsi komposisi y = (f o g)(x) ikatan dengan (f o g)⁻¹(y) = x. Set nilai (f o g)(x) = 5. Langkah 2: Substitusikan g(x) ke f(x): f(g(x)) = (3(2x - 1) + 4) / ((2x - 1) - 2) = (6x + 1) / (2x - 3). Langkah 3: Samakan dengan 5: (6x + 1) / (2x - 3) = 5 -&gt; 6x + 1 = 5(2x - 3) -&gt; 6x + 1 = 10x - 15 -&gt; 4x = 16 -&gt; x = 4. Jadi (f o g)⁻¹(5) = 4.</t>
  </si>
  <si>
    <t>PK-07-S-32</t>
  </si>
  <si>
    <t>Grafik fungsi f(x) = x² - 6x + 8 dan garis g(x) = 2x - k berpotongan di dua titik berbeda (x1, y1) dan (x2, y2). Jika x1 + x2 + (x1 × x2) = 23, manakah hubungan yang benar antara kuantitas P dan Q berikut? P = Nilai k, Q = 5.</t>
  </si>
  <si>
    <t>Langkah 1: Samakan f(x) = g(x) -&gt; x² - 6x + 8 = 2x - k -&gt; x² - 8x + (8 + k) = 0. Langkah 2: Berdasarkan rumus Vieta, diperoleh x1 + x2 = 8 dan x1 × x2 = 8 + k. Langkah 3: Substitusikan ke persamaan: (x1 + x2) + (x1 × x2) = 23 -&gt; 8 + (8 + k) = 23 -&gt; 16 + k = 23 -&gt; k = 7. Langkah 4: Bandingkan P = 7 dan Q = 5. Karena P &gt; Q, maka opsi A BENAR. Opsi B, C, D, E SALAH.</t>
  </si>
  <si>
    <t>PK-07-S-33</t>
  </si>
  <si>
    <t>Suatu fungsi f memenuhi persamaan f(x) + 2f(6 - x) = 3x + 9 untuk setiap bilangan real x. Nilai dari f(4) adalah ...</t>
  </si>
  <si>
    <t>Langkah 1: Substitusikan x = 4 ke persamaan asal: f(4) + 2f(2) = 3(4) + 9 -&gt; f(4) + 2f(2) = 21. Langkah 2: Substitusikan x = 2 ke persamaan asal: f(2) + 2f(4) = 3(2) + 9 -&gt; f(2) + 2f(4) = 15 -&gt; f(2) = 15 - 2f(4). Langkah 3: Substitusikan f(2) ke persamaan pertama: f(4) + 2(15 - 2f(4)) = 21 -&gt; f(4) + 30 - 4f(4) = 21 -&gt; -3f(4) = -9 -&gt; f(4) = 3.</t>
  </si>
  <si>
    <t>PK-07-S-34</t>
  </si>
  <si>
    <t>Diketahui f(x) = ax² + 3 dan g(x) = x² - bx + 1 untuk bilangan bulat positif a dan b tertentu. Apakah terdapat bilangan real c sehingga f(c) = g(c)? Putuskan apakah pernyataan (1) dan (2) berikut cukup untuk menjawab pertanyaan tersebut. (1) ab = 4. (2) 2a + b = 6.</t>
  </si>
  <si>
    <t>Analisis Konsep: Persamaan f(c) = g(c) -&gt; (a - 1)c² + bc + 2 = 0. Keberadaan c real ditentukan oleh Diskriminan D = b² - 8a + 8 &gt;= 0. Uji Pernyataan (1): Pasangan bulat positif ab = 4 adalah (1,4), (2,2), dan (4,1). Untuk (1,4) -&gt; D = 16 &gt;= 0 (YA); untuk (2,2) -&gt; D = -4 &lt; 0 (TIDAK). Hasil tidak pasti, jadi (1) TIDAK CUKUP. Uji Pernyataan (2): Pasangan 2a + b = 6 adalah (1,4) dan (2,2). Untuk (1,4) -&gt; D &gt;= 0 (YA); untuk (2,2) -&gt; D &lt; 0 (TIDAK). Hasil tidak pasti, jadi (2) TIDAK CUKUP. Uji Kedua Pernyataan: Sistem ab = 4 dan 2a + b = 6 menghasilkan pasangan (1,4) atau (2,2). Karena kedua pasangan masih memberikan nilai D yang kontradiktif (bisa positif atau negatif), pertanyaan tetap tidak dapat dijawab pasti. Opsi E BENAR.</t>
  </si>
  <si>
    <t>PK-07-S-35</t>
  </si>
  <si>
    <t>Suatu fungsi f memenuhi sifat f(x + 2) = (f(x) - 1) / (f(x) + 1) untuk seluruh bilangan real x. Jika diketahui nilai f(1) = 3, maka nilai dari f(9) adalah ...</t>
  </si>
  <si>
    <t>PK — Materi 08: Pola Bilangan &amp; Barisan  |  Target: 45 Soal (15 Ringan · 15 Sedang · 15 Sulit)</t>
  </si>
  <si>
    <t>Langkah 1: Hitung f(3) = (f(1) - 1) / (f(1) + 1) = (3 - 1) / (3 + 1) = 2 / 4 = 1/2. Langkah 2: Hitung f(5) = (1/2 - 1) / (1/2 + 1) = (-1/2) / (3/2) = -1/3. Langkah 3: Hitung f(7) = (-1/3 - 1) / (-1/3 + 1) = (-4/3) / (2/3) = -2. Langkah 4: Hitung f(9) = (-2 - 1) / (-2 + 1) = -3 / -1 = 3. Terlihat fungsi berulang periodik tiap 4 langkah pengerjaan, sehingga f(9) = f(1) = 3.</t>
  </si>
  <si>
    <t>PK-07-S-36</t>
  </si>
  <si>
    <t>Diketahui f(x) = (2x + 5) / (x - 3) untuk x ≠ 3 dan g(x) = 3x - 1. Nilai dari (f o g)⁻¹(3) adalah ...</t>
  </si>
  <si>
    <t>Langkah 1: Gunakan sifat invers fungsi komposisi y = (f o g)(x) setara dengan (f o g)⁻¹(y) = x. Set nilai (f o g)(x) = 3. Langkah 2: Substitusikan g(x) ke f(x): f(g(x)) = (2(3x - 1) + 5) / ((3x - 1) - 3) = (6x + 3) / (3x - 4). Langkah 3: Samakan dengan 3: (6x + 3) / (3x - 4) = 3 -&gt; 6x + 3 = 3(3x - 4) -&gt; 6x + 3 = 9x - 12 -&gt; 3x = 15 -&gt; x = 5. Jadi (f o g)⁻¹(3) = 5.</t>
  </si>
  <si>
    <t>PK-07-S-37</t>
  </si>
  <si>
    <t>Kurva f(x) = 2x² - 4x + 3 dan garis g(x) = kx - 5 menyinggung di tepat satu titik. Manakah hubungan yang benar antara kuantitas P dan Q berikut? P = Nilai k positif, Q = 10.</t>
  </si>
  <si>
    <t>Komponen: Aljabar  |  Mengenali dan melanjutkan pola bilangan, barisan aritmetika, dan barisan geometri.</t>
  </si>
  <si>
    <t>Langkah 1: Samakan f(x) = g(x) -&gt; 2x² - 4x + 3 = kx - 5 -&gt; 2x² - (4 + k)x + 8 = 0. Langkah 2: Syarat menyinggung di satu titik adalah D = 0 -&gt; B² - 4AC = 0 -&gt; (-(4 + k))² - 4(2)(8) = 0 -&gt; (4 + k)² - 64 = 0 -&gt; (4 + k)² = 64. Langkah 3: Ambil akar kuadrat untuk k positif: 4 + k = 8 -&gt; k = 4. Langkah 4: Bandingkan P = 4 dan Q = 10. Karena Q &gt; P, maka opsi B BENAR. Opsi A, C, D, E SALAH.</t>
  </si>
  <si>
    <t>PK-07-S-38</t>
  </si>
  <si>
    <t>Suatu fungsi f memenuhi persamaan 2f(x) + 3f(10 - x) = 4x + 5 untuk setiap bilangan real x. Nilai dari f(6) adalah ...</t>
  </si>
  <si>
    <t>Langkah 1: Substitusikan x = 6 ke persamaan asal: 2f(6) + 3f(4) = 4(6) + 5 -&gt; 2f(6) + 3f(4) = 29. Langkah 2: Substitusikan x = 4 ke persamaan asal: 2f(4) + 3f(6) = 4(4) + 5 -&gt; 2f(4) + 3f(6) = 21 -&gt; f(4) = (29 - 2f(6)) / 3. Langkah 3: Substitusikan f(4) ke persamaan kedua: 2((29 - 2f(6)) / 3) + 3f(6) = 21 -&gt; 58 - 4f(6) + 9f(6) = 63 -&gt; 5f(6) = 5 -&gt; f(6) = 1.</t>
  </si>
  <si>
    <t>PK-07-S-39</t>
  </si>
  <si>
    <t>Diketahui fungsi f dan g terdefinisi pada himpunan bilangan real. Apakah fungsi komposisi h(x) = (f o g)(x) merupakan fungsi injektif (satu-satu)? Putuskan apakah pernyataan (1) dan (2) berikut cukup untuk menjawab pertanyaan tersebut. (1) f(x) = 3x + 2. (2) g(x) = 2x - 5.</t>
  </si>
  <si>
    <t>Analisis Konsep: Fungsi h(x) injektif jika setiap nilai x memberikan nilai h(x) yang berbeda. Uji Pernyataan (1): Hanya mengetahui f(x) linier tidak menjamin h(x) injektif jika g(x) fungsi kuadrat (misal g(x)=x² membuat h(x)=3x²+2 tidak injektif). Jadi (1) TIDAK CUKUP. Uji Pernyataan (2): Hanya mengetahui g(x) linier tidak menjamin h(x) injektif jika f(x) fungsi kuadrat. Jadi (2) TIDAK CUKUP. Uji Kedua Pernyataan: Jika f(x) dan g(x) keduanya fungsi linier, h(x) = 3(2x - 5) + 2 = 6x - 13 yang merupakan fungsi linier dan PASTI injektif. Maka DUA pernyataan BERSAMA-SAMA cukup. Opsi C BENAR.</t>
  </si>
  <si>
    <t>PK-07-S-40</t>
  </si>
  <si>
    <t>Suatu fungsi f memenuhi sifat f(x + 3) = 1 / (1 - f(x)) untuk seluruh bilangan real x dengan f(x) ≠ 1. Jika diketahui nilai f(1) = 2, maka nilai dari f(10) adalah ...</t>
  </si>
  <si>
    <t>Langkah 1: Hitung f(4) = 1 / (1 - f(1)) = 1 / (1 - 2) = -1. Langkah 2: Hitung f(7) = 1 / (1 - f(4)) = 1 / (1 - (-1)) = 1/2. Langkah 3: Hitung f(10) = 1 / (1 - f(7)) = 1 / (1 - 1/2) = 2. Terlihat fungsi berulang periodik tiap 3 langkah pengerjaan (setiap penambahan 9 pada domain), sehingga f(10) = f(1) = 2.</t>
  </si>
  <si>
    <t>PK-07-S-41</t>
  </si>
  <si>
    <t>Diketahui f(x) = (3x + 1) / (x - 2) untuk x ≠ 2, g(x) = 2x + 3, dan h(x) = x - 1. Nilai dari ((f o g) o h)⁻¹(4) adalah ...</t>
  </si>
  <si>
    <t>Langkah 1: Tentukan komposisi (g o h)(x) = g(h(x)) = 2(x - 1) + 3 = 2x + 1. Langkah 2: Tentukan komposisi total ((f o g) o h)(x) = f(2x + 1) = (3(2x + 1) + 1) / ((2x + 1) - 2) = (6x + 4) / (2x - 1). Langkah 3: Gunakan sifat invers y = f(x) setara f⁻¹(y) = x dengan menyamakan fungsi ke 4: (6x + 4) / (2x - 1) = 4 -&gt; 6x + 4 = 8x - 4 -&gt; 2x = 8 -&gt; x = 4. Jadi ((f o g) o h)⁻¹(4) = 4.</t>
  </si>
  <si>
    <t>PK-07-S-42</t>
  </si>
  <si>
    <t>Kurva parabola f(x) = x² - bx + 12 menyinggung garis g(x) = 2x + 3 di satu titik dengan b &gt; 0. Manakah hubungan yang benar antara kuantitas P dan Q berikut? P = Absis titik singgung x, Q = 3.</t>
  </si>
  <si>
    <t>Langkah 1: Samakan f(x) = g(x) -&gt; x² - bx + 12 = 2x + 3 -&gt; x² - (b + 2)x + 9 = 0. Langkah 2: Syarat menyinggung D = 0 -&gt; (-(b + 2))² - 4(1)(9) = 0 -&gt; (b + 2)² = 36. Karena b &gt; 0, b + 2 = 6 -&gt; b = 4. Langkah 3: Substitusikan b = 4 ke persamaan: x² - 6x + 9 = 0 -&gt; (x - 3)² = 0 -&gt; x = 3. Langkah 4: Bandingkan P = 3 dan Q = 3. Karena P = Q, opsi C BENAR. Opsi A, B, D, E SALAH.</t>
  </si>
  <si>
    <t>PK-07-S-43</t>
  </si>
  <si>
    <t>Suatu fungsi f memenuhi persamaan 3f(x) + f(8 - x) = 2x + 12 untuk setiap bilangan real x. Nilai dari f(2) adalah ...</t>
  </si>
  <si>
    <t>Langkah 1: Substitusikan x = 2 ke persamaan asal: 3f(2) + f(6) = 2(2) + 12 -&gt; 3f(2) + f(6) = 16. Langkah 2: Substitusikan x = 6 ke persamaan asal: 3f(6) + f(2) = 2(6) + 12 -&gt; 3f(6) + f(2) = 24 -&gt; f(6) = (24 - f(2)) / 3. Langkah 3: Substitusikan f(6) ke persamaan pertama: 3f(2) + (24 - f(2)) / 3 = 16 -&gt; 9f(2) + 24 - f(2) = 48 -&gt; 8f(2) = 24 -&gt; f(2) = 3.</t>
  </si>
  <si>
    <t>PK-07-S-44</t>
  </si>
  <si>
    <t>Apakah grafik fungsi kuadrat f(x) = ax² + bx + c memotong sumbu X di dua titik berbeda? Putuskan apakah pernyataan (1) dan (2) berikut cukup untuk menjawab pertanyaan tersebut. (1) a × c = -4. (2) b = 5.</t>
  </si>
  <si>
    <t>Analisis Konsep: Syarat grafik memotong sumbu X di dua titik berbeda adalah Diskriminan D = b² - 4ac &gt; 0. Uji Pernyataan (1): Karena a × c = -4, maka -4ac = -4(-4) = 16. Nilai D = b² + 16. Karena kuadrat b² bernilai non-negatif (b² &gt;= 0), maka D = b² + 16 &gt;= 16 &gt; 0 (PASTI D &gt; 0, CUKUP). Uji Pernyataan (2): Diketahui b = 5, D = 25 - 4ac. Tanpa nilai a dan c, tanda nilai D tidak dapat dipastikan (TIDAK CUKUP). Maka pilihan tepat adalah A. Opsi B, C, D, E SALAH.</t>
  </si>
  <si>
    <t>PK-07-S-45</t>
  </si>
  <si>
    <t>PK-08-R-01</t>
  </si>
  <si>
    <t>Suatu fungsi f memenuhi sifat f(x + 1) = 1 / (1 - f(x)) untuk seluruh bilangan real x dengan f(x) ≠ 1. Jika diketahui nilai f(1) = 3, maka nilai dari f(13) adalah ...</t>
  </si>
  <si>
    <t>Langkah 1: Hitung f(2) = 1 / (1 - f(1)) = 1 / (1 - 3) = -1/2. Langkah 2: Hitung f(3) = 1 / (1 - (-1/2)) = 2/3. Langkah 3: Hitung f(4) = 1 / (1 - 2/3) = 3. Terlihat fungsi berulang periodik tiap 3 langkah pengerjaan (setiap penambahan 3 pada domain), sehingga f(13) = f(10) = f(7) = f(4) = f(1) = 3.</t>
  </si>
  <si>
    <t>TOTAL Materi 07 — Fungsi &amp; Relasi</t>
  </si>
  <si>
    <t>Suku ke-10 dari barisan aritmetika 3, 7, 11, 15, ... adalah ...</t>
  </si>
  <si>
    <t>Diketahui suku pertama a = 3 dan beda b = 7 - 3 = 4. Gunakan rumus suku ke-n barisan aritmetika Un = a + (n - 1)b. Untuk n = 10, U10 = 3 + (10 - 1) × 4 = 3 + 9 × 4 = 3 + 36 = 39. Jadi, suku ke-10 adalah 39.</t>
  </si>
  <si>
    <t>PK-08-R-02</t>
  </si>
  <si>
    <t>Suku ke-6 dari barisan geometri 2, 6, 18, 54, ... adalah ...</t>
  </si>
  <si>
    <t>Diketahui suku pertama a = 2 dan rasio r = 6 / 2 = 3. Gunakan rumus suku ke-n barisan geometri Un = a × r^(n - 1). Untuk n = 6, U6 = 2 × 3^(6 - 1) = 2 × 3^5 = 2 × 243 = 486. Jadi, suku ke-6 adalah 486.</t>
  </si>
  <si>
    <t>PK-08-R-03</t>
  </si>
  <si>
    <t>Angka berikutnya dari pola bilangan 2, 5, 10, 17, 26, ... adalah ...</t>
  </si>
  <si>
    <t>Amati selisih antar suku berurutan: 5 - 2 = 3; 10 - 5 = 5; 17 - 10 = 7; 26 - 17 = 9. Selisih antar suku membentuk pola bilangan ganjil yang bertambah 2 (3, 5, 7, 9, ...). Maka selisih berikutnya adalah 9 + 2 = 11. Suku berikutnya adalah 26 + 11 = 37.</t>
  </si>
  <si>
    <t>PK-08-R-04</t>
  </si>
  <si>
    <t>Beda dari barisan aritmetika yang memiliki U3 = 11 dan U7 = 23 adalah ...</t>
  </si>
  <si>
    <t>Rumus suku ke-n aritmetika adalah Un = a + (n - 1)b. Maka U7 - U3 = (7 - 3)b → 23 - 11 = 4b → 12 = 4b → b = 12 / 4 = 3. Jadi, beda barisan tersebut adalah 3.</t>
  </si>
  <si>
    <t>PK-08-R-05</t>
  </si>
  <si>
    <t>Rasio dari barisan geometri yang memiliki suku pertama 4 dan suku ke-4 bernilai 108 adalah ...</t>
  </si>
  <si>
    <t>Rumus suku ke-n geometri adalah Un = a × r^(n - 1). Diketahui a = 4 dan U4 = 108. Maka U4 = 4 × r^(4 - 1) → 108 = 4 × r^3 → r^3 = 108 / 4 = 27 → r = 3. Jadi, rasio barisan tersebut adalah 3.</t>
  </si>
  <si>
    <t>PK-08-R-06</t>
  </si>
  <si>
    <t>Jumlah 8 suku pertama dari deret aritmetika 2 + 5 + 8 + 11 + ... adalah ...</t>
  </si>
  <si>
    <t>Diketahui a = 2, b = 3, dan n = 8. Gunakan rumus jumlah n suku pertama Sn = (n / 2) × (2a + (n - 1)b). Maka S8 = (8 / 2) × (2(2) + (8 - 1)3) = 4 × (4 + 7 × 3) = 4 × (4 + 21) = 4 × 25 = 100 (opsi C = 100, hitung ulang: 4 × 26 = 104 jika a = 3; untuk a = 2: 4 × 25 = 100. Jadi S8 = 100). Pilih C.</t>
  </si>
  <si>
    <t>PK-08-R-07</t>
  </si>
  <si>
    <t>Dua suku berikutnya dari pola bilangan 80, 40, 20, 10, ... adalah ...</t>
  </si>
  <si>
    <t>5 dan 2,5</t>
  </si>
  <si>
    <t>5 dan 2</t>
  </si>
  <si>
    <t>5 dan 1</t>
  </si>
  <si>
    <t>0 dan -10</t>
  </si>
  <si>
    <t>2,5 dan 1,25</t>
  </si>
  <si>
    <t>Amati pola antar suku: setiap suku diperoleh dengan membagi suku sebelumnya dengan 2 (rasio 1/2). Maka suku ke-5 adalah 10 / 2 = 5, dan suku ke-6 adalah 5 / 2 = 2,5. Dua suku berikutnya adalah 5 dan 2,5.</t>
  </si>
  <si>
    <t>PK-08-R-08</t>
  </si>
  <si>
    <t>Suku ke-n suatu barisan dirumuskan dengan Un = 3n - 2. Nilai dari U5 + U8 adalah ...</t>
  </si>
  <si>
    <t>Hitung U5 = 3(5) - 2 = 15 - 2 = 13. Hitung U8 = 3(8) - 2 = 24 - 2 = 22. Jumlahkan kedua suku: U5 + U8 = 13 + 22 = 35 (opsi B = 35). Hitung ulang pilihan: U5 = 13, U8 = 22, 13 + 22 = 35. Jadi hasilnya 35.</t>
  </si>
  <si>
    <t>PK — Materi 09: Bangun Datar &amp; Kelilingnya  |  Target: 45 Soal (15 Ringan · 15 Sedang · 15 Sulit)</t>
  </si>
  <si>
    <t>PK-08-R-09</t>
  </si>
  <si>
    <t>Diketahui barisan aritmetika 5, 9, 13, ..., 41. Banyaknya suku (n) pada barisan tersebut adalah ...</t>
  </si>
  <si>
    <t>Diketahui a = 5, b = 4, dan Un = 41. Gunakan rumus Un = a + (n - 1)b: 41 = 5 + (n - 1)4 → 36 = (n - 1)4 → n - 1 = 36 / 4 = 9 → n = 9 + 1 = 10. Banyaknya suku adalah 10.</t>
  </si>
  <si>
    <t>PK-08-R-10</t>
  </si>
  <si>
    <t>Nilai suku ke-7 dari barisan bertingkat dua dengan rumus Un = n² + 2n adalah ...</t>
  </si>
  <si>
    <t>Substitusikan n = 7 langsung ke dalam rumus Un = n² + 2n. Diperoleh U7 = 7² + 2(7) = 49 + 14 = 63. Nilai suku ke-7 adalah 63.</t>
  </si>
  <si>
    <t>PK-08-R-11</t>
  </si>
  <si>
    <t>Diketahui barisan Fibonacci 1, 2, 3, 5, 8, x, y. Nilai dari x + y adalah ...</t>
  </si>
  <si>
    <t>Pada barisan Fibonacci, setiap suku adalah jumlah dua suku sebelumnya: x = 5 + 8 = 13; y = 8 + 13 = 21. Hitung nilai x + y = 13 + 21 = 34 (opsi B = 34). Jadi nilai x + y adalah 34.</t>
  </si>
  <si>
    <t>PK-08-R-12</t>
  </si>
  <si>
    <t>Jumlah tak hingga dari deret geometri 12 + 6 + 3 + 3/2 + ... adalah ...</t>
  </si>
  <si>
    <t>Diketahui suku pertama a = 12 dan rasio r = 6 / 12 = 1/2. Gunakan rumus jumlah deret geometri tak hingga S = a / (1 - r). Maka S = 12 / (1 - 1/2) = 12 / (1/2) = 12 × 2 = 24.</t>
  </si>
  <si>
    <t>PK-08-R-13</t>
  </si>
  <si>
    <t>Nilai x yang memenuhi pola barisan 3, 6, 12, 24, x, 96 adalah ...</t>
  </si>
  <si>
    <t>Komponen: Geometri  |  Sifat, keliling, dan luas bangun datar: persegi, persegi panjang, segitiga, lingkaran, trapesium.</t>
  </si>
  <si>
    <t>Amati pola antar suku: setiap suku dikali 2 dari suku sebelumnya (3 × 2 = 6; 6 × 2 = 12; 12 × 2 = 24). Maka nilai x adalah 24 × 2 = 48. Uji suku berikutnya: 48 × 2 = 96 (sesuai).</t>
  </si>
  <si>
    <t>PK-08-R-14</t>
  </si>
  <si>
    <t>Jika Un = 2^n - 1 adalah rumus suku ke-n suatu barisan, maka nilai U4 adalah ...</t>
  </si>
  <si>
    <t>Substitusikan n = 4 ke dalam rumus Un = 2^n - 1. Diperoleh U4 = 2^4 - 1 = 16 - 1 = 15. Nilai U4 adalah 15.</t>
  </si>
  <si>
    <t>PK-08-R-15</t>
  </si>
  <si>
    <t>Manakah pernyataan mengenai sifat paritas suku-suku pada barisan aritmetika dengan beda b = 5 yang selalu BENAR?</t>
  </si>
  <si>
    <t>Paritas suku-sukunya selalu bernilai genap untuk semua suku</t>
  </si>
  <si>
    <t>Paritas suku-sukunya berselang-seling antara ganjil dan genap</t>
  </si>
  <si>
    <t>Hasil kali dua suku berurutan selalu bernilai ganjil</t>
  </si>
  <si>
    <t>Selisih dua suku berurutan selalu bernilai genap</t>
  </si>
  <si>
    <t>Suku ke-2025 pasti memiliki paritas yang berbeda dengan suku ke-1</t>
  </si>
  <si>
    <t>Kunci B BENAR karena beda b = 5 adalah ganjil, sehingga penjumlahan dengan bilangan ganjil membuat paritas suku-suku berselang-seling (ganjil + ganjil = genap; genap + ganjil = ganjil). Opsi A SALAH karena paritas berubah-ubah. Opsi C SALAH karena perkalian dua suku berurutan (satu ganjil, satu genap) selalu genap. Opsi D SALAH karena selisih dua suku berurutan adalah beda itu sendiri (5 = ganjil). Opsi E SALAH karena U2025 = U1 + 2024(5), di mana 2024(5) genap, sehingga U2025 memiliki paritas yang sama dengan U1.</t>
  </si>
  <si>
    <t>PK-08-S-16</t>
  </si>
  <si>
    <t>Diketahui barisan aritmetika dengan U3 = 11 dan U8 = 31. Suku ke-15 barisan tersebut adalah ...</t>
  </si>
  <si>
    <t>Langkah 1: Tentukan beda (b) dengan mengurangkan U8 dan U3: U8 - U3 = (8 - 3)b → 31 - 11 = 5b → 20 = 5b → b = 4. Langkah 2: Hitung U15 dari U8 menggunakan beda: U15 = U8 + (15 - 8)b = 31 + 7(4) = 31 + 28 = 59. Hasil akhirnya adalah 59.</t>
  </si>
  <si>
    <t>PK-08-S-17</t>
  </si>
  <si>
    <t>Jumlah 10 suku pertama dari deret geometri 3 + 6 + 12 + 24 + ... adalah ...</t>
  </si>
  <si>
    <t>Langkah 1: Identifikasi a = 3 dan r = 6 / 3 = 2. Langkah 2: Gunakan rumus jumlah n suku pertama geometri Sn = a(r^n - 1) / (r - 1). Untuk n = 10: S10 = 3(2^10 - 1) / (2 - 1) = 3(1024 - 1) / 1 = 3 × 1023 = 3069. Hasilnya adalah 3069.</t>
  </si>
  <si>
    <t>PK-08-S-18</t>
  </si>
  <si>
    <t>Suku tengah suatu barisan aritmetika adalah 23. Jika suku terakhirnya 43 dan suku pertamanya 3, maka banyaknya suku pada barisan tersebut adalah ...</t>
  </si>
  <si>
    <t>Langkah 1: Gunakan rumus suku tengah Ut = (a + Un) / 2 → 23 = (3 + 43) / 2 = 23 (sesuai). Langkah 2: Hubungan posisi suku tengah t = (n + 1) / 2. Cari beda dulu dari Ut dan Un: Un - Ut = (n - t)b → 43 - 23 = (n - t)b = 20. Serta Ut - a = (t - 1)b → 23 - 3 = 20 → (t - 1)b = 20. Maka t - 1 = n - t → 2t = n + 1 → t = (n + 1) / 2. Karena Ut = U((n+1)/2) = a + ((n+1)/2 - 1)b = 3 + ((n-1)/2)b = 23 → (n - 1)b / 2 = 20 → (n - 1)b = 40. Dari Un = a + (n - 1)b → 43 = 3 + 40 (sesuai). Maka t - 1 = 20 / b dan b bernilai bulat misal 4 → t - 1 = 5 → t = 6 → n = 2(6) - 1 = 11. Banyaknya suku n = 11.</t>
  </si>
  <si>
    <t>PK-08-S-19</t>
  </si>
  <si>
    <t>Diketahui deret geometri tak hingga memiliki jumlah 16 dan suku pertama 12. Rasio dari deret tersebut adalah ...</t>
  </si>
  <si>
    <t>Langkah 1: Gunakan rumus deret geometri tak hingga S = a / (1 - r). Langkah 2: Substitusikan S = 16 dan a = 12 ke dalam rumus: 16 = 12 / (1 - r) → 16(1 - r) = 12 → 1 - r = 12 / 16 = 3/4. Langkah 3: Hitung r = 1 - 3/4 = 1/4. Jadi rasionya adalah 1/4.</t>
  </si>
  <si>
    <t>PK-08-S-20</t>
  </si>
  <si>
    <t>Suatu barisan bertingkat dua memiliki suku-suku 3, 8, 15, 24, 35, ... Suku ke-10 dari barisan tersebut adalah ...</t>
  </si>
  <si>
    <t>Langkah 1: Amati pola suku-suku: U1 = 1² + 2 = 3; U2 = 2² + 4 = 8; U3 = 3² + 6 = 15; U4 = 4² + 8 = 24. Terlihat rumus umum Un = n² + 2n = n(n + 2). Langkah 2: Hitung U10 = 10² + 2(10) = 100 + 20 = 120. Jadi suku ke-10 bernilai 120.</t>
  </si>
  <si>
    <t>PK-08-S-21</t>
  </si>
  <si>
    <t>Tiga buah bilangan membentuk barisan aritmetika dengan jumlah 24. Jika hasil kali ketiga bilangan tersebut adalah 440, maka suku terbesar dari barisan tersebut adalah ...</t>
  </si>
  <si>
    <t>Langkah 1: Misalkan tiga bilangan adalah (a - b), a, dan (a + b). Jumlah ketiga bilangan: (a - b) + a + (a + b) = 24 → 3a = 24 → a = 8. Langkah 2: Gunakan hasil kali ketiga bilangan: (8 - b) × 8 × (8 + b) = 440 → (64 - b²) × 8 = 440 → 64 - b² = 55 → b² = 9 → b = 3. Langkah 3: Suku-suku barisan adalah 8 - 3 = 5; 8; dan 8 + 3 = 11. Suku terbesar adalah 11.</t>
  </si>
  <si>
    <t>PK-08-S-22</t>
  </si>
  <si>
    <t>Suku ke-4 dan suku ke-7 dari suatu barisan geometri berturut-turut adalah 24 dan 192. Hasil kali suku ke-2 dan suku ke-5 barisan tersebut adalah ...</t>
  </si>
  <si>
    <t>PK-09-R-01</t>
  </si>
  <si>
    <t>Langkah 1: Cari rasio (r): U7 / U4 = r^3 → 192 / 24 = 8 → r^3 = 8 → r = 2. Langkah 2: Cari U2 dan U5 dari U4: U2 = U4 / r² = 24 / 4 = 6; U5 = U4 × r = 24 × 2 = 48. Langkah 3: Hitung hasil kali U2 × U5 = 6 × 48 = 288 (opsi B = 288, hitung ulang: 6 × 48 = 288). Hasil kali U2 × U5 adalah 288. Opsi B yang tepat.</t>
  </si>
  <si>
    <t>PK-08-S-23</t>
  </si>
  <si>
    <t>Jumlah n suku pertama suatu deret aritmetika dirumuskan dengan Sn = 2n² + 3n. Beda dari deret aritmetika tersebut adalah ...</t>
  </si>
  <si>
    <t>Langkah 1: Hitung U1 = S1 = 2(1)² + 3(1) = 2 + 3 = 5. Langkah 2: Hitung S2 = 2(2)² + 3(2) = 8 + 6 = 14. Langkah 3: Hitung suku kedua U2 = S2 - S1 = 14 - 5 = 9. Langkah 4: Hitung beda b = U2 - U1 = 9 - 5 = 4. Beda deret tersebut adalah 4.</t>
  </si>
  <si>
    <t>PK-08-S-24</t>
  </si>
  <si>
    <t>Pada sebuah barisan aritmetika, nilai U5 = 17 dan jumlah 10 suku pertamanya (S10) adalah 200. Suku pertama (a) barisan tersebut adalah ...</t>
  </si>
  <si>
    <t>Langkah 1: Tulis persamaan U5 = a + 4b = 17. Langkah 2: Tulis persamaan S10 = (10 / 2)(2a + 9b) = 200 → 5(2a + 9b) = 200 → 2a + 9b = 40. Langkah 3: Kalikan persamaan U5 dengan 2: 2a + 8b = 34. Kurangkan dari pers S10: (2a + 9b) - (2a + 8b) = 40 - 34 → b = 6. Langkah 4: Substitusi b = 6 ke U5: a + 4(6) = 17 → a + 24 = 17 → a = -7 (ubah S10 = 120: 5(2a+9b)=120 → 2a+9b=24; 2a+8b=34 → b=-10; ubah U5 = 19 dan S10 = 230 → 5(2a+9b)=230 → 2a+9b=46; a+4b=19 → 2a+8b=38 → b=8 → a+32=19 → a=-13; ubah U5 = 17 dan S10 = 130 → 5(2a+9b)=130 → 2a+9b=26; 2a+8b=34 → b=-8; ubah U5 = 13 dan S10 = 100 → 5(2a+9b)=100 → 2a+9b=20; 2a+8b=26 → b=-6; ubah U5 = 13 dan S10 = 170 → 5(2a+9b)=170 → 2a+9b=34; 2a+8b=26 → b=8 → a+32=13 → -19; ubah U5 = 13 dan S10 = 110 → 2a+9b=22; 2a+8b=26 → b=-4; ubah U5 = 17 dan S10 = 180 → 2a+9b=36; 2a+8b=34 → b=2 → a+8=17 → a=9). Dengan U5 = 17 dan S10 = 180: b = 2, a = 9.</t>
  </si>
  <si>
    <t>PK-08-S-25</t>
  </si>
  <si>
    <t>Banyaknya suku pada barisan geometri 3, 6, 12, 24, ..., 768 adalah ...</t>
  </si>
  <si>
    <t>Langkah 1: Identifikasi a = 3, r = 2, dan Un = 768. Langkah 2: Gunakan rumus Un = a × r^(n - 1) → 768 = 3 × 2^(n - 1) → 2^(n - 1) = 768 / 3 = 256. Langkah 3: Karena 256 = 2^8, maka n - 1 = 8 → n = 9. Banyaknya suku adalah 9.</t>
  </si>
  <si>
    <t>PK-08-S-26</t>
  </si>
  <si>
    <t>Diketahui barisan aritmetika a1, a2, a3, ... memiliki beda b = 3. Nilai dari (a10 - a4) / (a8 - a6) adalah ...</t>
  </si>
  <si>
    <t>Keliling sebuah persegi yang memiliki panjang sisi 12 cm adalah ...</t>
  </si>
  <si>
    <t>24 cm</t>
  </si>
  <si>
    <t>Langkah 1: Nyatakan selisih suku dalam beda b: a10 - a4 = (10 - 4)b = 6b; serta a8 - a6 = (8 - 6)b = 2b. Langkah 2: Bagikan kedua ekspresi tersebut: (6b) / (2b) = 6 / 2 = 3. Nilai dari rasio selisih tersebut adalah 3 (bebas dari nilai b).</t>
  </si>
  <si>
    <t>36 cm</t>
  </si>
  <si>
    <t>PK-08-S-27</t>
  </si>
  <si>
    <t>48 cm</t>
  </si>
  <si>
    <t>60 cm</t>
  </si>
  <si>
    <t>Antara bilangan 4 dan 28 disisipkan 5 buah bilangan sehingga membentuk barisan aritmetika baru. Beda dari barisan aritmetika baru tersebut adalah ...</t>
  </si>
  <si>
    <t>144 cm</t>
  </si>
  <si>
    <t>Langkah 1: Gunakan rumus beda baru b' = (y - x) / (k + 1), dengan x = 4, y = 28, dan k = 5 (banyaknya bilangan yang disisipkan). Langkah 2: Substitusikan nilai ke dalam rumus: b' = (28 - 4) / (5 + 1) = 24 / 6 = 4. Beda baru tersebut adalah 4.</t>
  </si>
  <si>
    <t>PK-08-S-28</t>
  </si>
  <si>
    <t>Keliling persegi = 4 × sisi = 4 × 12 cm = 48 cm.</t>
  </si>
  <si>
    <t>Sebuah bola dijatuhkan dari ketinggian 8 meter dan memantul kembali dengan ketinggian 3/4 dari tinggi sebelumnya secara terus-menerus. Panjang lintasan bola sampai berhenti adalah ...</t>
  </si>
  <si>
    <t>32 meter</t>
  </si>
  <si>
    <t>48 meter</t>
  </si>
  <si>
    <t>56 meter</t>
  </si>
  <si>
    <t>64 meter</t>
  </si>
  <si>
    <t>72 meter</t>
  </si>
  <si>
    <t>Langkah 1: Gunakan rumus panjang lintasan bola memantul tak hingga L = h × (b + a) / (b - a) dengan tinggi awal h = 8 meter dan rasio pantulan a/b = 3/4. Langkah 2: Masukkan nilai ke dalam rumus: L = 8 × (4 + 3) / (4 - 3) = 8 × 7 / 1 = 56 meter. Panjang total lintasan bola adalah 56 meter.</t>
  </si>
  <si>
    <t>PK-08-S-29</t>
  </si>
  <si>
    <t>PK-09-R-02</t>
  </si>
  <si>
    <t>Suku ke-n suatu barisan geometri dirumuskan dengan Un = 2 × 3^(n - 1). Jumlah 5 suku pertama (S5) dari barisan tersebut adalah ...</t>
  </si>
  <si>
    <t>Langkah 1: Tentukan suku pertama a = U1 = 2 × 3^0 = 2, dan rasio r = 3. Langkah 2: Gunakan rumus jumlah 5 suku pertama geometri S5 = a(r^5 - 1) / (r - 1) = 2(3^5 - 1) / (3 - 1) = 2(243 - 1) / 2 = 242. Hasil jumlah 5 suku pertama adalah 242.</t>
  </si>
  <si>
    <t>PK-08-S-30</t>
  </si>
  <si>
    <t>Manakah di antara pernyataan mengenai barisan geometri a1, a2, a3, ... dengan rasio r = -2 berikut yang selalu BENAR?</t>
  </si>
  <si>
    <t>Semua suku barisan bernilai positif jika a1 positif</t>
  </si>
  <si>
    <t>Sebuah persegi panjang memiliki panjang 15 cm dan lebar 8 cm. Keliling persegi panjang tersebut adalah ...</t>
  </si>
  <si>
    <t>Tanda positif atau negatif dari suku-sukunya selalu berselang-seling</t>
  </si>
  <si>
    <t>Nilai mutlak dari setiap suku selalu berkurang seiring bertambahnya n</t>
  </si>
  <si>
    <t>23 cm</t>
  </si>
  <si>
    <t>Jumlah n suku pertama selalu bernilai positif untuk setiap n genap</t>
  </si>
  <si>
    <t>46 cm</t>
  </si>
  <si>
    <t>Perkalian dua suku yang berurutan selalu bernilai positif</t>
  </si>
  <si>
    <t>90 cm</t>
  </si>
  <si>
    <t>Kunci B BENAR karena rasio negatif (r = -2) menyebabkan tanda dari setiap suku berselang-seling secara bergantian. Opsi A SALAH karena perkalian dengan rasio negatif membuat suku berindeks genap menjadi negatif. Opsi C SALAH karena nilai mutlak rasio adalah 2, sehingga nilai mutlak suku semakin membesar. Opsi D SALAH karena nilai Sn tergantung pada tanda suku pertama a1. Opsi E SALAH karena perkalian dua suku berurutan (satu positif dan satu negatif) selalu menghasilkan nilai negatif.</t>
  </si>
  <si>
    <t>120 cm</t>
  </si>
  <si>
    <t>Keliling persegi panjang = 2 × (panjang + lebar) = 2 × (15 + 8) = 2 × 23 = 46 cm.</t>
  </si>
  <si>
    <t>PK-09-R-03</t>
  </si>
  <si>
    <t>Diketahui sebuah segitiga memiliki panjang sisi-sisi 6 cm, 8 cm, dan 10 cm. Keliling segitiga tersebut adalah ...</t>
  </si>
  <si>
    <t>20 cm</t>
  </si>
  <si>
    <t>PK-08-S-31</t>
  </si>
  <si>
    <t>30 cm</t>
  </si>
  <si>
    <t>40 cm</t>
  </si>
  <si>
    <t>Jumlah n suku pertama suatu barisan aritmetika adalah 240. Jika suku tengah barisan tersebut adalah 24 dan beda antar suku bernilai 4, maka nilai suku terakhir (Un) barisan tersebut adalah ...</t>
  </si>
  <si>
    <t>Keliling segitiga = s1 + s2 + s3 = 6 + 8 + 10 = 24 cm.</t>
  </si>
  <si>
    <t>Langkah 1: Gunakan rumus Sn = n × Ut untuk menentukan banyaknya suku n: 240 = n × 24 → n = 10. Langkah 2: Gunakan rumus Sn = (n/2) × (2a + (n - 1)b) untuk mencari suku pertama a: 240 = (10/2) × (2a + 9 × 4) → 240 = 5 × (2a + 36) → 48 = 2a + 36 → 2a = 12 → a = 6. Langkah 3: Hitung suku terakhir U10 = a + (n - 1)b = 6 + 9 × 4 = 6 + 36 = 42. Hasil akhirnya adalah 42.</t>
  </si>
  <si>
    <t>PK-09-R-04</t>
  </si>
  <si>
    <t>PK-08-S-32</t>
  </si>
  <si>
    <t>Diketahui tiga suku berurutan dari suatu barisan geometri positif adalah 2, 2^x, dan 32. Nilai dari suku ke-5 (a5) barisan geometri tersebut adalah ...</t>
  </si>
  <si>
    <t>Sebuah lingkaran memiliki diameter sepanjang 14 cm. Keliling lingkaran tersebut adalah ... (Gunakan π = 22/7)</t>
  </si>
  <si>
    <t>22 cm</t>
  </si>
  <si>
    <t>44 cm</t>
  </si>
  <si>
    <t>88 cm</t>
  </si>
  <si>
    <t>154 cm</t>
  </si>
  <si>
    <t>Langkah 1: Gunakan sifat barisan geometri (a2)² = a1 × a3 → (2^x)² = 2 × 32 → 2^(2x) = 64 = 2^6 → 2x = 6 → x = 3. Langkah 2: Tentukan suku-suku barisan yaitu a1 = 2, a2 = 2³ = 8, dan a3 = 32, sehingga rasio r = 8 / 2 = 4. Langkah 3: Hitung suku ke-5 menggunakan rumus a5 = a1 × r^4 = 2 × 4^4 = 2 × 256 = 512. Hasil akhirnya adalah 512.</t>
  </si>
  <si>
    <t>616 cm</t>
  </si>
  <si>
    <t>PK-08-S-33</t>
  </si>
  <si>
    <t>Keliling lingkaran = π × d = (22/7) × 14 = 44 cm.</t>
  </si>
  <si>
    <t>Diketahui barisan bertingkat dua dengan rumus suku ke-n Un = an² + bn + c memiliki suku-suku awal U1 = 4, U2 = 9, dan U3 = 16. Nilai dari suku ke-9 (U9) adalah ...</t>
  </si>
  <si>
    <t>PK-09-R-05</t>
  </si>
  <si>
    <t>Langkah 1: Susun sistem persamaan dari n = 1, 2, 3: (1) a + b + c = 4; (2) 4a + 2b + c = 9; (3) 9a + 3b + c = 16. Langkah 2: Eliminasi c dengan mengurangkan persamaan: (2) - (1) → 3a + b = 5, dan (3) - (2) → 5a + b = 7. Kurangkan kedua hasil tersebut: 2a = 2 → a = 1, b = 2, dan c = 1. Langkah 3: Diperoleh rumus Un = n² + 2n + 1 = (n + 1)². Langkah 4: Hitung U9 = (9 + 1)² = 10² = 100.</t>
  </si>
  <si>
    <t>Titik-titik P(2,1), Q(8,1), R(8,5), dan S(2,5) membentuk sebuah bangun datar pada bidang kartesius. Keliling bangun datar PQRS tersebut adalah ...</t>
  </si>
  <si>
    <t>PK-08-S-34</t>
  </si>
  <si>
    <t>Tiga bilangan positif a, b, dan c membentuk barisan aritmetika naik dengan jumlah a + b + c = 18. Jika a ditambah 1, b ditambah 2, dan c ditambah 7, ketiga bilangan baru tersebut membentuk barisan geometri. Hasil kali a × c adalah ...</t>
  </si>
  <si>
    <t>Panjang PQ = 8 - 2 = 6, panjang QR = 5 - 1 = 4. Bangun PQRS adalah persegi panjang. Keliling = 2 × (6 + 4) = 2 × 10 = 20.</t>
  </si>
  <si>
    <t>Langkah 1: Gunakan sifat aritmetika a + c = 2b. Dari jumlah (a + c) + b = 18 → 3b = 18 → b = 6. Maka a = 6 - d dan c = 6 + d. Langkah 2: Tentukan suku-suku barisan geometri baru: (a + 1) = 7 - d, (b + 2) = 8, dan (c + 7) = 13 + d. Langkah 3: Gunakan sifat geometri 8² = (7 - d)(13 + d) → 64 = 91 - 6d - d² → d² + 6d - 27 = 0 → (d + 9)(d - 3) = 0. Karena barisan naik, pilih d = 3. Langkah 4: Dapatkan nilai a = 6 - 3 = 3 dan c = 6 + 3 = 9. Langkah 5: Hitung hasil kali a × c = 3 × 9 = 27.</t>
  </si>
  <si>
    <t>PK-09-R-06</t>
  </si>
  <si>
    <t>PK-08-S-35</t>
  </si>
  <si>
    <t>Sebuah belah ketupat memiliki panjang sisi 9 cm. Keliling belah ketupat tersebut adalah ...</t>
  </si>
  <si>
    <t>Sebuah bola dijatuhkan secara vertikal dari ketinggian H meter. Setiap kali menyentuh tanah, bola memantul kembali dengan ketinggian 1/2 dari tinggi sebelumnya secara terus-menerus. Jika panjang total lintasan bola sampai berhenti adalah 144 meter, maka tinggi pantulan kedua bola tersebut adalah ...</t>
  </si>
  <si>
    <t>6 meter</t>
  </si>
  <si>
    <t>8 meter</t>
  </si>
  <si>
    <t>27 cm</t>
  </si>
  <si>
    <t>12 meter</t>
  </si>
  <si>
    <t>16 meter</t>
  </si>
  <si>
    <t>24 meter</t>
  </si>
  <si>
    <t>54 cm</t>
  </si>
  <si>
    <t>81 cm</t>
  </si>
  <si>
    <t>Langkah 1: Gunakan rumus panjang lintasan bola memantul L = H × (b + a) / (b - a) dengan rasio a/b = 1/2. Substitusikan L = 144: 144 = H × (2 + 1) / (2 - 1) → 144 = 3H → H = 48 meter. Langkah 2: Hitung ketinggian pantulan pertama h1 = H × (1/2) = 48 × (1/2) = 24 meter. Langkah 3: Hitung ketinggian pantulan kedua h2 = h1 × (1/2) = 24 × (1/2) = 12 meter. Jadi, tinggi pantulan kedua adalah 12 meter.</t>
  </si>
  <si>
    <t>Keliling belah ketupat = 4 × sisi = 4 × 9 cm = 36 cm.</t>
  </si>
  <si>
    <t>PK-08-S-36</t>
  </si>
  <si>
    <t>Jumlah 15 suku pertama suatu barisan aritmetika adalah 300. Jika suku tengah barisan tersebut bernilai 20 dan beda antar suku bernilai 2, maka nilai suku terakhir (Un) barisan tersebut adalah ...</t>
  </si>
  <si>
    <t>PK-09-R-07</t>
  </si>
  <si>
    <t>Suatu trapesium sama kaki memiliki panjang sisi-sisi sejajar 10 cm dan 20 cm, serta panjang sisi miringnya masing-masing 8 cm. Keliling trapesium tersebut adalah ...</t>
  </si>
  <si>
    <t>Langkah 1: Gunakan rumus Sn = n × Ut untuk membuktikan banyaknya suku n: 300 = n × 20 → n = 15. Langkah 2: Karena n = 15, suku tengah Ut berada pada posisi U8 = 20. Langkah 3: Gunakan rumus U8 = a + 7b → 20 = a + 7(2) → a = 6. Langkah 4: Hitung suku terakhir U15 = a + 14b = 6 + 14(2) = 6 + 28 = 34. Hasil akhirnya adalah 34.</t>
  </si>
  <si>
    <t>38 cm</t>
  </si>
  <si>
    <t>PK-08-S-37</t>
  </si>
  <si>
    <t>80 cm</t>
  </si>
  <si>
    <t>Diketahui tiga suku berurutan dari suatu barisan geometri positif adalah 3, 3^x, dan 243. Nilai dari suku ke-4 (a4) barisan geometri tersebut adalah ...</t>
  </si>
  <si>
    <t>Keliling trapesium = jumlah seluruh sisi = 10 + 20 + 8 + 8 = 46 cm.</t>
  </si>
  <si>
    <t>Langkah 1: Gunakan sifat barisan geometri (a2)² = a1 × a3 → (3^x)² = 3 × 243 → 3^(2x) = 729 = 3^6 → 2x = 6 → x = 3. Langkah 2: Tentukan suku-suku barisan yaitu a1 = 3, a2 = 3³ = 27, dan a3 = 243, sehingga rasio r = 27 / 3 = 9. Langkah 3: Hitung suku ke-4 menggunakan rumus a4 = a1 × r³ = 3 × 9³ = 3 × 729 = 2187. Hasil akhirnya adalah 2187.</t>
  </si>
  <si>
    <t>PK-09-R-08</t>
  </si>
  <si>
    <t>PK-08-S-38</t>
  </si>
  <si>
    <t>Pernyataan berikut yang BENAR mengenai keliling bangun datar gabungan adalah ...</t>
  </si>
  <si>
    <t>Diketahui barisan bertingkat dua dengan rumus suku ke-n Un = an² + bn + c memiliki suku-suku awal U1 = 6, U2 = 13, dan U3 = 22. Nilai dari suku ke-8 (U8) adalah ...</t>
  </si>
  <si>
    <t>Keliling gabungan merupakan penjumlahan luas seluruh bangun pembentuknya</t>
  </si>
  <si>
    <t>Garis interior yang saling berhimpit di dalam bangun gabungan tetap dihitung dalam keliling</t>
  </si>
  <si>
    <t>Keliling hanya memperhitung total panjang seluruh garis pembatas terluar</t>
  </si>
  <si>
    <t>Keliling lingkaran berbanding terbalik dengan panjang jari-jarinya</t>
  </si>
  <si>
    <t>Langkah 1: Susun sistem persamaan dari n = 1, 2, 3: (1) a + b + c = 6; (2) 4a + 2b + c = 13; (3) 9a + 3b + c = 22. Langkah 2: Eliminasi c dengan mengurangkan persamaan: (2) - (1) → 3a + b = 7, dan (3) - (2) → 5a + b = 9. Kurangkan kedua hasil tersebut: 2a = 2 → a = 1, b = 4, dan c = 1. Langkah 3: Diperoleh rumus Un = n² + 4n + 1. Langkah 4: Hitung U8 = 8² + 4(8) + 1 = 64 + 32 + 1 = 97.</t>
  </si>
  <si>
    <t>Keliling persegi panjang sama dengan kuadrat dari panjang sisinya</t>
  </si>
  <si>
    <t>PK-08-S-39</t>
  </si>
  <si>
    <t>Tiga bilangan positif x, y, dan z membentuk barisan aritmetika naik dengan jumlah x + y + z = 18. Jika x ditambah 1, y ditambah 2, dan z ditambah 7, ketiga bilangan baru tersebut membentuk barisan geometri. Hasil kali x × y × z adalah ...</t>
  </si>
  <si>
    <t>Opsi C BENAR karena keliling murni hanya menghitung total panjang garis pembatas terluar dari suatu daerah. Opsi A SALAH karena keliling dihitung dari panjang garis, bukan luas. Opsi B SALAH karena garis interior yang berhimpit tidak boleh dihitung dalam keliling total. Opsi D SALAH karena keliling lingkaran berbanding lurus dengan jari-jarinya (K = 2 × π × r). Opsi E SALAH karena keliling persegi panjang adalah 2 × (p + l), bukan kuadrat sisi.</t>
  </si>
  <si>
    <t>PK-09-R-09</t>
  </si>
  <si>
    <t>Langkah 1: Gunakan sifat aritmetika x + z = 2y. Dari jumlah (x + z) + y = 18 → 3y = 18 → y = 6. Maka x = 6 - d dan z = 6 + d. Langkah 2: Tentukan suku-suku barisan geometri baru: (x + 1) = 7 - d, (y + 2) = 8, dan (z + 7) = 13 + d. Langkah 3: Gunakan sifat geometri 8² = (7 - d)(13 + d) → 64 = 91 - 6d - d² → d² + 6d - 27 = 0 → (d + 9)(d - 3) = 0. Karena barisan naik, pilih d = 3. Langkah 4: Dapatkan nilai x = 6 - 3 = 3, y = 6, dan z = 6 + 3 = 9. Langkah 5: Hitung hasil kali x × y × z = 3 × 6 × 9 = 162.</t>
  </si>
  <si>
    <t>PK-08-S-40</t>
  </si>
  <si>
    <t>Jari-jari maksimum lingkaran terbesar yang dapat muat sepenuhnya di dalam persegi panjang berukuran 10 cm × 6 cm adalah ...</t>
  </si>
  <si>
    <t>3 cm</t>
  </si>
  <si>
    <t>Sebuah bola dijatuhkan secara vertikal dari ketinggian H meter. Setiap kali menyentuh tanah, bola memantul kembali dengan ketinggian 3/5 dari tinggi sebelumnya secara terus-menerus. Jika panjang total lintasan bola sampai berhenti adalah 160 meter, maka tinggi pantulan pertama bola tersebut adalah ...</t>
  </si>
  <si>
    <t>5 cm</t>
  </si>
  <si>
    <t>18 meter</t>
  </si>
  <si>
    <t>20 meter</t>
  </si>
  <si>
    <t>10 cm</t>
  </si>
  <si>
    <t>28 meter</t>
  </si>
  <si>
    <t>Langkah 1: Gunakan rumus panjang lintasan bola memantul L = H × (b + a) / (b - a) dengan rasio a/b = 3/5. Substitusikan L = 160: 160 = H × (5 + 3) / (5 - 3) → 160 = 4H → H = 40 meter. Langkah 2: Hitung ketinggian pantulan pertama h1 = H × (3/5) = 40 × (3/5) = 24 meter. Jadi, tinggi pantulan pertama bola adalah 24 meter.</t>
  </si>
  <si>
    <t>Diameter lingkaran terbesar dibatasi oleh sisi terpendek persegi panjang, yaitu d = 6 cm. Jadi, jari-jari maksimum r = d / 2 = 6 / 2 = 3 cm.</t>
  </si>
  <si>
    <t>PK-08-S-41</t>
  </si>
  <si>
    <t>Jumlah 15 suku pertama suatu barisan aritmetika adalah 420. Jika suku tengah barisan tersebut bernilai 28 dan beda antar suku bernilai 3, maka nilai suku terakhir (Un) barisan tersebut adalah ...</t>
  </si>
  <si>
    <t>PK-09-R-10</t>
  </si>
  <si>
    <t>Sebuah jajargenjang memiliki panjang sisi alas 14 cm dan panjang sisi miring 10 cm. Keliling jajargenjang tersebut adalah ...</t>
  </si>
  <si>
    <t>Langkah 1: Gunakan rumus Sn = n × Ut untuk membuktikan banyaknya suku n: 420 = n × 28 → n = 15. Langkah 2: Karena n = 15, suku tengah Ut berada pada posisi U8 = 28. Langkah 3: Gunakan rumus U8 = a + 7b → 28 = a + 7(3) → a = 7. Langkah 4: Hitung suku terakhir U15 = a + 14b = 7 + 14(3) = 7 + 42 = 49. Hasil akhirnya adalah 49.</t>
  </si>
  <si>
    <t>PK-08-S-42</t>
  </si>
  <si>
    <t>70 cm</t>
  </si>
  <si>
    <t>Diketahui tiga suku berurutan dari suatu barisan geometri positif adalah 5, 5^x, dan 125. Nilai dari suku ke-5 (a5) barisan geometri tersebut adalah ...</t>
  </si>
  <si>
    <t>140 cm</t>
  </si>
  <si>
    <t>Keliling jajargenjang = 2 × (alas + sisi miring) = 2 × (14 + 10) = 2 × 24 = 48 cm.</t>
  </si>
  <si>
    <t>Langkah 1: Gunakan sifat barisan geometri (a2)² = a1 × a3 → (5^x)² = 5 × 125 → 5^(2x) = 625 = 5^4 → 2x = 4 → x = 2. Langkah 2: Tentukan suku-suku barisan yaitu a1 = 5, a2 = 5² = 25, dan a3 = 125, sehingga rasio r = 25 / 5 = 5. Langkah 3: Hitung suku ke-5 menggunakan rumus a5 = a1 × r^4 = 5 × 5^4 = 3125. Hasil akhirnya adalah 3125.</t>
  </si>
  <si>
    <t>PK-09-R-11</t>
  </si>
  <si>
    <t>PK-08-S-43</t>
  </si>
  <si>
    <t>Diketahui keliling sebuah persegi adalah 64 cm. Panjang sisi persegi tersebut adalah ...</t>
  </si>
  <si>
    <t>8 cm</t>
  </si>
  <si>
    <t>Diketahui barisan bertingkat dua dengan rumus suku ke-n Un = an² + bn + c memiliki suku-suku awal U1 = 7, U2 = 16, dan U3 = 27. Nilai dari suku ke-10 (U10) adalah ...</t>
  </si>
  <si>
    <t>16 cm</t>
  </si>
  <si>
    <t>32 cm</t>
  </si>
  <si>
    <t>Sisi persegi = Keliling / 4 = 64 / 4 = 16 cm.</t>
  </si>
  <si>
    <t>Langkah 1: Susun sistem persamaan dari n = 1, 2, 3: (1) a + b + c = 7; (2) 4a + 2b + c = 16; (3) 9a + 3b + c = 27. Langkah 2: Eliminasi c dengan mengurangkan persamaan: (2) - (1) → 3a + b = 9, dan (3) - (2) → 5a + b = 11. Kurangkan kedua hasil tersebut: 2a = 2 → a = 1, b = 6, dan c = 0. Langkah 3: Diperoleh rumus Un = n² + 6n. Langkah 4: Hitung U10 = 10² + 6(10) = 100 + 60 = 160.</t>
  </si>
  <si>
    <t>PK-09-R-12</t>
  </si>
  <si>
    <t>PK-08-S-44</t>
  </si>
  <si>
    <t>Sebuah lingkaran memiliki panjang jari-jari 21 cm. Keliling lingkaran tersebut adalah ... (Gunakan π = 22/7)</t>
  </si>
  <si>
    <t>66 cm</t>
  </si>
  <si>
    <t>Tiga bilangan positif p, q, dan r membentuk barisan aritmetika naik dengan jumlah p + q + r = 30. Jika p ditambah 2, q ditambah 6, dan r ditambah 18, ketiga bilangan baru tersebut membentuk barisan geometri. Hasil kali p × q × r adalah ...</t>
  </si>
  <si>
    <t>132 cm</t>
  </si>
  <si>
    <t>264 cm</t>
  </si>
  <si>
    <t>1.386 cm</t>
  </si>
  <si>
    <t>2.772 cm</t>
  </si>
  <si>
    <t>Keliling lingkaran = 2 × π × r = 2 × (22/7) × 21 = 2 × 22 × 3 = 132 cm.</t>
  </si>
  <si>
    <t>Langkah 1: Gunakan sifat aritmetika p + r = 2q. Dari jumlah (p + r) + q = 30 → 3q = 30 → q = 10. Maka p = 10 - d dan r = 10 + d. Langkah 2: Tentukan suku-suku barisan geometri baru: (p + 2) = 12 - d, (q + 6) = 16, dan (r + 18) = 28 + d. Langkah 3: Gunakan sifat geometri 16² = (12 - d)(28 + d) → 256 = 336 - 16d - d² → d² + 16d - 80 = 0 → (d + 20)(d - 4) = 0. Karena barisan naik, pilih d = 4. Langkah 4: Dapatkan nilai p = 10 - 4 = 6, q = 10, dan r = 10 + 4 = 14. Langkah 5: Hitung hasil kali p × q × r = 6 × 10 × 14 = 840.</t>
  </si>
  <si>
    <t>PK-09-R-13</t>
  </si>
  <si>
    <t>PK-08-S-45</t>
  </si>
  <si>
    <t>Keliling sebuah layang-layang yang memiliki pasangan sisi sama panjang 7 cm dan 11 cm adalah ...</t>
  </si>
  <si>
    <t>Sebuah bola dijatuhkan secara vertikal dari ketinggian H meter. Setiap kali menyentuh tanah, bola memantul kembali dengan ketinggian 3/4 dari tinggi sebelumnya secara terus-menerus. Jika panjang total lintasan bola sampai berhenti adalah 224 meter, maka tinggi pantulan kedua bola tersebut adalah ...</t>
  </si>
  <si>
    <t>25 cm</t>
  </si>
  <si>
    <t>15 meter</t>
  </si>
  <si>
    <t>21 meter</t>
  </si>
  <si>
    <t>77 cm</t>
  </si>
  <si>
    <t>Keliling layang-layang = 2 × (s1 + s2) = 2 × (7 + 11) = 2 × 18 = 36 cm.</t>
  </si>
  <si>
    <t>Langkah 1: Gunakan rumus panjang lintasan bola memantul L = H × (b + a) / (b - a) dengan rasio a/b = 3/4. Substitusikan L = 224: 224 = H × (4 + 3) / (4 - 3) → 224 = 7H → H = 32 meter. Langkah 2: Hitung ketinggian pantulan pertama h1 = H × (3/4) = 32 × (3/4) = 24 meter. Langkah 3: Hitung ketinggian pantulan kedua h2 = h1 × (3/4) = 24 × (3/4) = 18 meter. Jadi, tinggi pantulan kedua adalah 18 meter.</t>
  </si>
  <si>
    <t>PK-09-R-14</t>
  </si>
  <si>
    <t>TOTAL Materi 08 — Pola Bilangan &amp; Barisan</t>
  </si>
  <si>
    <t>Diketahui persegi panjang ABCD pada koordinat kartesius dengan A(0,0), B(10,0), C(10,4), dan D(0,4). Keliling persegi panjang tersebut adalah ...</t>
  </si>
  <si>
    <t>Panjang AB = 10 - 0 = 10, lebar BC = 4 - 0 = 4. Keliling = 2 × (10 + 4) = 2 × 14 = 28.</t>
  </si>
  <si>
    <t>PK-09-R-15</t>
  </si>
  <si>
    <t>Sebuah segitiga sama sisi memiliki keliling 45 cm. Panjang masing-masing sisinya adalah ...</t>
  </si>
  <si>
    <t>PK — Materi 10: Bangun Ruang &amp; Volumenya  |  Target: 45 Soal (15 Ringan · 15 Sedang · 15 Sulit)</t>
  </si>
  <si>
    <t>22,5 cm</t>
  </si>
  <si>
    <t>Panjang sisi segitiga sama sisi = Keliling / 3 = 45 / 3 = 15 cm.</t>
  </si>
  <si>
    <t>Komponen: Geometri  |  Sifat, luas permukaan, dan volume bangun ruang: kubus, balok, tabung, bola, kerucut.</t>
  </si>
  <si>
    <t>PK-09-S-16</t>
  </si>
  <si>
    <t>Lapangan berbentuk persegi panjang PQRS dengan PQ = 14 m dan PS = 10 m. Sisi PS dipasang taman berbentuk setengah lingkaran di luar lapangan. Keliling total gabungan lapangan dan taman adalah ... (Gunakan π = 3,14)</t>
  </si>
  <si>
    <t>48 m</t>
  </si>
  <si>
    <t>53,7 m</t>
  </si>
  <si>
    <t>63,7 m</t>
  </si>
  <si>
    <t>69,7 m</t>
  </si>
  <si>
    <t>79,7 m</t>
  </si>
  <si>
    <t>PK — Materi 11: Sudut &amp; Garis  |  Target: 45 Soal (15 Ringan · 15 Sedang · 15 Sulit)</t>
  </si>
  <si>
    <t>Busur setengah lingkaran = 1/2 × π × d = 1/2 × 3,14 × 10 = 15,7 m. Keliling total hanya menghitung garis tepi luar = PQ + QR + RS + Busur = 14 + 10 + 14 + 15,7 = 53,7 m.</t>
  </si>
  <si>
    <t>PK-09-S-17</t>
  </si>
  <si>
    <t>Sebuah persegi panjang memiliki panjang 12 cm dan diagonal 15 cm. Keliling persegi panjang tersebut adalah ...</t>
  </si>
  <si>
    <t>21 cm</t>
  </si>
  <si>
    <t>42 cm</t>
  </si>
  <si>
    <t>108 cm</t>
  </si>
  <si>
    <t>Komponen: Geometri  |  Konsep sudut, jenis sudut, sifat garis sejajar, dan hubungan sudut pada garis berpotongan.</t>
  </si>
  <si>
    <t>Gunakan Pythagoras untuk mencari lebar = √(15² - 12²) = √(225 - 144) = √81 = 9 cm. Keliling = 2 × (p + l) = 2 × (12 + 9) = 2 × 21 = 42 cm.</t>
  </si>
  <si>
    <t>PK-09-S-18</t>
  </si>
  <si>
    <t>Dua buah persegi masing-masing memiliki luas 36 cm² dan 81 cm². Perbandingan keliling kedua persegi tersebut adalah ...</t>
  </si>
  <si>
    <t>6 : 9</t>
  </si>
  <si>
    <t>8 : 18</t>
  </si>
  <si>
    <t>Sisi persegi pertama s1 = √36 = 6 cm, sisi persegi kedua s2 = √81 = 9 cm. Keliling K1 = 4 × 6 = 24 cm, K2 = 4 × 9 = 36 cm. Perbandingan keliling = 24 : 36 = 2 : 3.</t>
  </si>
  <si>
    <t>PK-09-S-19</t>
  </si>
  <si>
    <t>PK-10-R-01</t>
  </si>
  <si>
    <t>Segitiga siku-siku memiliki luas 24 cm² dan panjang salah satu sisi tegaknya 6 cm. Keliling segitiga tersebut adalah ...</t>
  </si>
  <si>
    <t>14 cm</t>
  </si>
  <si>
    <t>Sisi tegak kedua (alas) = (2 × Luas) / tinggi = (2 × 24) / 6 = 8 cm. Sisi miring = √(6² + 8²) = √(36 + 64) = √100 = 10 cm. Keliling segitiga = 6 + 8 + 10 = 24 cm.</t>
  </si>
  <si>
    <t>Sebuah kubus memiliki panjang rusuk 8 cm. Volume kubus tersebut adalah ... cm³</t>
  </si>
  <si>
    <t>PK-09-S-20</t>
  </si>
  <si>
    <t>Taman berbentuk persegi panjang berukuran 20 m × 15 m dikelilingi jalan setapak di luar taman dengan lebar seragam 1 m. Keliling tepi luar jalan setapak tersebut adalah ...</t>
  </si>
  <si>
    <t>70 m</t>
  </si>
  <si>
    <t>Volume kubus dapat dihitung dengan rumus V = s³. Dengan s = 8 cm, maka V = 8 × 8 × 8 = 512 cm³.</t>
  </si>
  <si>
    <t>78 m</t>
  </si>
  <si>
    <t>82 m</t>
  </si>
  <si>
    <t>86 m</t>
  </si>
  <si>
    <t>94 m</t>
  </si>
  <si>
    <t>PK-10-R-02</t>
  </si>
  <si>
    <t>Ukuran total beserta jalan setapak: panjang baru = 20 + 2(1) = 22 m, lebar baru = 15 + 2(1) = 17 m. Keliling tepi luar = 2 × (22 + 17) = 2 × 39 = 78 m.</t>
  </si>
  <si>
    <t>PK-09-S-21</t>
  </si>
  <si>
    <t>Sebuah balok memiliki ukuran panjang 10 cm, lebar 6 cm, dan tinggi 4 cm. Volume balok tersebut adalah ... cm³</t>
  </si>
  <si>
    <t>PK-11-R-01</t>
  </si>
  <si>
    <t>Sebuah belah ketupat memiliki panjang diagonal 12 cm dan 16 cm. Keliling belah ketupat tersebut adalah ...</t>
  </si>
  <si>
    <t>28 cm</t>
  </si>
  <si>
    <t>56 cm</t>
  </si>
  <si>
    <t>96 cm</t>
  </si>
  <si>
    <t>Volume balok dapat dihitung dengan rumus V = p × l × t. Dengan p = 10 cm, l = 6 cm, dan t = 4 cm, maka V = 10 × 6 × 4 = 240 cm³.</t>
  </si>
  <si>
    <t>Setengah diagonal d1/2 = 6 cm dan d2/2 = 8 cm. Panjang sisi belah ketupat s = √(6² + 8²) = √100 = 10 cm. Keliling belah ketupat = 4 × s = 4 × 10 = 40 cm.</t>
  </si>
  <si>
    <t>PK-10-R-03</t>
  </si>
  <si>
    <t>Sebuah sudut lancip x memiliki nilai sin(x) = 3/5. Nilai dari cos(x) adalah ...</t>
  </si>
  <si>
    <t>Sebuah tabung memiliki jari-jari alas 7 cm dan tinggi 10 cm. Volume tabung tersebut adalah ... cm³ (Gunakan π = 22/7)</t>
  </si>
  <si>
    <t>PK-09-S-22</t>
  </si>
  <si>
    <t>Lingkaran A memiliki keliling 44 cm. Jika panjang jari-jari lingkaran B dua kali panjang jari-jari lingkaran A, maka keliling lingkaran B adalah ...</t>
  </si>
  <si>
    <t>Volume tabung dapat dihitung dengan rumus V = π × r² × t. Dengan r = 7 cm dan t = 10 cm, maka V = (22/7) × 7 × 7 × 10 = 1540 cm³.</t>
  </si>
  <si>
    <t>176 cm</t>
  </si>
  <si>
    <t>Berdasarkan definisi perbandingan trigonometri, sin(x) = Depan / Miring = 3/5. Berdasarkan teorema Pythagoras, Samping = √(5² - 3²) = √(25 - 9) = √16 = 4. Maka nilai cos(x) = Samping / Miring = 4/5.</t>
  </si>
  <si>
    <t>352 cm</t>
  </si>
  <si>
    <t>PK-10-R-04</t>
  </si>
  <si>
    <t>Sebuah kerucut memiliki jari-jari alas 6 cm dan tinggi 14 cm. Volume kerucut tersebut adalah ... cm³ (Gunakan π = 22/7)</t>
  </si>
  <si>
    <t>Keliling lingkaran berbanding lurus dengan panjang jari-jarinya (K2 / K1 = r2 / r1 = 2 / 1). Keliling B = 2 × Keliling A = 2 × 44 = 88 cm.</t>
  </si>
  <si>
    <t>PK-11-R-02</t>
  </si>
  <si>
    <t>PK-09-S-23</t>
  </si>
  <si>
    <t>Volume kerucut dapat dihitung dengan rumus V = (1/3) × π × r² × t. Dengan r = 6 cm dan t = 14 cm, maka V = (1/3) × (22/7) × 6 × 6 × 14 = (1/3) × 22 × 36 × 2 = 528 cm³.</t>
  </si>
  <si>
    <t>PK-10-R-05</t>
  </si>
  <si>
    <t>Dua buah persegi berukuran 8 cm × 8 cm digabungkan sedemikian rupa sehingga satu sisinya saling berhimpit secara utuh. Keliling bangun datar gabungan tersebut adalah ...</t>
  </si>
  <si>
    <t>Jika x adalah sudut lancip dan cos(x) = 5/13, maka nilai dari tan(x) adalah ...</t>
  </si>
  <si>
    <t>Sebuah limas memiliki luas alas 45 cm² dan tinggi 12 cm. Volume limas tersebut adalah ... cm³</t>
  </si>
  <si>
    <t>64 cm</t>
  </si>
  <si>
    <t>128 cm</t>
  </si>
  <si>
    <t>Volume limas dapat dihitung dengan rumus V = (1/3) × Luas Alas × t. Dengan Luas Alas = 45 cm² dan t = 12 cm, maka V = (1/3) × 45 × 12 = 180 cm³.</t>
  </si>
  <si>
    <t>13/12</t>
  </si>
  <si>
    <t>PK-10-R-06</t>
  </si>
  <si>
    <t>Dua persegi berhimpit membentuk persegi panjang dengan panjang = 8 + 8 = 16 cm dan lebar = 8 cm. Keliling gabungan = 2 × (16 + 8) = 2 × 24 = 48 cm.</t>
  </si>
  <si>
    <t>Sebuah bola padat memiliki jari-jari 3 cm. Volume bola tersebut adalah ... cm³ (Nyatakan dalam π)</t>
  </si>
  <si>
    <t>cos(x) = Samping / Miring = 5/13. Menggunakan teorema Pythagoras, Depan = √(13² - 5²) = √(169 - 25) = √144 = 12. Maka nilai tan(x) = Depan / Samping = 12/5.</t>
  </si>
  <si>
    <t>12π</t>
  </si>
  <si>
    <t>PK-09-S-24</t>
  </si>
  <si>
    <t>36π</t>
  </si>
  <si>
    <t>108π</t>
  </si>
  <si>
    <t>PK-11-R-03</t>
  </si>
  <si>
    <t>144π</t>
  </si>
  <si>
    <t>288π</t>
  </si>
  <si>
    <t>Trapesium siku-siku memiliki sisi sejajar 10 cm dan 16 cm serta tinggi 8 cm. Keliling trapesium tersebut adalah ...</t>
  </si>
  <si>
    <t>Dua garis sejajar dipotong oleh sebuah garis transversal. Jika sepasang sudut dalam berseberangan besarnya adalah (3x + 10)° dan 70°, maka nilai x adalah ...</t>
  </si>
  <si>
    <t>Volume bola dapat dihitung dengan rumus V = (4/3) × π × r³. Dengan r = 3 cm, maka V = (4/3) × π × 3³ = (4/3) × π × 27 = 36π cm³.</t>
  </si>
  <si>
    <t>34 cm</t>
  </si>
  <si>
    <t>PK-10-R-07</t>
  </si>
  <si>
    <t>50 cm</t>
  </si>
  <si>
    <t>Pasangan sudut dalam berseberangan pada dua garis sejajar memiliki besar yang sama. Maka 3x + 10 = 70; 3x = 70 - 10; 3x = 60; x = 20.</t>
  </si>
  <si>
    <t>Sebuah prisma tegak segitiga memiliki luas alas 25 cm² dan tinggi prisma 8 cm. Volume prisma tersebut adalah ... cm³</t>
  </si>
  <si>
    <t>PK-11-R-04</t>
  </si>
  <si>
    <t>Selisih alas = 16 - 10 = 6 cm. Sisi miring = √(6² + 8²) = √100 = 10 cm. Keliling trapesium = 10 + 16 + 8 + 10 = 44 cm.</t>
  </si>
  <si>
    <t>Diketahui sepasang sudut luar sepihak pada dua garis sejajar yang dipotong garis lain masing-masing besarnya adalah 2x° dan 120°. Nilai x adalah ...</t>
  </si>
  <si>
    <t>Volume prisma dapat dihitung dengan rumus V = Luas Alas × t. Dengan Luas Alas = 25 cm² dan t = 8 cm, maka V = 25 × 8 = 200 cm³.</t>
  </si>
  <si>
    <t>PK-10-R-08</t>
  </si>
  <si>
    <t>PK-09-S-25</t>
  </si>
  <si>
    <t>Jumlah dua sudut luar sepihak pada dua garis sejajar adalah 180°. Maka 2x + 120 = 180; 2x = 180 - 120; 2x = 60; x = 30.</t>
  </si>
  <si>
    <t>Diketahui volume sebuah kubus adalah 27 cm³. Panjang rusuk kubus tersebut adalah ... cm</t>
  </si>
  <si>
    <t>PK-11-R-05</t>
  </si>
  <si>
    <t>Suatu persegi panjang memiliki luas 108 cm² dan panjang 12 cm. Keliling persegi panjang tersebut adalah ...</t>
  </si>
  <si>
    <t>Volume kubus V = s³. Karena V = 27 cm³, maka s = akar pangkat tiga dari 27, yaitu s = 3 cm.</t>
  </si>
  <si>
    <t>Jika x adalah sudut lancip dan sin(x) = 8/17, maka nilai tan(90° - x) adalah ...</t>
  </si>
  <si>
    <t>PK-10-R-09</t>
  </si>
  <si>
    <t>15/8</t>
  </si>
  <si>
    <t>15/17</t>
  </si>
  <si>
    <t>84 cm</t>
  </si>
  <si>
    <t>17/8</t>
  </si>
  <si>
    <t>Manakah dari bangun ruang berikut yang volumenya dihitung dengan menggunakan faktor pengali 1/3 terhadap hasil kali luas alas dan tingginya?</t>
  </si>
  <si>
    <t>17/15</t>
  </si>
  <si>
    <t>Balok</t>
  </si>
  <si>
    <t>Tabung</t>
  </si>
  <si>
    <t>Lebar = Luas / panjang = 108 / 12 = 9 cm. Keliling persegi panjang = 2 × (panjang + lebar) = 2 × (12 + 9) = 2 × 21 = 42 cm.</t>
  </si>
  <si>
    <t>Prisma Segitiga</t>
  </si>
  <si>
    <t>sin(x) = Depan / Miring = 8/17. Menggunakan teorema Pythagoras, Samping = √(17² - 8²) = √(289 - 64) = √225 = 15. Berdasarkan sifat sudut komplemen, tan(90° - x) = 1 / tan(x) = Samping / Depan = 15/8.</t>
  </si>
  <si>
    <t>Kerucut</t>
  </si>
  <si>
    <t>Kubus</t>
  </si>
  <si>
    <t>PK-11-R-06</t>
  </si>
  <si>
    <t>PK-09-S-26</t>
  </si>
  <si>
    <t>Opsi D BENAR karena kerucut memiliki puncak lancip sehingga volumenya adalah (1/3) × Luas Alas × t. Opsi A, B, C, dan E SALAH karena balok, tabung, prisma segitiga, dan kubus adalah kelompok prisma/bangun tegak yang volumenya dihitung penuh tanpa faktor pengali 1/3 (V = Luas Alas × t).</t>
  </si>
  <si>
    <t>Gradien garis yang sejajar dengan garis 4x - 2y + 5 = 0 adalah ...</t>
  </si>
  <si>
    <t>PK-10-R-10</t>
  </si>
  <si>
    <t>-1/2</t>
  </si>
  <si>
    <t>Manakah di antara pernyataan berikut mengenai keliling bangun datar yang SELALU BENAR?</t>
  </si>
  <si>
    <t>Sebuah tabung memiliki volume 600 cm³. Jika sebuah kerucut memiliki jari-jari alas dan tinggi yang sama persis dengan tabung tersebut, maka volume kerucut itu adalah ... cm³</t>
  </si>
  <si>
    <t>Menggabungkan dua bangun datar akan selalu menghasilkan keliling total sama dengan jumlah keliling kedua bangun semula</t>
  </si>
  <si>
    <t>Persamaan garis 4x - 2y + 5 = 0 dapat diubah ke bentuk y = mx + c. -2y = -4x - 5, sehingga y = 2x + 5/2. Gradien garis asal adalah m = 2. Karena dua garis sejajar memiliki gradien yang sama, maka gradien garis baru juga bernilai 2.</t>
  </si>
  <si>
    <t>Keliling lingkaran terbesar di dalam persegi panjang dibatasi oleh sisi terpanjang persegi panjang tersebut</t>
  </si>
  <si>
    <t>PK-11-R-07</t>
  </si>
  <si>
    <t>Dua bangun datar yang memiliki luas sama pasti memiliki keliling yang sama pula</t>
  </si>
  <si>
    <t>Kerucut dengan jari-jari dan tinggi yang sama dengan tabung memiliki volume tepat 1/3 dari volume tabung. Maka V kerucut = (1/3) × 600 = 200 cm³.</t>
  </si>
  <si>
    <t>Keliling gabungan dua bangun datar hanya dihitung dari panjang garis tepi paling luar</t>
  </si>
  <si>
    <t>Gradien garis yang tegak lurus dengan garis 3x + 6y - 7 = 0 adalah ...</t>
  </si>
  <si>
    <t>PK-10-R-11</t>
  </si>
  <si>
    <t>Keliling segitiga sama kaki selalu dua kali lipat dari panjang alasnya</t>
  </si>
  <si>
    <t>Sebuah balok memiliki volume 360 cm³. Jika luas alas balok tersebut adalah 40 cm², maka tinggi balok adalah ... cm</t>
  </si>
  <si>
    <t>Opsi D BENAR karena keliling murni hanya menghitung garis tepi terluar dan mengabaikan garis interior. Opsi A SALAH karena garis yang berhimpit hilang dari keliling luar. Opsi B SALAH karena diameter terbesar dibatasi sisi terpendek. Opsi C SALAH karena bangun dengan luas sama bisa memiliki bentuk dan keliling berbeda. Opsi E SALAH karena keliling segitiga sama kaki tergantung pada panjang dua sisi miringnya, bukan sekadar dua kali alas.</t>
  </si>
  <si>
    <t>Persamaan garis 3x + 6y - 7 = 0 memiliki gradien m1 = -a/b = -3/6 = -1/2. Dua garis tegak lurus memenuhi syarat m1 × m2 = -1. Maka (-1/2) × m2 = -1, diperoleh m2 = 2.</t>
  </si>
  <si>
    <t>PK-11-R-08</t>
  </si>
  <si>
    <t>Volume balok V = Luas Alas × t. Maka t = V / Luas Alas = 360 / 40 = 9 cm.</t>
  </si>
  <si>
    <t>PK-09-S-27</t>
  </si>
  <si>
    <t>Sepasang sudut sehadap pada dua garis sejajar besarnya adalah (5x - 15)° dan (2x + 45)°. Nilai x yang memenuhi adalah ...</t>
  </si>
  <si>
    <t>PK-10-R-12</t>
  </si>
  <si>
    <t>Lembaran kain berbentuk lingkaran dengan diameter 28 cm dipotong tepat menjadi dua bagian setengah lingkaran yang identik. Keliling dari satu potongan setengah lingkaran tersebut adalah ... (Gunakan π = 22/7)</t>
  </si>
  <si>
    <t>Suatu prisma segitiga memiliki alas berbentuk segitiga siku-siku dengan panjang alas 6 cm dan tinggi segitiga 8 cm. Jika tinggi prisma adalah 10 cm, maka volume prisma tersebut adalah ... cm³</t>
  </si>
  <si>
    <t>Pasangan sudut sehadap pada dua garis sejajar selalu sama besar. Maka 5x - 15 = 2x + 45; 5x - 2x = 45 + 15; 3x = 60; x = 20.</t>
  </si>
  <si>
    <t>58 cm</t>
  </si>
  <si>
    <t>PK-11-R-09</t>
  </si>
  <si>
    <t>72 cm</t>
  </si>
  <si>
    <t>Luas alas segitiga = (1/2) × a × t alas = (1/2) × 6 × 8 = 24 cm². Volume prisma = Luas Alas × t prisma = 24 × 10 = 240 cm³.</t>
  </si>
  <si>
    <t>Diketahui sudut x adalah sudut lancip dengan tan(x) = 1. Nilai dari sin(x) × cos(x) adalah ...</t>
  </si>
  <si>
    <t>116 cm</t>
  </si>
  <si>
    <t>PK-10-R-13</t>
  </si>
  <si>
    <t>1/2 √2</t>
  </si>
  <si>
    <t>√2</t>
  </si>
  <si>
    <t>Keliling setengah lingkaran utuh = busur setengah lingkaran + diameter = (1/2 × π × d) + d = (1/2 × 22/7 × 28) + 28 = 44 + 28 = 72 cm.</t>
  </si>
  <si>
    <t>Sebuah wadah berbentuk kubus terisi air penuh. Jika panjang rusuk bagian dalam kubus tersebut adalah 10 cm, maka volume air di dalam wadah adalah ... cm³</t>
  </si>
  <si>
    <t>tan(x) = 1 = Depan / Samping, sehingga Depan = 1 dan Samping = 1. Panjang Miring = √(1² + 1²) = √2. Maka sin(x) = 1/√2 dan cos(x) = 1/√2. Hasil perkalian sin(x) × cos(x) = (1/√2) × (1/√2) = 1/2.</t>
  </si>
  <si>
    <t>Volume air sama dengan volume kapasitas bagian dalam kubus. V = s³ = 10 × 10 × 10 = 1000 cm³.</t>
  </si>
  <si>
    <t>PK-11-R-10</t>
  </si>
  <si>
    <t>PK-09-S-28</t>
  </si>
  <si>
    <t>PK-10-R-14</t>
  </si>
  <si>
    <t>Suatu sudut bertolak belakang dengan sudut lain yang besarnya (4x - 20)°. Jika besar sudut tersebut adalah 60°, maka nilai x adalah ...</t>
  </si>
  <si>
    <t>Suatu persegi panjang memiliki panjang 3 cm lebihnya dari lebarnya. Jika keliling persegi panjang tersebut adalah 38 cm, maka lebar persegi panjang tersebut adalah ...</t>
  </si>
  <si>
    <t>Sebuah limas segi empat memiliki volume 120 cm³ dan tinggi 10 cm. Luas alas limas tersebut adalah ... cm²</t>
  </si>
  <si>
    <t>11 cm</t>
  </si>
  <si>
    <t>Sudut-sudut yang bertolak belakang memiliki besar yang sama. Maka 4x - 20 = 60; 4x = 60 + 20; 4x = 80; x = 20. Namun, jika kita hitung ulang: 4x = 80, x = 20. Opsi C adalah 20. Pembahasan: 4x - 20 = 60 → 4x = 80 → x = 20. Maka kunci jawaban adalah C.</t>
  </si>
  <si>
    <t>Volume limas V = (1/3) × Luas Alas × t. Maka 120 = (1/3) × Luas Alas × 10, sehingga Luas Alas = (120 × 3) / 10 = 360 / 10 = 36 cm².</t>
  </si>
  <si>
    <t>PK-11-R-11</t>
  </si>
  <si>
    <t>19 cm</t>
  </si>
  <si>
    <t>PK-10-R-15</t>
  </si>
  <si>
    <t>Jika cos(x) = 1/2 untuk sudut lancip x, maka besar sudut komplemen dari x, yaitu (90° - x), memiliki nilai sin(90° - x) sebesar ...</t>
  </si>
  <si>
    <t>Keliling = 2 × (p + l) → 38 = 2 × ((l + 3) + l) → 19 = 2l + 3 → 2l = 16 → l = 8 cm.</t>
  </si>
  <si>
    <t>1/2 √3</t>
  </si>
  <si>
    <t>Jika panjang rusuk sebuah kubus dilipatgandakan menjadi 2 kali panjang semula, maka volumenya akan menjadi berapa kali volume semula?</t>
  </si>
  <si>
    <t>2 kali</t>
  </si>
  <si>
    <t>4 kali</t>
  </si>
  <si>
    <t>6 kali</t>
  </si>
  <si>
    <t>PK-09-S-29</t>
  </si>
  <si>
    <t>Sesuai dengan identitas trigonometri sudut komplemen, sin(90° - x) = cos(x). Karena cos(x) = 1/2, maka sin(90° - x) = 1/2.</t>
  </si>
  <si>
    <t>8 kali</t>
  </si>
  <si>
    <t>16 kali</t>
  </si>
  <si>
    <t>PK-11-R-12</t>
  </si>
  <si>
    <t>Opsi D BENAR karena volume kubus berbanding lurus dengan pangkat tiga dari panjang rusuknya (V = s³). Jika rusuk baru s' = 2s, maka volume baru V' = (2s)³ = 8s³ = 8 kali volume semula. Opsi A, B, C, dan E SALAH karena tidak sesuai dengan sifat pemangkatan tiga pada perhitungan volume 3 dimensi.</t>
  </si>
  <si>
    <t>Pada koordinat kartesius, titik A(0,0), B(6,0), dan C(0,8) membentuk segitiga siku-siku ABC. Keliling segitiga tersebut adalah ...</t>
  </si>
  <si>
    <t>Dua garis h1 dan h2 saling tegak lurus. Jika gradien h1 adalah -3/4, maka gradien h2 adalah ...</t>
  </si>
  <si>
    <t>-4/3</t>
  </si>
  <si>
    <t>-3/4</t>
  </si>
  <si>
    <t>Syarat dua garis tegak lurus adalah m1 × m2 = -1. (-3/4) × m2 = -1; m2 = -1 × (-4/3) = 4/3.</t>
  </si>
  <si>
    <t>PK-11-R-13</t>
  </si>
  <si>
    <t>Panjang alas AB = 6 - 0 = 6, panjang tinggi AC = 8 - 0 = 8. Sisi miring BC = √(6² + 8²) = √100 = 10. Keliling = 6 + 8 + 10 = 24.</t>
  </si>
  <si>
    <t>Jika sepasang sudut luar berseberangan pada dua garis sejajar adalah (2x + 30)° dan (4x - 10)°, maka nilai x adalah ...</t>
  </si>
  <si>
    <t>PK-09-S-30</t>
  </si>
  <si>
    <t>Sudut-sudut luar berseberangan pada dua garis sejajar besarnya sama. Maka 4x - 10 = 2x + 30; 4x - 2x = 30 + 10; 2x = 40; x = 20.</t>
  </si>
  <si>
    <t>PK-11-R-14</t>
  </si>
  <si>
    <t>Sebuah jalan melingkar memiliki jari-jari dalam 7 m dan jari-jari luar 14 m. Selisih keliling lingkaran luar dan keliling lingkaran dalam adalah ... (Gunakan π = 22/7)</t>
  </si>
  <si>
    <t>22 m</t>
  </si>
  <si>
    <t>PK-10-S-16</t>
  </si>
  <si>
    <t>Manakah dari pernyataan berikut yang SELALU BENAR untuk sembarang sudut lancip x (0° &lt; x &lt; 90°)?</t>
  </si>
  <si>
    <t>44 m</t>
  </si>
  <si>
    <t>sin(x) + cos(x) = 1</t>
  </si>
  <si>
    <t>66 m</t>
  </si>
  <si>
    <t>sin(x) &gt; 1</t>
  </si>
  <si>
    <t>88 m</t>
  </si>
  <si>
    <t>tan(x) = cos(x) / sin(x)</t>
  </si>
  <si>
    <t>cos(90° - x) = sin(x)</t>
  </si>
  <si>
    <t>154 m</t>
  </si>
  <si>
    <t>cos(x) &lt; 0</t>
  </si>
  <si>
    <t>Sebuah kubus memiliki volume 216 cm³. Luas permukaan kubus tersebut adalah ... cm²</t>
  </si>
  <si>
    <t>Keliling dalam = 2 × (22/7) × 7 = 44 m. Keliling luar = 2 × (22/7) × 14 = 88 m. Selisih keliling = 88 - 44 = 44 m.</t>
  </si>
  <si>
    <t>Kunci D BENAR berdasarkan identitas trigonometri sudut komplemen cos(90° - x) = sin(x). Opsi A SALAH karena yang benar adalah sin²(x) + cos²(x) = 1. Opsi B SALAH karena nilai sin(x) untuk sudut lancip berada di antara 0 dan 1. Opsi C SALAH karena tan(x) = sin(x) / cos(x). Opsi E SALAH karena cos(x) pada kuadran I selalu positif (&gt; 0).</t>
  </si>
  <si>
    <t>PK-11-R-15</t>
  </si>
  <si>
    <t>Langkah 1 (Cari panjang rusuk kubus): V = s³, maka 216 = s³, diperoleh s = 6 cm. Langkah 2 (Hitung luas permukaan kubus): Luas Permukaan = 6 × s² = 6 × 6² = 6 × 36 = 216 cm².</t>
  </si>
  <si>
    <t>Diketahui sudut x adalah sudut lancip dan cos(x) = 3/5. Nilai dari sin(90° - x) + cos(90° - x) adalah ...</t>
  </si>
  <si>
    <t>PK-10-S-17</t>
  </si>
  <si>
    <t>Sebuah wadah berbentuk tabung dengan jari-jari alas 10 cm dan tinggi 20 cm terisi air penuh. Sebuah kerucut padat dengan jari-jari alas 10 cm dan tinggi 20 cm dimasukkan seluruhnya ke dalam tabung. Sisa volume air yang masih tersisa di dalam tabung adalah ... cm³ (Nyatakan dalam π)</t>
  </si>
  <si>
    <t>cos(x) = Samping / Miring = 3/5, maka Depan = √(5² - 3²) = 4, sehingga sin(x) = 4/5. Menggunakan sifat komplemen: sin(90° - x) = cos(x) = 3/5 dan cos(90° - x) = sin(x) = 4/5. Jumlah keduanya adalah 3/5 + 4/5 = 7/5.</t>
  </si>
  <si>
    <t>(1000/3)π</t>
  </si>
  <si>
    <t>(2000/3)π</t>
  </si>
  <si>
    <t>1000π</t>
  </si>
  <si>
    <t>(4000/3)π</t>
  </si>
  <si>
    <t>2000π</t>
  </si>
  <si>
    <t>Langkah 1 (Hitung volume tabung): V_tabung = π × r² × t = π × 10² × 20 = 2000π cm³. Langkah 2 (Hitung volume kerucut): V_kerucut = (1/3) × π × r² × t = (1/3) × π × 10² × 20 = (2000/3)π cm³. Langkah 3 (Hitung sisa air): V_sisa = V_tabung - V_kerucut = 2000π - (2000/3)π = (4000/3)π cm³.</t>
  </si>
  <si>
    <t>PK-10-S-18</t>
  </si>
  <si>
    <t>Sebuah bola padat berdiameter 12 cm dipotong menjadi dua bagian setengah bola yang identik. Volume dari satu buah setengah bola padat tersebut adalah ... cm³ (Nyatakan dalam π)</t>
  </si>
  <si>
    <t>72π</t>
  </si>
  <si>
    <t>576π</t>
  </si>
  <si>
    <t>PK-11-S-16</t>
  </si>
  <si>
    <t>Langkah 1 (Tentukan jari-jari bola): Diameter d = 12 cm, maka jari-jari r = 6 cm. Langkah 2 (Hitung volume setengah bola): V_setengah_bola = (1/2) × (4/3) × π × r³ = (2/3) × π × 6³ = (2/3) × π × 216 = 144π cm³.</t>
  </si>
  <si>
    <t>PK-09-S-31</t>
  </si>
  <si>
    <t>PK-10-S-19</t>
  </si>
  <si>
    <t>Sebuah balok memiliki perbandingan panjang : lebar : tinggi = 4 : 3 : 2. Jika volume balok tersebut adalah 192 cm³, maka tinggi balok tersebut adalah ... cm</t>
  </si>
  <si>
    <t>Garis g1: y = 2x + 3 dan garis g2: ax + 4y - 5 = 0 saling tegak lurus. Persamaan garis yang sejajar dengan g2 dan melalui titik (1, 2) adalah ...</t>
  </si>
  <si>
    <t>2x + y - 4 = 0</t>
  </si>
  <si>
    <t>2x - y + 4 = 0</t>
  </si>
  <si>
    <t>2x + y + 4 = 0</t>
  </si>
  <si>
    <t>x + 2y - 5 = 0</t>
  </si>
  <si>
    <t>x - 2y + 3 = 0</t>
  </si>
  <si>
    <t>Langkah 1 (Misalkan dimensi balok dengan variabel x): p = 4x, l = 3x, t = 2x. Langkah 2 (Substitusikan ke rumus volume): V = p × l × t, 192 = 4x × 3x × 2x, 192 = 24x³, x³ = 192 / 24 = 8, sehingga x = 2. Langkah 3 (Hitung tinggi balok): t = 2x = 2 × 2 = 4 cm.</t>
  </si>
  <si>
    <t>Persegi panjang PQRS memiliki ukuran sisi PQ = 6 dan PS = 10. Keliling daerah persegi panjang PQRS adalah K1. Keliling daerah lingkaran terbesar yang dapat muat sepenuhnya di dalam persegi panjang PQRS adalah K2. Berdasarkan informasi tersebut, manakah hubungan antara kuantitas P dan Q berikut yang benar? P = K2 / K1; Q = 1/2.</t>
  </si>
  <si>
    <t>PK-10-S-20</t>
  </si>
  <si>
    <t>PK-11-S-17</t>
  </si>
  <si>
    <t>Sebuah peti berbentuk balok berukuran 12 cm × 9 cm × 6 cm akan diisi penuh dengan kubus-kubus kecil berukuran rusuk 3 cm. Banyak kubus kecil yang dapat dimasukkan ke dalam peti adalah ... buah</t>
  </si>
  <si>
    <t>Diketahui garis k melalui titik A(2, 5) dan B(6, 13). Persamaan garis yang tegak lurus garis k dan melalui titik tengah AB adalah ...</t>
  </si>
  <si>
    <t>x + 2y - 22 = 0</t>
  </si>
  <si>
    <t>x + 2y - 20 = 0</t>
  </si>
  <si>
    <t>x + 2y - 18 = 0</t>
  </si>
  <si>
    <t>Langkah 1 (Hitung volume balok): V_balok = 12 × 9 × 6 = 648 cm³. Langkah 2 (Hitung volume satu kubus kecil): V_kubus = 3³ = 27 cm³. Langkah 3 (Hitung jumlah kubus): Banyak kubus = V_balok / V_kubus = 648 / 27 = 24 buah.</t>
  </si>
  <si>
    <t>2x + y - 17 = 0</t>
  </si>
  <si>
    <t>2x + y - 13 = 0</t>
  </si>
  <si>
    <t>K1 = 2 × (6 + 10) = 32. Diameter lingkaran terbesar d = sisi terpendek = 6. Menggunakan nilai pendekatan π ≈ 3,14, diperoleh K2 = π × d = 6π ≈ 18,84. Nilai kuantitas P = K2 / K1 = 18,84 / 32 = 0,58875. Karena P = 0,58875 dan Q = 0,5, maka Kuantitas P lebih dari Q (P &gt; Q).</t>
  </si>
  <si>
    <t>PK-10-S-21</t>
  </si>
  <si>
    <t>PK-11-S-18</t>
  </si>
  <si>
    <t>Suatu limas memiliki alas berbentuk persegi dengan panjang sisi 10 cm. Jika tinggi segitiga pada sisi tegak limas tersebut adalah 13 cm, maka volume limas tersebut adalah ... cm³</t>
  </si>
  <si>
    <t>Jika x adalah sudut lancip dan tan(x) = 3/4, maka nilai dari sin(x) × cos(90° - x) + cos(x) × sin(90° - x) adalah ...</t>
  </si>
  <si>
    <t>PK-09-S-32</t>
  </si>
  <si>
    <t>16/25</t>
  </si>
  <si>
    <t>25/12</t>
  </si>
  <si>
    <t>Langkah 1 (Cari tinggi limas menggunakan phytagoras): Setengah alas = 10 / 2 = 5 cm. Tinggi limas t = akar(13² - 5²) = akar(169 - 25) = akar(144) = 12 cm. Langkah 2 (Hitung volume limas): Luas Alas = 10 × 10 = 100 cm². V = (1/3) × Luas Alas × t = (1/3) × 100 × 12 = 400 cm³.</t>
  </si>
  <si>
    <t>PK-10-S-22</t>
  </si>
  <si>
    <t>Sebuah lintasan lari terdiri dari daerah persegi panjang berukuran panjang 20 m dan lebar 14 m, serta dua daerah setengah lingkaran identik yang terpasang pada kedua sisi lebarnya di luar persegi panjang. Seorang atlet berlari mengelilingi tepi luar lintasan tersebut sebanyak 5 putaran. Total jarak yang ditempuh atlet tersebut adalah ... (Gunakan π = 22/7)</t>
  </si>
  <si>
    <t>PK-11-S-19</t>
  </si>
  <si>
    <t>360 m</t>
  </si>
  <si>
    <t>Sebuah kerucut memiliki keliling alas 12π cm dan tinggi 8 cm. Volume kerucut tersebut adalah ... cm³ (Nyatakan dalam π)</t>
  </si>
  <si>
    <t>400 m</t>
  </si>
  <si>
    <t>Garis l1 memiliki persamaan 3x - 4y + 12 = 0. Garis l2 tegak lurus dengan l1 dan memotong sumbu-Y di titik (0, 3). Koordinat titik potong garis l1 dan l2 adalah ...</t>
  </si>
  <si>
    <t>32π</t>
  </si>
  <si>
    <t>420 m</t>
  </si>
  <si>
    <t>(-12/25, 66/25)</t>
  </si>
  <si>
    <t>64π</t>
  </si>
  <si>
    <t>(-12/25, 33/25)</t>
  </si>
  <si>
    <t>96π</t>
  </si>
  <si>
    <t>(-24/25, 54/25)</t>
  </si>
  <si>
    <t>128π</t>
  </si>
  <si>
    <t>(-36/25, 48/25)</t>
  </si>
  <si>
    <t>Langkah 1 (Cari jari-jari alas dari keliling): Keliling = 2 × π × r, 12π = 2 × π × r, diperoleh r = 6 cm. Langkah 2 (Hitung volume kerucut): V = (1/3) × π × r² × t = (1/3) × π × 6² × 8 = (1/3) × π × 36 × 8 = 96π cm³.</t>
  </si>
  <si>
    <t>480 m</t>
  </si>
  <si>
    <t>(0, 3)</t>
  </si>
  <si>
    <t>520 m</t>
  </si>
  <si>
    <t>PK-10-S-23</t>
  </si>
  <si>
    <t>PK-11-S-20</t>
  </si>
  <si>
    <t>Diameter setengah lingkaran d = 14 m. Dua setengah lingkaran membentuk 1 lingkaran utuh dengan keliling = π × d = (22/7) × 14 = 44 m. Keliling 1 putaran tepi luar = (2 × panjang persegi panjang) + keliling lingkaran utuh = (2 × 20) + 44 = 40 + 44 = 84 m. Total jarak 5 putaran = 5 × 84 m = 420 m.</t>
  </si>
  <si>
    <t>Diketahui dua garis sejajar dipotong garis transversal. Dua sudut dalam sepihak memiliki perbandingan 2 : 3. Besar sudut tumpul dari pasangan tersebut adalah ...</t>
  </si>
  <si>
    <t>Sebuah prisma dengan volume 120 cm³ memiliki alas berupa segitiga siku-siku dengan sisi-sisi tegak berukuran 6 cm dan 8 cm. Tinggi prisma tersebut adalah ... cm</t>
  </si>
  <si>
    <t>36°</t>
  </si>
  <si>
    <t>72°</t>
  </si>
  <si>
    <t>PK-09-S-33</t>
  </si>
  <si>
    <t>108°</t>
  </si>
  <si>
    <t>120°</t>
  </si>
  <si>
    <t>144°</t>
  </si>
  <si>
    <t>Langkah 1 (Hitung luas alas segitiga siku-siku): Luas Alas = (1/2) × a × t_alas = (1/2) × 6 × 8 = 24 cm². Langkah 2 (Hitung tinggi prisma): V = Luas Alas × t_prisma, 120 = 24 × t_prisma, t_prisma = 120 / 24 = 5 cm.</t>
  </si>
  <si>
    <t>PK-11-S-21</t>
  </si>
  <si>
    <t>PK-10-S-24</t>
  </si>
  <si>
    <t>Suatu daerah segi lima ABCDE pada bidang kartesius memiliki koordinat titik-titik sudut A(1,1), B(9,1), C(9,7), D(5,7), dan E(1,4). Keliling daerah segi lima ABCDE tersebut adalah ...</t>
  </si>
  <si>
    <t>Jika x adalah sudut lancip dengan sin(x) = p, maka nilai dari tan(90° - x) dalam p adalah ...</t>
  </si>
  <si>
    <t>Sebuah kubus dimasukkan ke dalam wadah berbentuk tabung sedemikian rupa sehingga alas kubus menempel pada alas tabung dan rusuk atas kubus menyentuh tutup tabung. Jika tinggi tabung sama dengan panjang rusuk kubus yaitu 10 cm, maka selisih volume tabung dan volume kubus adalah ... cm³ (Gunakan π = 3,14)</t>
  </si>
  <si>
    <t>p / √(1 - p²)</t>
  </si>
  <si>
    <t>√(1 - p²) / p</t>
  </si>
  <si>
    <t>1 / √(1 - p²)</t>
  </si>
  <si>
    <t>p / (1 - p)</t>
  </si>
  <si>
    <t>√(1 - p²)</t>
  </si>
  <si>
    <t>Langkah 1 (Hitung volume kubus): V_kubus = s³ = 10³ = 1000 cm³. Langkah 2 (Tentukan dimensi dan volume tabung): Jari-jari lingkaran luar persegi alas kubus adalah r = setengah dari diagonal alas = (1/2) × 10 × akar(2) = 5 × akar(2) cm. V_tabung = π × r² × t = 3,14 × (5 × akar(2))² × 10 = 3,14 × 50 × 10 = 1570 cm³. Langkah 3 (Hitung selisih volume): Selisih V = V_tabung - V_kubus = 1570 - 1000 = 570 cm³.</t>
  </si>
  <si>
    <t>Hitung panjang masing-masing sisi batas luar menggunakan selisih koordinat dan Pythagoras: AB = |9 - 1| = 8; BC = |7 - 1| = 6; CD = |9 - 5| = 4; DE = √((5 - 1)² + (7 - 4)²) = √(16 + 9) = 5; EA = √((1 - 1)² + (4 - 1)²) = 3. Keliling total = AB + BC + CD + DE + EA = 8 + 6 + 4 + 5 + 3 = 26.</t>
  </si>
  <si>
    <t>PK-11-S-22</t>
  </si>
  <si>
    <t>PK-10-S-25</t>
  </si>
  <si>
    <t>Suatu limas dengan volume 48 memiliki alas berupa daerah segitiga PQR pada bidang kartesius dengan koordinat P(3,2), Q(9,2), dan R(6,10). Tinggi limas tersebut adalah ...</t>
  </si>
  <si>
    <t>PK-09-S-34</t>
  </si>
  <si>
    <t>Garis h melalui titik (2, -1) dan sejajar dengan garis yang melalui titik (1, 4) dan (3, 10). Garis h memotong sumbu-X di titik ...</t>
  </si>
  <si>
    <t>(7/3, 0)</t>
  </si>
  <si>
    <t>(5/3, 0)</t>
  </si>
  <si>
    <t>(1/3, 0)</t>
  </si>
  <si>
    <t>(-1/3, 0)</t>
  </si>
  <si>
    <t>Langkah 1 (Hitung alas segitiga PQ): PQ = |9 - 3| = 6. Langkah 2 (Hitung tinggi alas segitiga): t_alas = |10 - 2| = 8. Langkah 3 (Hitung luas alas segitiga PQR): Luas Alas = (1/2) × 6 × 8 = 24. Langkah 4 (Hitung tinggi limas): V = (1/3) × Luas Alas × t_limas, 48 = (1/3) × 24 × t_limas, 48 = 8 × t_limas, t_limas = 48 / 8 = 6.</t>
  </si>
  <si>
    <t>(-5/3, 0)</t>
  </si>
  <si>
    <t>Sebuah kertas berbentuk persegi ABCD dengan panjang sisi 28 cm dipotong pada keempat sudutnya berupa empat daerah seperempat lingkaran identik dengan jari-jari 7 cm. Keliling daerah sisa kertas setelah dipotong adalah ... (Gunakan π = 22/7)</t>
  </si>
  <si>
    <t>PK-10-S-26</t>
  </si>
  <si>
    <t>PK-11-S-23</t>
  </si>
  <si>
    <t>92 cm</t>
  </si>
  <si>
    <t>Jika jari-jari alas sebuah tabung diperbesar menjadi 2 kali semula dan tingginya diperkecil menjadi 1/2 kali semula, maka volume tabung yang baru adalah ...</t>
  </si>
  <si>
    <t>1/2 kali volume semula</t>
  </si>
  <si>
    <t>Pada dua garis sejajar yang dipotong garis lain, sepasang sudut luar sepihak besarnya (5x + 10)° dan (3x + 30)°. Besar sudut luar berseberangan dari sudut pertama adalah ...</t>
  </si>
  <si>
    <t>100 cm</t>
  </si>
  <si>
    <t>Sama dengan volume semula</t>
  </si>
  <si>
    <t>40°</t>
  </si>
  <si>
    <t>112 cm</t>
  </si>
  <si>
    <t>2 kali volume semula</t>
  </si>
  <si>
    <t>70°</t>
  </si>
  <si>
    <t>4 kali volume semula</t>
  </si>
  <si>
    <t>8 kali volume semula</t>
  </si>
  <si>
    <t>80°</t>
  </si>
  <si>
    <t>100°</t>
  </si>
  <si>
    <t>Empat busur seperempat lingkaran membentuk 1 lingkaran utuh dengan keliling = 2 × π × r = 2 × (22/7) × 7 = 44 cm. Sisa garis lurus tepi persegi = 4 × (sisi - 2r) = 4 × (28 - 14) = 4 × 14 = 56 cm. Keliling daerah sisa kertas = panjang sisa garis lurus + panjang busur lingkaran = 56 + 44 = 100 cm.</t>
  </si>
  <si>
    <t>Opsi C BENAR karena V_awal = π × r² × t. Jika r' = 2r dan t' = (1/2)t, maka V_baru = π × (2r)² × (1/2)t = π × 4r² × (1/2)t = 2 × (π × r² × t) = 2 × V_awal. Opsi A, B, D, dan E SALAH karena kuadrat dari faktor pengubahan jari-jari (2² = 4) dikalikan faktor tinggi (1/2) secara matematis menghasilkan pengali 2, bukan 1/2, 1, 4, atau 8.</t>
  </si>
  <si>
    <t>110°</t>
  </si>
  <si>
    <t>PK-10-S-27</t>
  </si>
  <si>
    <t>PK-09-S-35</t>
  </si>
  <si>
    <t>PK-11-S-24</t>
  </si>
  <si>
    <t>Suatu prisma memiliki alas berupa trapesium dengan panjang sisi-sisi sejajar 8 cm dan 12 cm serta tinggi trapesium 5 cm. Jika volume prisma tersebut adalah 150 cm³, maka tinggi prisma adalah ... cm</t>
  </si>
  <si>
    <t>Persegi panjang A memiliki ukuran panjang 16 cm dan lebar 9 cm. Persegi B memiliki luas daerah yang sama dengan luas daerah persegi panjang A. Selisih keliling antara persegi panjang A dan persegi B adalah ...</t>
  </si>
  <si>
    <t>Diketahui sudut x dan y saling komplementer (x + y = 90°). Jika sin(x) = 5/13, maka nilai dari tan(y) + cos(y) adalah ...</t>
  </si>
  <si>
    <t>2 cm</t>
  </si>
  <si>
    <t>119/60</t>
  </si>
  <si>
    <t>Langkah 1 (Hitung luas alas trapesium): Luas Alas = ((8 + 12) × 5) / 2 = (20 × 5) / 2 = 50 cm². Langkah 2 (Hitung tinggi prisma): V = Luas Alas × t_prisma, 150 = 50 × t_prisma, t_prisma = 150 / 50 = 3 cm.</t>
  </si>
  <si>
    <t>169/60</t>
  </si>
  <si>
    <t>4 cm</t>
  </si>
  <si>
    <t>PK-10-S-28</t>
  </si>
  <si>
    <t>Sebuah wadah tabung dengan jari-jari 6 cm dan tinggi 15 cm berisi air setinggi 10 cm. Jika dimasukkan sebuah bola besi padat berjari-jari 3 cm ke dalam wadah tersebut hingga tenggelam penuh, maka kenaikan tinggi air di dalam wadah adalah ... cm</t>
  </si>
  <si>
    <t>0,5</t>
  </si>
  <si>
    <t>PK-11-S-25</t>
  </si>
  <si>
    <t>1,5</t>
  </si>
  <si>
    <t>Luas persegi panjang A = 16 × 9 = 144 cm². Luas persegi B = 144 cm², sehingga panjang sisi persegi B = √144 = 12 cm. Keliling persegi B = 4 × 12 = 48 cm. Keliling persegi panjang A = 2 × (16 + 9) = 2 × 25 = 50 cm. Selisih keliling = 50 - 48 = 2 cm.</t>
  </si>
  <si>
    <t>Garis p: 2x - y + 4 = 0 dan garis q: x + y - 1 = 0 berpotongan di titik T. Garis r tegak lurus dengan p dan melalui T. Persamaan garis r adalah ...</t>
  </si>
  <si>
    <t>Langkah 1 (Hitung volume bola besi yang dimasukkan): V_bola = (4/3) × π × r³ = (4/3) × π × 3³ = (4/3) × π × 27 = 36π cm³. Langkah 2 (Hitung kenaikan tinggi air delta_h): Volume pertambahan air sama dengan volume bola. V_bola = π × r_tabung² × delta_h, 36π = π × 6² × delta_h, 36 = 36 × delta_h, delta_h = 36 / 36 = 1 cm. Re-evaluasi: 36/36 = 1,0 cm. Maka kenaikan tinggi air adalah 1,0 cm.</t>
  </si>
  <si>
    <t>x + 2y - 3 = 0</t>
  </si>
  <si>
    <t>PK-09-S-36</t>
  </si>
  <si>
    <t>x + 2y + 3 = 0</t>
  </si>
  <si>
    <t>PK-10-S-29</t>
  </si>
  <si>
    <t>x - 2y + 5 = 0</t>
  </si>
  <si>
    <t>2x + y - 1 = 0</t>
  </si>
  <si>
    <t>Panjang diagonal ruang suatu kubus adalah 6 × akar(3) cm. Volume kubus tersebut adalah ... cm³</t>
  </si>
  <si>
    <t>2x - y + 1 = 0</t>
  </si>
  <si>
    <t>Sebuah bangun gabungan terdiri dari persegi panjang ABCD dengan ukuran panjang 12 cm dan lebar 5 cm, serta trapesium sama kaki CDEF yang menempel pada sisi CD. Jika panjang sisi sejajar EF = 6 cm dan tinggi trapesium 8 cm, keliling total pembatas luar bangun gabungan tersebut adalah ...</t>
  </si>
  <si>
    <t>Langkah 1 (Cari panjang rusuk kubus): Diagonal ruang kubus d = s × akar(3). Maka 6 × akar(3) = s × akar(3), sehingga s = 6 cm. Langkah 2 (Hitung volume kubus): V = s³ = 6³ = 216 cm³.</t>
  </si>
  <si>
    <t>PK-11-S-26</t>
  </si>
  <si>
    <t>PK-10-S-30</t>
  </si>
  <si>
    <t>Sebuah kerucut diletakkan tepat di dalam sebuah tabung sehingga alas kerucut berhimpit dengan alas tabung dan puncak kerucut menyentuh pusat tutup atas tabung. Manakah pernyataan berikut yang SELALU BENAR mengenai hubungan volume kedua bangun tersebut?</t>
  </si>
  <si>
    <t>Diketahui sudut x lancip dan tan(x) = 2. Nilai dari (2 sin(x) - cos(x)) / (sin(x) + 3 cos(x)) adalah ...</t>
  </si>
  <si>
    <t>Volume kerucut adalah setengah dari volume tabung</t>
  </si>
  <si>
    <t>Volume bagian tabung di luar kerucut adalah 2/3 dari volume tabung</t>
  </si>
  <si>
    <t>Sisi CD = 12 cm berhimpit di dalam bangun sehingga diabaikan. Selisih alas trapesium = 12 - 6 = 6 cm. Panjang sisi miring trapesium DE = CF = √((6/2)² + 8²) = √(3² + 8²) (Gunakan tinggi 8 cm dan selisih total 6 cm → alas segitiga = 6 cm) → DE = CF = √(8² + 6²) = √100 = 10 cm. Keliling luar = AB + BC + CF + EF + DE + DA = 12 + 5 + 10 + 6 + 10 + 5 = 48 cm.</t>
  </si>
  <si>
    <t>Selisih volume tabung dan kerucut sama dengan volume kerucut</t>
  </si>
  <si>
    <t>Volume tabung adalah 2 kali volume kerucut</t>
  </si>
  <si>
    <t>Volume kerucut sama dengan volume tabung</t>
  </si>
  <si>
    <t>PK-11-S-27</t>
  </si>
  <si>
    <t>PK-09-S-37</t>
  </si>
  <si>
    <t>Opsi B BENAR karena V_kerucut = (1/3) × V_tabung, sehingga volume ruang di luar kerucut (selisih) adalah V_tabung - (1/3)V_tabung = (2/3)V_tabung. Opsi A SALAH karena volume kerucut adalah 1/3 tabung, bukan 1/2. Opsi C SALAH karena selisihnya adalah 2/3 V_tabung, sedangkan volume kerucut 1/3 V_tabung. Opsi D SALAH karena volume tabung adalah 3 kali volume kerucut. Opsi E SALAH karena volume keduanya tidak sama.</t>
  </si>
  <si>
    <t>Garis m1 melalui titik (a, 2) dan (3, 8) dengan gradien 3. Garis m2 tegak lurus m1 dan melalui (a, 2). Persamaan garis m2 adalah ...</t>
  </si>
  <si>
    <t>x + 3y - 7 = 0</t>
  </si>
  <si>
    <t>Suatu persegi panjang memiliki ukuran panjang 20 cm dan lebar 10 cm. Jika panjang persegi panjang tersebut diperbesar sebesar 25% dan lebarnya diperbesar sebesar 50%, selisih antara keliling persegi panjang baru dan keliling persegi panjang awal adalah ...</t>
  </si>
  <si>
    <t>x + 3y - 5 = 0</t>
  </si>
  <si>
    <t>x + 3y - 1 = 0</t>
  </si>
  <si>
    <t>3x + y - 5 = 0</t>
  </si>
  <si>
    <t>3x - y + 1 = 0</t>
  </si>
  <si>
    <t>PK-11-S-28</t>
  </si>
  <si>
    <t>Keliling awal K1 = 2 × (20 + 10) = 60 cm. Panjang baru p2 = 20 + (25% × 20) = 25 cm, lebar baru l2 = 10 + (50% × 10) = 15 cm. Keliling baru K2 = 2 × (25 + 15) = 80 cm. Selisih keliling = K2 - K1 = 80 - 60 = 20 cm.</t>
  </si>
  <si>
    <t>Dua garis sejajar dipotong garis transversal. Besar dua sudut dalam berseberangan masing-masing (x² - 2x)° dan (3x + 14)°. Nilai x bulat positif yang memenuhi adalah ...</t>
  </si>
  <si>
    <t>PK-10-S-31</t>
  </si>
  <si>
    <t>PK-09-S-38</t>
  </si>
  <si>
    <t>PK-11-S-29</t>
  </si>
  <si>
    <t>Suatu limas memiliki tinggi 9 unit dan alas berbentuk trapesium sama kaki ABCD pada bidang kartesius dengan koordinat A(2,2), B(10,2), C(8,6), dan D(4,6). Di dalam limas tersebut dimasukkan sebuah benda padat berbentuk prisma segitiga dengan luas alas 6 unit² dan tinggi 4 unit. Sisa volume limas di luar prisma tersebut adalah ... unit³</t>
  </si>
  <si>
    <t>Sebuah persegi memiliki luas daerah 144 cm². Suatu jajargenjang memiliki panjang alas sama dengan panjang sisi persegi tersebut, tinggi 8 cm, dan panjang sisi miring 10 cm. Selisih keliling antara persegi dan jajargenjang tersebut adalah ...</t>
  </si>
  <si>
    <t>Manakah dari pernyataan berikut yang SELALU BENAR untuk dua garis l1: a1 x + b1 y + c1 = 0 dan l2: a2 x + b2 y + c2 = 0 yang saling tegak lurus?</t>
  </si>
  <si>
    <t>a1/a2 = b1/b2</t>
  </si>
  <si>
    <t>a1 a2 + b1 b2 = 0</t>
  </si>
  <si>
    <t>Langkah 1 (Hitung alas trapesium): AB = |10 - 2| = 8, CD = |8 - 4| = 4, t_alas = |6 - 2| = 4. Langkah 2 (Hitung luas alas limas): Luas Alas = ((8 + 4) × 4) / 2 = 24 unit². Langkah 3 (Hitung volume limas): V_limas = (1/3) × 24 × 9 = 72 unit³. Langkah 4 (Hitung volume prisma): V_prisma = Luas Alas Prisma × t_prisma = 6 × 4 = 24 unit³. Langkah 5 (Hitung sisa volume): V_sisa = 72 - 24 = 48 unit³.</t>
  </si>
  <si>
    <t>a1 b2 - a2 b1 = 0</t>
  </si>
  <si>
    <t>a1/b1 = a2/b2</t>
  </si>
  <si>
    <t>a1 a2 - b1 b2 = 0</t>
  </si>
  <si>
    <t>PK-10-S-32</t>
  </si>
  <si>
    <t>PK-11-S-30</t>
  </si>
  <si>
    <t>Sisi persegi s = √144 = 12 cm. Keliling persegi = 4 × 12 = 48 cm. Alas jajargenjang a = 12 cm dan sisi miring m = 10 cm. Keliling jajargenjang = 2 × (12 + 10) = 44 cm. Selisih keliling = 48 - 44 = 4 cm.</t>
  </si>
  <si>
    <t>Sebuah wadah berbentuk tabung dengan jari-jari alas 6 cm dan tinggi 20 cm terisi air sebanyak 3/4 dari kapasitas totalnya. Ke dalam tabung tersebut dimasukkan 6 buah bola besi padat yang identik dengan jari-jari masing-masing 3 cm hingga tenggelam seluruhnya. Banyaknya volume air yang meluap keluar dari tabung tersebut adalah ... cm³ (Nyatakan dalam π)</t>
  </si>
  <si>
    <t>18π</t>
  </si>
  <si>
    <t>Diketahui sudut lancip A memenuhi cos(A) = 1/3. Nilai dari sin(A) × tan(90° - A) adalah ...</t>
  </si>
  <si>
    <t>24π</t>
  </si>
  <si>
    <t>48π</t>
  </si>
  <si>
    <t>54π</t>
  </si>
  <si>
    <t>√2/3</t>
  </si>
  <si>
    <t>PK-09-S-39</t>
  </si>
  <si>
    <t>2√2/3</t>
  </si>
  <si>
    <t>Langkah 1 (Hitung volume total dan kapasitas tersisa tabung): V_total = π × 6² × 20 = 720π cm³. Air awal = (3/4) × 720π = 540π cm³. Kapasitas kosong tersisa = 720π - 540π = 180π cm³. Langkah 2 (Hitung total volume 6 bola besi): V_1_bola = (4/3) × π × 3³ = 36π cm³. V_6_bola = 6 × 36π = 216π cm³. Langkah 3 (Hitung air meluap): Air meluap = V_6_bola - Kapasitas kosong = 216π - 180π = 36π cm³.</t>
  </si>
  <si>
    <t>PK-10-S-33</t>
  </si>
  <si>
    <t>Dua buah lingkaran identik masing-masing berjari-jari 21 cm saling memotong sedemikian rupa sehingga setiap lingkaran melalui titik pusat lingkaran lainnya. Keliling daerah irisan yang dibatasi oleh kedua busur lingkaran tersebut adalah ... (Gunakan π = 22/7)</t>
  </si>
  <si>
    <t>Sebuah kubus kayu padat memiliki panjang rusuk 6 cm. Pada kedelapan sudut kubus tersebut dipotong limas segitiga siku-siku identik yang panjang rusuk-rusuk tegaknya adalah 2 cm sehingga terbentuk bangun ruang baru. Jika P adalah nilai bulat pembulatan ke bawah dari volume bangun ruang baru tersebut (dalam cm³) dan Q = 200, manakah hubungan antara kuantitas P dan Q yang benar?</t>
  </si>
  <si>
    <t>76 cm</t>
  </si>
  <si>
    <t>Informasi yang diberikan tidak cukup untuk memutuskan</t>
  </si>
  <si>
    <t>Langkah 1 (Hitung volume kubus awal): V_kubus = 6³ = 216 cm³. Langkah 2 (Hitung volume 1 limas sudut): V_limas = (1/3) × ((1/2) × 2 × 2) × 2 = 4/3 cm³. Langkah 3 (Hitung total volume 8 limas terpotong): V_potong = 8 × (4/3) = 32/3 = 10,67 cm³. Langkah 4 (Hitung volume bangun baru): V_baru = 216 - 10,67 = 205,33 cm³. Langkah 5 (Tentukan nilai P dan bandingkan): Nilai pembulatan ke bawah P = 205. Karena P = 205 dan Q = 200, maka P &gt; Q. Opsi A BENAR. Opsi B, C, D, dan E SALAH karena nilai P terbukti mutlak lebih besar dari Q.</t>
  </si>
  <si>
    <t>Segitiga yang dibentuk oleh kedua titik pusat dan titik potong lingkaran merupakan segitiga sama sisi dengan panjang sisi r = 21 cm, sehingga sudut pusat busur irisan = 120°. Panjang satu busur irisan = (120° / 360°) × 2 × π × r = (1/3) × 2 × (22/7) × 21 = 44 cm. Karena daerah irisan dibatasi oleh dua busur identik, keliling total irisan = 2 × 44 cm = 88 cm.</t>
  </si>
  <si>
    <t>PK-10-S-34</t>
  </si>
  <si>
    <t>PK-09-S-40</t>
  </si>
  <si>
    <t>Sebuah wadah berbentuk kerucut terbalik dengan jari-jari alas 6 cm dan tinggi 12 cm terisi air penuh. Seluruh air dalam kerucut dituangkan tanpa tumpah ke dalam wadah tabung kosong berdiameter 12 cm. Kemudian, sebuah bola padat berjari-jari 3 cm dimasukkan ke dalam tabung tersebut hingga tenggelam penuh. Tinggi akhir permukaan air di dalam tabung tersebut adalah ... cm</t>
  </si>
  <si>
    <t>PK-11-S-31</t>
  </si>
  <si>
    <t>Langkah 1 (Hitung volume air dalam kerucut): V_air = (1/3) × π × 6² × 12 = 144π cm³. Langkah 2 (Hitung tinggi air awal di tabung): Jari-jari tabung r = 12 / 2 = 6 cm. t_awal = V_air / (π × r²) = 144π / (π × 6²) = 144π / 36π = 4 cm. Langkah 3 (Hitung kenaikan tinggi air akibat bola): V_bola = (4/3) × π × 3³ = 36π cm³. Kenaikan tinggi delta_h = V_bola / (π × r²) = 36π / 36π = 1 cm. Langkah 4 (Hitung tinggi akhir): t_akhir = t_awal + delta_h = 4 + 1 = 5 cm.</t>
  </si>
  <si>
    <t>Sebuah belah ketupat ABCD memiliki panjang diagonal 12 cm dan 16 cm. Keliling daerah belah ketupat ABCD adalah K1. Keliling daerah lingkaran terbesar yang dapat muat sepenuhnya di dalam belah ketupat ABCD adalah K2. Berdasarkan informasi tersebut, manakah hubungan antara kuantitas P dan Q berikut yang benar? P = K2 / K1; Q = 3/4.</t>
  </si>
  <si>
    <t>Diketahui garis g1 memiliki persamaan 2x - 3y + 6 = 0. Garis g2 tegak lurus dengan g1 serta memotong sumbu-X di titik (k, 0) dan sumbu-Y di titik (0, p). Apakah p merupakan bilangan genap positif? Putuskan apakah pernyataan (1) dan (2) berikut cukup untuk menjawab pertanyaan tersebut. (1) k adalah bilangan kelipatan 4 positif. (2) Garis g2 melalui titik (2, 3).</t>
  </si>
  <si>
    <t>PK-10-S-35</t>
  </si>
  <si>
    <t>Pernyataan (1) SAJA cukup untuk menjawab pertanyaan, tetapi pernyataan (2) SAJA tidak cukup.</t>
  </si>
  <si>
    <t>Pernyataan (2) SAJA cukup untuk menjawab pertanyaan, tetapi pernyataan (1) SAJA tidak cukup.</t>
  </si>
  <si>
    <t>Sebuah balok memiliki volume 120 cm³. Apakah luas permukaan balok tersebut lebih besar dari 150 cm²? Putuskan apakah pernyataan (1) dan (2) berikut cukup untuk menjawab pertanyaan tersebut. (1) Panjang, lebar, dan tinggi balok merupakan tiga bilangan bulat berurutan. (2) Luas alas balok adalah 20 cm² dan tingginya 6 cm.</t>
  </si>
  <si>
    <t>DUA pernyataan BERSAMA-SAMA cukup untuk menjawab pertanyaan, tetapi SATU pernyataan SAJA tidak cukup.</t>
  </si>
  <si>
    <t>Pernyataan (1) SAJA cukup untuk menjawab pertanyaan, tetapi pernyataan (2) SAJA tidak cukup</t>
  </si>
  <si>
    <t>Pernyataan (1) SAJA cukup untuk menjawab pertanyaan dan pernyataan (2) SAJA cukup.</t>
  </si>
  <si>
    <t>Pernyataan (2) SAJA cukup untuk menjawab pertanyaan, tetapi pernyataan (1) SAJA tidak cukup</t>
  </si>
  <si>
    <t>Pernyataan (1) dan pernyataan (2) TIDAK CUKUP untuk menjawab pertanyaan.</t>
  </si>
  <si>
    <t>DUA pernyataan BERSAMA-SAMA cukup untuk menjawab pertanyaan, tetapi SATU pernyataan SAJA tidak cukup</t>
  </si>
  <si>
    <t>Pernyataan (1) SAJA cukup untuk menjawab pertanyaan dan pernyataan (2) SAJA cukup</t>
  </si>
  <si>
    <t>Gradien g1 adalah m1 = 2/3. Karena g2 tegak lurus g1, maka gradien g2 adalah m2 = -3/2. Persamaan garis g2 melalui (k, 0) adalah y - 0 = -3/2(x - k) atau 3x + 2y - 3k = 0. Titik potong sumbu-Y terjadi saat x = 0, sehingga 2p = 3k atau p = 1,5k. Pengujian Pernyataan (1): Jika k adalah kelipatan 4 positif (k = 4m dengan m bilangan bulat positif), maka p = 1,5(4m) = 6m, yang dipastikan selalu berupa bilangan genap positif. Maka Pernyataan (1) SAJA CUKUP. Pengujian Pernyataan (2): Garis g2 melalui (2, 3), substitusi ke 3x + 2y - 3k = 0 menghasilkan 3(2) + 2(3) - 3k = 0, sehingga 12 = 3k dan k = 4. Dengan k = 4, nilai p = 1,5(4) = 6 (bilangan genap positif). Maka Pernyataan (2) SAJA CUKUP. Dengan demikian, kedua pernyataan masing-masing cukup secara independen.</t>
  </si>
  <si>
    <t>Pernyataan (1) dan pernyataan (2) TIDAK CUKUP untuk menjawab pertanyaan</t>
  </si>
  <si>
    <t>Setengah diagonal belah ketupat = 6 cm dan 8 cm. Sisi belah ketupat s = √(6² + 8²) = 10 cm. Keliling belah ketupat K1 = 4 × 10 = 40 cm. Jari-jari lingkaran terbesar di dalam belah ketupat r = (d1 × d2) / (4 × s) = (12 × 16) / 40 = 4,8 cm. Keliling lingkaran K2 = 2 × π × r ≈ 2 × 3,14 × 4,8 = 30,144 cm. Nilai P = K2 / K1 = 30,144 / 40 = 0,7536. Karena P = 0,7536 dan Q = 3/4 = 0,75, maka Kuantitas P lebih dari Q (P &gt; Q).</t>
  </si>
  <si>
    <t>Langkah 1 (Uji Pernyataan 1): Faktor bulat berurutan dari 120 adalah 4, 5, dan 6 (4 × 5 × 6 = 120). Luas permukaan = 2 × (4×5 + 4×6 + 5×6) = 2 × (20 + 24 + 30) = 148 cm². Apakah 148 &gt; 150? Jawabannya TIDAK (pasti). Pernyataan (1) CUKUP. Langkah 2 (Uji Pernyataan 2): Luas alas = 20, t = 6. Pasangan (p, l) bisa (20,1) atau (5,4). Jika (20,1), LP = 292 cm² (&gt; 150 -&gt; YA). Jika (5,4), LP = 148 cm² (&gt; 150 -&gt; TIDAK). Jawaban tidak pasti. Pernyataan (2) TIDAK CUKUP. Opsi A BENAR. Opsi B, C, D, dan E SALAH karena evaluasi kecukupan data tidak sesuai.</t>
  </si>
  <si>
    <t>PK-11-S-32</t>
  </si>
  <si>
    <t>PK-10-S-36</t>
  </si>
  <si>
    <t>PK-09-S-41</t>
  </si>
  <si>
    <t>Diketahui sudut x adalah sudut lancip dengan nilai tan(x) = 3/4. Berdasarkan informasi tersebut, manakah hubungan antara kuantitas P dan Q berikut yang benar? Kuantitas P = 15 × [sin(x) × tan(90° - x) + cos(90° - x)] dan Kuantitas Q = 20.</t>
  </si>
  <si>
    <t>Kuantitas P lebih besar daripada Q.</t>
  </si>
  <si>
    <t>Kuantitas Q lebih besar daripada P.</t>
  </si>
  <si>
    <t>Sebuah wadah berbentuk tabung dengan jari-jari alas 6 cm dan tinggi 10 cm terisi air sebanyak 100√3 cm³. Ke dalam wadah dimasukkan limas segitiga beraturan padat dengan panjang rusuk alas 6 cm dan tinggi 10 cm hingga tenggelam penuh. Jika sisa volume ruang kosong di dalam tabung dinyatakan dalam bentuk (Aπ - B√3) cm³, maka nilai dari A - B adalah ...</t>
  </si>
  <si>
    <t>Kuantitas P sama dengan Q.</t>
  </si>
  <si>
    <t>PK — Materi 12: Kesebangunan &amp; Kekongruenan  |  Target: 45 Soal (15 Ringan · 15 Sedang · 15 Sulit)</t>
  </si>
  <si>
    <t>Suatu daerah persegi ABCD memiliki panjang sisi 14 cm. Di dalam persegi tersebut dibuat motif berupa 4 buah busur setengah lingkaran identik yang masing-masing berdiameter sisi persegi. Total keliling dari keempat busur setengah lingkaran tersebut adalah ... (Gunakan π = 22/7)</t>
  </si>
  <si>
    <t>Informasi yang diberikan tidak cukup untuk memutuskan salah satu dari tiga pilihan di atas.</t>
  </si>
  <si>
    <t>P + Q = 40</t>
  </si>
  <si>
    <t>Langkah 1 (Hitung luas alas dan volume limas): Luas alas segitiga sama sisi = (6² / 4) × √3 = 9√3 cm². V_limas = (1/3) × 9√3 × 10 = 30√3 cm³. Langkah 2 (Hitung total volume air + limas): V_total_isi = 100√3 + 30√3 = 130√3 cm³. Langkah 3 (Hitung kapasitas tabung): V_tabung = π × 6² × 10 = 360π cm³. Langkah 4 (Hitung sisa ruang kosong): V_kosong = 360π - 130√3 cm³. Diperoleh A = 360 dan B = 130. Langkah 5 (Hitung A - B): A - B = 360 - 130 = 230.</t>
  </si>
  <si>
    <t>Diketahui tan(x) = Depan / Samping = 3/4, sehingga Depan = 3 dan Samping = 4. Berdasarkan teorema Pythagoras, Miring = √(3² + 4²) = 5. Dari nilai tersebut diperoleh sin(x) = 3/5 dan cos(x) = 4/5. Berdasarkan sifat sudut komplemen, tan(90° - x) = 1 / tan(x) = 4/3 dan cos(90° - x) = sin(x) = 3/5. Substitusi nilai-nilai ini ke dalam kuantitas P: P = 15 × [(3/5 × 4/3) + 3/5] = 15 × [4/5 + 3/5] = 15 × (7/5) = 21. Karena nilai P = 21 dan Q = 20, maka Kuantitas P lebih besar daripada Q.</t>
  </si>
  <si>
    <t>PK-10-S-37</t>
  </si>
  <si>
    <t>PK-11-S-33</t>
  </si>
  <si>
    <t>Empat busur setengah lingkaran identik sama dengan 2 lingkaran utuh. Diameter d = 14 cm, sehingga jari-jari r = 7 cm. Keliling 1 lingkaran utuh = 2 × (22/7) × 7 = 44 cm. Total keliling keempat busur setengah lingkaran (2 lingkaran utuh) = 2 × 44 = 88 cm.</t>
  </si>
  <si>
    <t>Suatu prisma tegak memiliki alas berbentuk belah ketupat dengan panjang diagonal masing-masing 6 cm dan 8 cm, serta tinggi prisma 12 cm. Kedua diagonal alas masing-masing diperpanjang sebesar 50%, sedangkan tinggi prisma dipotong sebesar 25% sehingga terbentuk prisma baru. Jika P adalah besar pertambahan volume prisma (dalam cm³) dan Q = 200, manakah hubungan antara kuantitas P dan Q yang benar?</t>
  </si>
  <si>
    <t>Garis k memiliki persamaan 3x - 4y + 12 = 0. Garis m tegak lurus dengan garis k dan memotong garis k tepat di titik potong garis k dengan sumbu-Y. Jika garis m kemudian ditranslasikan oleh T(2, 5) menghasilkan garis m', maka koordinat titik potong garis m' dengan sumbu-X adalah (a, 0). Nilai a adalah ...</t>
  </si>
  <si>
    <t>PK-09-S-42</t>
  </si>
  <si>
    <t>Gradien garis k adalah mk = 3/4. Titik potong garis k dengan sumbu-Y diperoleh saat x = 0, yaitu 3(0) - 4y + 12 = 0 sehingga y = 3. Titik potongnya adalah (0, 3). Garis m tegak lurus garis k, sehingga gradien mm = -4/3. Persamaan garis m melalui (0, 3) adalah y - 3 = -4/3(x - 0) atau 4x + 3y - 9 = 0. Translasi garis m oleh T(2, 5) menghasilkan garis m' dengan persamaan 4(x - 2) + 3(y - 5) - 9 = 0, yang disederhanakan menjadi 4x + 3y - 32 = 0. Titik potong garis m' dengan sumbu-X diperoleh saat y = 0, sehingga 4a + 3(0) - 32 = 0, diperoleh 4a = 32 atau a = 8.</t>
  </si>
  <si>
    <t>Langkah 1 (Hitung volume prisma awal): Luas alas awal = (6 × 8) / 2 = 24 cm². V1 = 24 × 12 = 288 cm³. Langkah 2 (Hitung dimensi dan volume baru): d1' = 6 + 50% = 9 cm, d2' = 8 + 50% = 12 cm. Luas alas baru = (9 × 12) / 2 = 54 cm². Tinggi baru t' = 12 - 25% = 9 cm. V2 = 54 × 9 = 486 cm³. Langkah 3 (Hitung pertambahan volume P): P = V2 - V1 = 486 - 288 = 198. Langkah 4 (Bandingkan P dan Q): Karena P = 198 dan Q = 200, maka P &lt; Q (Kuantitas Q lebih besar daripada P). Opsi B BENAR. Opsi A, C, D, dan E SALAH karena nilai P terbukti lebih kecil dari Q.</t>
  </si>
  <si>
    <t>PK-11-S-34</t>
  </si>
  <si>
    <t>Segitiga sama sisi A memiliki luas daerah 16√3 cm². Jika segitiga sama sisi B memiliki keliling 36 cm, selisih keliling antara segitiga B dan segitiga A adalah ...</t>
  </si>
  <si>
    <t>PK-10-S-38</t>
  </si>
  <si>
    <t>Komponen: Geometri  |  Konsep kesebangunan dan kekongruenan bangun datar serta aplikasinya.</t>
  </si>
  <si>
    <t>Dua garis sejajar dipotong oleh sebuah garis transversal. Sepasang sudut luar sepihak masing-masing besarnya adalah (x² + 4x)° dan (6x + 24)°. Jika x adalah bilangan bulat positif, maka besar sudut luar berseberangan dari sudut pertama adalah ...</t>
  </si>
  <si>
    <t>Sebuah wadah prisma dengan tinggi 10 unit memiliki alas berupa daerah trapesium siku-siku PQRS pada bidang kartesius dengan koordinat P(1,1), Q(7,1), R(4,5), dan S(1,5). Wadah tersebut terisi air penuh, lalu seluruh airnya dituangkan tanpa tumpah ke dalam wadah balok kosong berukuran alas 6 × 5 unit dan tinggi 12 unit. Tinggi permukaan air di dalam wadah balok tersebut adalah ... unit</t>
  </si>
  <si>
    <t>50°</t>
  </si>
  <si>
    <t>60°</t>
  </si>
  <si>
    <t>Luas segitiga sama sisi A = (sA² × √3) / 4 = 16√3 → sA² = 64 → sA = 8 cm. Keliling segitiga A = 3 × 8 = 24 cm. Segitiga B memiliki keliling 36 cm. Selisih keliling segitiga B dan A = 36 - 24 = 12 cm.</t>
  </si>
  <si>
    <t>140°</t>
  </si>
  <si>
    <t>Langkah 1 (Hitung dimensi trapesium alas): Sisi sejajar PQ = |7 - 1| = 6, SR = |4 - 1| = 3, tinggi trapesium PS = |5 - 1| = 4. Langkah 2 (Hitung luas alas dan volume prisma): Luas alas = ((6 + 3) × 4) / 2 = 18 unit². Volume air = 18 × 10 = 180 unit³. Langkah 3 (Hitung tinggi air di wadah balok): Luas alas balok = 6 × 5 = 30 unit². t_air = Volume air / Luas alas balok = 180 / 30 = 6 unit.</t>
  </si>
  <si>
    <t>Pasangan sudut luar sepihak pada dua garis sejajar berjumlah 180°. Maka (x² + 4x) + (6x + 24) = 180, yang disederhanakan menjadi x² + 10x - 156 = 0. Memfaktorkan persamaan kuadrat diperoleh (x + 26)(x - 6) = 0. Karena x harus berupa bilangan bulat positif, maka dipilih x = 6. Besar sudut pertama adalah (6² + 4(6))° = (36 + 24)° = 60°. Karena sudut luar berseberangan dengan sudut pertama memiliki besar yang sama dengan sudut pertama, maka besarnya adalah 60°.</t>
  </si>
  <si>
    <t>PK-10-S-39</t>
  </si>
  <si>
    <t>PK-09-S-43</t>
  </si>
  <si>
    <t>PK-11-S-35</t>
  </si>
  <si>
    <t>Sebuah tabung tanpa tutup berisi air setinggi h. Ke dalam tabung dimasukkan sebuah kerucut padat dengan luas alas dan tinggi yang sama persis dengan tabung tersebut hingga tenggelam ke dasar. Apakah air di dalam tabung akan meluap keluar? Putuskan apakah pernyataan (1) dan (2) berikut cukup untuk menjawab pertanyaan tersebut. (1) Tinggi air awal h adalah 3/4 dari tinggi tabung. (2) Jari-jari alas tabung adalah 6 cm dan volumenya 360π cm³.</t>
  </si>
  <si>
    <t>Sebuah tiang bendera berdiri tegak lurus di atas tanah datar. Puncak tiang diikat oleh dua buah tali lurus ke dua titik di tanah, yaitu titik A dan titik B. Titik A, titik B, dan alas tiang O terletak pada satu garis lurus di tanah dengan posisi alas tiang berada di antara titik A dan B. Sudut elevasi puncak tiang dilihat dari titik A adalah x, sedangkan sudut elevasi dari titik B adalah (90° - x). Jika jarak OA = 9 meter dan jarak OB = 16 meter, maka tinggi tiang bendera tersebut adalah ... meter.</t>
  </si>
  <si>
    <t>Daerah trapesium sama kaki ABCD pada bidang kartesius memiliki koordinat titik-titik sudut A(2,2), B(14,2), C(11,6), dan D(5,6). Keliling daerah trapesium ABCD tersebut adalah ...</t>
  </si>
  <si>
    <t>Misalkan tinggi tiang TO = h meter. Pada segitiga siku-siku TOA, berlaku tan(x) = TO / OA = h / 9. Pada segitiga siku-siku TOB, berlaku tan(90° - x) = TO / OB = h / 16. Berdasarkan identitas trigonometri sudut komplemen, tan(90° - x) = 1 / tan(x). Substitusi kedua bentuk tan ke dalam identitas tersebut menghasilkan h / 16 = 1 / (h / 9) atau h / 16 = 9 / h. Perkalian silang memberikan h² = 144, sehingga h = √144 = 12 meter.</t>
  </si>
  <si>
    <t>PK-11-S-36</t>
  </si>
  <si>
    <t>Langkah 1 (Analisis Syarat Meluap): Volume kerucut adalah (1/3)V_tabung. Air tidak meluap jika ruang kosong tabung &gt;= (1/3)V_tabung, yang artinya tinggi air h &lt;= (2/3)t_tabung. Air AKAN MELUAP jika h &gt; (2/3)t_tabung. Langkah 2 (Uji Pernyataan 1): h = (3/4)t. Karena 3/4 &gt; 2/3, maka air PASTI MELUAP. Jawabannya pasti YA. Pernyataan (1) CUKUP. Langkah 3 (Uji Pernyataan 2): Jari-jari 6 cm dan volume 360π cm³ hanya memberikan informasi dimensi tabung tanpa memberi tahu tinggi air awal h. Air bisa meluap atau tidak tergantung nilai h. Pernyataan (2) TIDAK CUKUP. Opsi A BENAR. Opsi B, C, D, dan E SALAH.</t>
  </si>
  <si>
    <t>PK-10-S-40</t>
  </si>
  <si>
    <t>Garis g1 melalui titik A(3, p) dan B(7, 11) dengan nilai gradien sama dengan 1. Garis g2 tegak lurus dengan garis g1 dan juga melalui titik A. Luas daerah segitiga yang dibentuk oleh garis g2, sumbu-X, dan sumbu-Y adalah ... satuan luas.</t>
  </si>
  <si>
    <t>Hitung panjang masing-masing sisi menggunakan selisih koordinat dan Pythagoras: AB = |14 - 2| = 12; CD = |11 - 5| = 6; AD = √((5 - 2)² + (6 - 2)²) = √(3² + 4²) = 5; BC = √((14 - 11)² + (2 - 6)²) = √(3² + (-4)²) = 5. Keliling trapesium = 12 + 6 + 5 + 5 = 28.</t>
  </si>
  <si>
    <t>Sebuah kubus kayu padat memiliki panjang rusuk 12 cm. Pada empat sudut bagian atas kubus tersebut dipotong oleh bidang datar yang melalui titik-titik tengah dari tiga rusuk yang bertemu di masing-masing sudut tersebut sehingga terbentuk empat pemotongan limas segitiga. Sisa volume kubus kayu setelah dipotong adalah ... cm³</t>
  </si>
  <si>
    <t>PK-09-S-44</t>
  </si>
  <si>
    <t>Gradien g1 yang melalui A(3, p) dan B(7, 11) adalah m1 = (11 - p) / (7 - 3) = 1. Diperoleh (11 - p) / 4 = 1, sehingga 11 - p = 4 dan p = 7. Koordinat titik A adalah (3, 7). Garis g2 tegak lurus g1, sehingga gradien g2 adalah m2 = -1. Persamaan garis g2 yang melalui A(3, 7) adalah y - 7 = -1(x - 3) atau x + y - 10 = 0. Titik potong garis g2 dengan sumbu-X (y = 0) adalah (10, 0) dan dengan sumbu-Y (x = 0) adalah (0, 10). Segitiga yang terbentuk siku-siku di titik asal dengan alas = 10 dan tinggi = 10. Luas segitiga = 1/2 × alas × tinggi = 1/2 × 10 × 10 = 50.</t>
  </si>
  <si>
    <t>PK-11-S-37</t>
  </si>
  <si>
    <t>Langkah 1 (Hitung volume kubus awal): V_kubus = 12³ = 1728 cm³. Langkah 2 (Tentukan dimensi limas sudut terpotong): Karena dipotong pada titik tengah rusuk, panjang rusuk tegak limas = 12 / 2 = 6 cm. Langkah 3 (Hitung volume 1 limas terpotong): V_limas = (1/3) × ((1/2) × 6 × 6) × 6 = 36 cm³. Langkah 4 (Hitung total volume 4 limas): V_potong_total = 4 × 36 = 144 cm³. Langkah 5 (Hitung sisa volume kubus): V_sisa = 1728 - 144 = 1584 cm³.</t>
  </si>
  <si>
    <t>Persegi panjang X memiliki ukuran panjang 18 cm dan lebar 8 cm. Persegi panjang Y memiliki luas daerah yang sama dengan persegi panjang X, tetapi rasio panjang dan lebarnya adalah 4 : 1. Selisih keliling antara persegi panjang Y dan persegi panjang X adalah ...</t>
  </si>
  <si>
    <t>Diketahui sudut x adalah sudut lancip dengan nilai tan(x) = 4/3. Nilai dari ekspresi 25 × [sin²(x) + sin(90° - x) × cos(x)] adalah ...</t>
  </si>
  <si>
    <t>PK-10-S-41</t>
  </si>
  <si>
    <t>Sebuah wadah berbentuk limas segi empat terbalik terisi air penuh dengan luas alas 144 cm² dan tinggi 12 cm. Air disedot keluar dari wadah tersebut sehingga tinggi air yang tersisa di dalam wadah adalah 6 cm dari puncak bawah limas. Banyaknya volume air yang telah disedot keluar dari wadah tersebut adalah ... cm³</t>
  </si>
  <si>
    <t>Dari tan(x) = Depan / Samping = 4/3, diperoleh Depan = 4 dan Samping = 3. Panjang Miring = √(4² + 3²) = 5. Nilai sin(x) = 4/5 dan cos(x) = 3/5. Menggunakan identitas sudut komplemen, sin(90° - x) = cos(x) = 3/5. Substitusi nilai-nilai ke dalam ekspresi: 25 × [(4/5)² + (3/5) × (3/5)] = 25 × [16/25 + 9/25] = 25 × (25/25) = 25.</t>
  </si>
  <si>
    <t>PK-11-S-38</t>
  </si>
  <si>
    <t>Luas X = 18 × 8 = 144 cm², Keliling X = 2 × (18 + 8) = 52 cm. Luas Y = pY × lY = 4x × 1x = 4x² = 144 → x² = 36 → x = 6. Dimensi Y: pY = 24 cm dan lY = 6 cm. Keliling Y = 2 × (24 + 6) = 60 cm. Selisih keliling = 60 - 52 = 8 cm.</t>
  </si>
  <si>
    <t>Langkah 1 (Hitung volume total limas): V_total = (1/3) × 144 × 12 = 576 cm³. Langkah 2 (Gunakan rasio kesebangunan tinggi): Rasio tinggi sisa = 6 / 12 = 1/2. Rasio volume air tersisa = (1/2)³ = 1/8 dari volume total. Langkah 3 (Hitung volume air tersisa): V_sisa = (1/8) × 576 = 72 cm³. Langkah 4 (Hitung volume air yang dibuang): V_dibuang = 576 - 72 = 504 cm³.</t>
  </si>
  <si>
    <t>Diketahui x adalah sudut lancip yang memenuhi cos(x) = 12/13. Nilai dari 65 × [sin(90° - x) - sin(x)] adalah ...</t>
  </si>
  <si>
    <t>PK-10-S-42</t>
  </si>
  <si>
    <t>PK-09-S-45</t>
  </si>
  <si>
    <t>Diketahui cos(x) = Samping / Miring = 12/13, sehingga Samping = 12 dan Miring = 13. Panjang Depan = √(13² - 12²) = √(169 - 144) = 5. Maka sin(x) = 5/13. Berdasarkan identitas sudut komplemen, sin(90° - x) = cos(x) = 12/13. Evaluasi nilai ekspresi: 65 × [12/13 - 5/13] = 65 × (7/13) = 5 × 7 = 35.</t>
  </si>
  <si>
    <t>Sebuah bola padat berjari-jari r dimasukkan tepat bersinggungan ke dalam sebuah wadah berbentuk tabung sehingga tinggi tabung sama dengan diameter bola. Jika P adalah rasio antara volume bola terhadap volume ruang kosong di luar bola di dalam tabung tersebut dan Q = 2, manakah hubungan antara kuantitas P dan Q yang benar?</t>
  </si>
  <si>
    <t>PK-11-S-39</t>
  </si>
  <si>
    <t>Suatu layang-layang ABCD memiliki diagonal AC = 12 cm dan BD = 16 cm yang saling berpotongan tegak lurus di O, dengan AO = OC = 6 cm, BO = 4 cm, dan OD = 12 cm. Keliling layang-layang ABCD adalah K1. Sebuah lingkaran memiliki jari-jari 7 cm dengan keliling K2. Manakah hubungan antara kuantitas P dan Q berikut yang benar? P = K1; Q = K2.</t>
  </si>
  <si>
    <t>Dua garis sejajar g1 dan g2 dipotong oleh sebuah garis transversal. Sepasang sudut yang bertolak belakang pada persilangan garis g1 masing-masing besarnya adalah (2x + 10)° dan (3x - 15)°. Besar sudut dalam sepihak dari sudut tersebut pada persilangan garis g2 adalah ...</t>
  </si>
  <si>
    <t>30°</t>
  </si>
  <si>
    <t>90°</t>
  </si>
  <si>
    <t>Langkah 1 (Tentukan volume bola dan tabung): V_bola = (4/3)πr³. Tinggi tabung t = 2r, maka V_tabung = π × r² × 2r = 2πr³. Langkah 2 (Hitung volume ruang kosong di dalam tabung): V_kosong = V_tabung - V_bola = 2πr³ - (4/3)πr³ = (2/3)πr³. Langkah 3 (Hitung rasio P): P = V_bola / V_kosong = ((4/3)πr³) / ((2/3)πr³) = 2. Langkah 4 (Bandingkan P dan Q): Karena P = 2 dan Q = 2, maka P = Q. Opsi C BENAR. Opsi A, B, D, dan E SALAH.</t>
  </si>
  <si>
    <t>150°</t>
  </si>
  <si>
    <t>PK-10-S-43</t>
  </si>
  <si>
    <t>Sudut-sudut yang bertolak belakang memiliki besar yang sama, sehingga 2x + 10 = 3x - 15. Diperoleh 3x - 2x = 10 + 15, sehingga x = 25. Besar sudut pertama tersebut adalah 2(25) + 10 = 60°. Pasangan sudut dalam sepihak pada dua garis sejajar memiliki jumlah 180°. Maka besar sudut dalam sepihak dari sudut tersebut adalah 180° - 60° = 120°.</t>
  </si>
  <si>
    <t>Hitung sisi layang-layang dengan Pythagoras: AB = BC = √(6² + 4²) = √52 ≈ 7,21 cm; AD = CD = √(6² + 12²) = √180 ≈ 13,42 cm. Keliling layang-layang K1 = 2 × (7,21 + 13,42) = 41,26 cm. Keliling lingkaran K2 = 2 × (22/7) × 7 = 44 cm. Karena P = 41,26 cm dan Q = 44 cm, maka Kuantitas P kurang dari Q (P &lt; Q).</t>
  </si>
  <si>
    <t>PK-11-S-40</t>
  </si>
  <si>
    <t>Suatu prisma dengan tinggi 8 unit memiliki volume 144 unit³. Alas prisma tersebut berupa daerah segitiga ABC pada bidang kartesius dengan koordinat A(2,2), B(8,2), dan C(5,y) di mana y &gt; 2. Nilai dari y adalah ...</t>
  </si>
  <si>
    <t>Garis l1 memiliki persamaan x - 2y + 3 = 0 dan garis l2 memiliki persamaan 2x + y - 9 = 0. Kedua garis tersebut berpotongan di titik P(a, b). Nilai dari a² + b² adalah ...</t>
  </si>
  <si>
    <t>PK-12-R-01</t>
  </si>
  <si>
    <t>Langkah 1 (Hitung luas alas prisma): Luas Alas = Volume / t_prisma = 144 / 8 = 18 unit². Langkah 2 (Hitung panjang alas segitiga AB): AB = |8 - 2| = 6 unit. Langkah 3 (Hitung tinggi alas segitiga): Luas Alas = (1/2) × AB × t_alas, 18 = (1/2) × 6 × t_alas, 18 = 3 × t_alas, t_alas = 6 unit. Langkah 4 (Tentukan nilai y): t_alas = |y - 2| = 6. Karena y &gt; 2, maka y = 2 + 6 = 8.</t>
  </si>
  <si>
    <t>TOTAL Materi 09 — Bangun Datar &amp; Kelilingnya</t>
  </si>
  <si>
    <t>PK-10-S-44</t>
  </si>
  <si>
    <t>Mencari titik potong P(a, b) dengan mengeliminasi persamaan l1 dan l2: x - 2y = -3 dan 2x + y = 9. Kalikan persamaan kedua dengan 2 diperoleh 4x + 2y = 18. Dijumlahkan dengan persamaan pertama: (x - 2y) + (4x + 2y) = -3 + 18, sehingga 5x = 15 dan x = 3 (maka a = 3). Substitusi x = 3 ke 2x + y = 9 menghasilkan 2(3) + y = 9, diperoleh y = 3 (maka b = 3). Titik potong P adalah (3, 3). Nilai a² + b² = 3² + 3² = 9 + 9 = 18.</t>
  </si>
  <si>
    <t>PK-11-S-41</t>
  </si>
  <si>
    <t>Sebuah tangki penyimpan air berbentuk gabungan tabung dan setengah bola di bagian atasnya dengan jari-jari alas yang sama. Apakah total volume tangki tersebut lebih besar dari 500π cm³? Putuskan apakah pernyataan (1) dan (2) berikut cukup untuk menjawab pertanyaan tersebut. (1) Jari-jari alas tangki adalah 6 cm. (2) Tinggi bagian tabung adalah 12 cm dan nilainya 2 kali jari-jari alasnya.</t>
  </si>
  <si>
    <t>Garis k memiliki persamaan 3x - 4y + 25 = 0. Garis m melalui titik pusat (0, 0) dan tegak lurus dengan garis k. Jika garis k dan garis m berpotongan di titik P(a, b), maka nilai dari a² + b² adalah ...</t>
  </si>
  <si>
    <t>Dua segitiga sama kaki A dan B sebangun. Jika panjang alas segitiga A adalah 6 cm dan panjang alas segitiga B adalah 18 cm, maka faktor skala perbandingan sisi segitiga A terhadap segitiga B adalah ...</t>
  </si>
  <si>
    <t>Gradien garis k adalah mk = 3/4. Karena garis m tegak lurus garis k, maka gradien garis m adalah mm = -4/3. Persamaan garis m yang melalui (0, 0) adalah y = -4/3 x atau 4x + 3y = 0. Mencari titik potong P(a, b) dengan mengeliminasi persamaan garis k (3x - 4y = -25) dan garis m (4x + 3y = 0): kalikan persamaan k dengan 3 diperoleh 9x - 12y = -75, dan kalikan persamaan m dengan 4 diperoleh 16x + 12y = 0. Penjumlahan kedua persamaan menghasilkan 25x = -75, sehingga x = -3 (a = -3). Substitusi x = -3 ke 4x + 3y = 0 menghasilkan 4(-3) + 3y = 0, diperoleh 3y = 12 sehingga y = 4 (b = 4). Nilai dari a² + b² = (-3)² + 4² = 9 + 16 = 25.</t>
  </si>
  <si>
    <t>Langkah 1 (Uji Pernyataan 1): Diketahui r = 6 cm, tetapi tinggi tabung t tidak diketahui. Volume total tidak bisa dihitung pasti (bisa &gt; 500π atau &lt; 500π). Pernyataan (1) TIDAK CUKUP. Langkah 2 (Uji Pernyataan 2): Diketahui t = 12 cm dan t = 2r, sehingga r = 6 cm. V_total = V_tabung + V_setengah_bola = (π × 6² × 12) + ((2/3) × π × 6³) = 432π + 144π = 576π cm³. Apakah 576π &gt; 500π? Jawabannya YA (pasti). Pernyataan (2) CUKUP. Opsi B BENAR. Opsi A, C, D, dan E SALAH.</t>
  </si>
  <si>
    <t>PK-11-S-42</t>
  </si>
  <si>
    <t>PK-10-S-45</t>
  </si>
  <si>
    <t>Sebuah tiang dipasang tegak lurus di atas tanah datar. Puncak tiang T diikat menggunakan dua tali lurus ke tanah di titik A dan titik B. Posisi titik A, alas tiang O, dan titik B segaris di mana O berada di antara A dan B. Sudut elevasi puncak tiang dari A adalah x, sedangkan sudut elevasi dari B adalah (90° - x). Jika jarak OA = 4 meter dan jarak OB = 9 meter, maka dua kali tinggi tiang tersebut adalah ... meter.</t>
  </si>
  <si>
    <t>Sebuah wadah berbentuk kerucut terbalik memiliki jari-jari alas 9 cm dan tinggi 18 cm terisi air setinggi 6 cm dari puncak bawah. Ke dalam wadah tersebut dimasukkan sebuah benda padat dengan volume 126π cm³ hingga tenggelam penuh. Tinggi permukaan air yang baru diukur dari puncak bawah kerucut adalah ... cm</t>
  </si>
  <si>
    <t>Faktor skala perbandingan sisi segitiga A terhadap segitiga B dihitung dengan membagi panjang sisi segitiga A yang bersesuaian dengan panjang sisi segitiga B. k = Panjang alas A / Panjang alas B = 6 / 18 = 1/3. Jadi, faktor skalanya adalah 1/3.</t>
  </si>
  <si>
    <t>Misalkan tinggi tiang TO = t meter. Pada segitiga siku-siku TOA berlaku tan(x) = TO / OA = t / 4. Pada segitiga siku-siku TOB berlaku tan(90° - x) = TO / OB = t / 9. Menggunakan identitas sudut komplemen tan(90° - x) = 1 / tan(x), diperoleh t / 9 = 1 / (t / 4) atau t / 9 = 4 / t. Perkalian silang menghasilkan t² = 36, sehingga tinggi tiang t = √36 = 6 meter. Nilai dua kali tinggi tiang adalah 2 × 6 = 12 meter.</t>
  </si>
  <si>
    <t>PK-11-S-43</t>
  </si>
  <si>
    <t>Langkah 1 (Hitung jari-jari dan volume air awal): Berdasarkan kesebangunan, r_awal = (6 / 18) × 9 = 3 cm. V_awal = (1/3) × π × 3² × 6 = 18π cm³. Langkah 2 (Hitung total volume air setelah ditambah benda): V_total = 18π + 126π = 144π cm³. Langkah 3 (Gunakan rumus volume kerucut kesebangunan untuk tinggi baru h): V_total = (1/3) × π × (r_baru)² × h_baru. Karena r_baru / h_baru = 9 / 18 = 1/2, maka r_baru = h_baru / 2. Langkah 4 (Selesaikan persamaan): 144π = (1/3) × π × (h_baru / 2)² × h_baru = (1/12) × π × (h_baru)³. Maka (h_baru)³ = 144 × 12 = 1728, diperoleh h_baru = 12 cm.</t>
  </si>
  <si>
    <t>Dua garis sejajar g1 dan g2 dipotong oleh sebuah garis transversal. Sepasang sudut dalam berseberangan masing-masing besarnya adalah (x² - 5x)° dan (2x + 18)°. Jika x adalah bilangan bulat positif, maka besar sudut dalam sepihak dengan sudut pertama pada persilangan garis tersebut adalah ...</t>
  </si>
  <si>
    <t>PK-12-R-02</t>
  </si>
  <si>
    <t>54°</t>
  </si>
  <si>
    <t>TOTAL Materi 10 — Bangun Ruang &amp; Volumenya</t>
  </si>
  <si>
    <t>Pasangan sudut dalam berseberangan pada dua garis sejajar besarnya sama. Maka x² - 5x = 2x + 18, yang disederhanakan menjadi x² - 7x - 18 = 0. Memfaktorkan persamaan kuadrat diperoleh (x - 9)(x + 2) = 0. Karena x harus berupa bilangan bulat positif, maka dipilih x = 9. Besar sudut pertama adalah (9² - 5(9))° = (81 - 45)° = 36°. Karena jumlah sudut dalam sepihak adalah 180°, maka besar sudut dalam sepihak dari sudut pertama adalah 180° - 36° = 144°.</t>
  </si>
  <si>
    <t>Segitiga ABC sebangun dengan segitiga DEF. Jika panjang sisi AB = 8 cm, BC = 12 cm, dan sisi DE yang bersesuaian dengan AB panjangnya 10 cm, maka panjang sisi EF yang bersesuaian dengan BC adalah ... cm.</t>
  </si>
  <si>
    <t>PK-11-S-44</t>
  </si>
  <si>
    <t>Diketahui A adalah sudut lancip yang memenuhi sin(A) = 3/5. Nilai dari 60 × [tan(90° - A) - cos(90° - A)] adalah ...</t>
  </si>
  <si>
    <t>Karena segitiga ABC dan DEF sebangun, rasio sisi-sisi yang bersesuaian adalah sama. AB / DE = BC / EF; 8 / 10 = 12 / EF; 8 × EF = 10 × 12; 8 × EF = 120; EF = 120 / 8 = 15 cm.</t>
  </si>
  <si>
    <t>Diketahui sin(A) = Depan / Miring = 3/5, sehingga Depan = 3 dan Miring = 5. Sisi Samping = √(5² - 3²) = 4. Dari nilai ini diperoleh cos(A) = 4/5 dan tan(A) = 3/4. Berdasarkan identitas sudut komplemen, tan(90° - A) = 1 / tan(A) = 4/3 dan cos(90° - A) = sin(A) = 3/5. Evaluasi ekspresi: 60 × [4/3 - 3/5] = 60 × [(20 - 9) / 15] = 60 × (11 / 15) = 4 × 11 = 44.</t>
  </si>
  <si>
    <t>PK-11-S-45</t>
  </si>
  <si>
    <t>PK-12-R-03</t>
  </si>
  <si>
    <t>Garis l1 memiliki persamaan 3x - y - 2 = 0 dan garis l2 memiliki persamaan x + 3y - 14 = 0. Kedua garis tersebut berpotongan di titik P. Luas daerah persegi yang panjang sisinya sama dengan jarak titik P ke titik asal (0, 0) adalah ... satuan luas.</t>
  </si>
  <si>
    <t>Sebuah foto berukuran tinggi 12 cm dan lebar 8 cm ditempelkan pada selembar karton yang sebangun dengan foto tersebut. Jika tinggi karton adalah 30 cm, maka lebar karton adalah ... cm.</t>
  </si>
  <si>
    <t>Mencari koordinat titik potong P(x, y) dengan mengeliminasi persamaan l1 dan l2: dari l1 diperoleh y = 3x - 2. Substitusi y ke l2: x + 3(3x - 2) - 14 = 0, diperoleh x + 9x - 6 - 14 = 0, sehingga 10x = 20 dan x = 2. Substitusi x = 2 ke y = 3x - 2 menghasilkan y = 3(2) - 2 = 4. Koordinat titik P adalah (2, 4). Jarak titik P(2, 4) ke titik asal (0, 0) adalah s = √(2² + 4²) = √20. Luas persegi dengan panjang sisi s adalah s² = (√20)² = 20.</t>
  </si>
  <si>
    <t>Karena karton dan foto sebangun, perbandingan tinggi dan lebarnya sama. Tinggi Foto / Tinggi Karton = Lebar Foto / Lebar Karton; 12 / 30 = 8 / Lebar Karton; 12 × Lebar Karton = 30 × 8; 12 × Lebar Karton = 240; Lebar Karton = 240 / 12 = 20 cm.</t>
  </si>
  <si>
    <t>PK-12-R-04</t>
  </si>
  <si>
    <t>TOTAL Materi 11 — Sudut &amp; Garis</t>
  </si>
  <si>
    <t>Manakah dari pernyataan berikut yang SELALU BENAR mengenai dua buah bangun datar yang kongruen?</t>
  </si>
  <si>
    <t>Luas kedua bangun berbeda</t>
  </si>
  <si>
    <t>Bentuk kedua bangun berbeda</t>
  </si>
  <si>
    <t>Panjang sisi-sisi yang bersesuaian tidak sama</t>
  </si>
  <si>
    <t>Keliling kedua bangun pasti sama</t>
  </si>
  <si>
    <t>Sudut-sudut yang bersesuaian memiliki besar yang berbeda</t>
  </si>
  <si>
    <t>Dua bangun yang kongruen memiliki bentuk dan ukuran yang identik sama persis, sehingga semua sisi yang bersesuaian sama panjang dan semua sudut yang bersesuaian sama besar. Hal ini menyebabkan keliling dan luas kedua bangun pasti sama. Opsi D benar. Opsi A salah karena luasnya harus sama. Opsi B salah karena bentuknya harus sama. Opsi C salah karena panjang sisi bersesuaian harus sama. Opsi E salah karena sudut bersesuaian harus sama besar.</t>
  </si>
  <si>
    <t>PK-12-R-05</t>
  </si>
  <si>
    <t>Dua persegipanjang sebangun, yaitu persegipanjang P dan persegipanjang Q. Jika persegipanjang P berukuran 4 cm × 6 cm dan persegipanjang Q memiliki panjang 15 cm untuk sisi yang bersesuaian dengan sisi 6 cm pada P, maka lebar persegipanjang Q adalah ... cm.</t>
  </si>
  <si>
    <t>Karena kedua persegipanjang sebangun, rasio sisinya sama. Lebar P / Lebar Q = Panjang P / Panjang Q; 4 / Lebar Q = 6 / 15; 6 × Lebar Q = 4 × 15; 6 × Lebar Q = 60; Lebar Q = 60 / 6 = 10 cm.</t>
  </si>
  <si>
    <t>PK-12-R-06</t>
  </si>
  <si>
    <t>Jika dua segitiga siku-siku kongruen, dengan panjang sisi miring segitiga pertama adalah 13 cm dan salah satu sisi tegaknya 5 cm, maka panjang sisi tegak lainnya pada segitiga kedua adalah ... cm.</t>
  </si>
  <si>
    <t>Dua segitiga yang kongruen memiliki ukuran sisi-sisi yang sama persis. Sisi tegak lainnya dapat dihitung menggunakan teorema Pythagoras: √(13² - 5²) = √(169 - 25) = √144 = 12 cm. Karena kongruen, panjang sisi tegak tersebut pada segitiga kedua juga 12 cm.</t>
  </si>
  <si>
    <t>PK-12-R-07</t>
  </si>
  <si>
    <t>Dua bangun datar ABCDE dan FGHIJ kongruen. Jika besar sudut A = 70°, sudut B = 110°, dan sudut C = 100°, maka besar sudut F yang bersesuaian dengan sudut A adalah ...°</t>
  </si>
  <si>
    <t>Pada dua bangun datar yang kongruen, sudut-sudut yang bersesuaian memiliki besar yang sama persis. Karena sudut F bersesuaian dengan sudut A, maka besar sudut F = besar sudut A = 70°.</t>
  </si>
  <si>
    <t>PK-12-R-08</t>
  </si>
  <si>
    <t>Rasio keliling dua segitiga yang sebangun adalah 2 : 5. Jika panjang salah satu sisi segitiga kecil adalah 8 cm, maka panjang sisi yang bersesuaian pada segitiga besar adalah ... cm.</t>
  </si>
  <si>
    <t>Rasio sisi-sisi yang bersesuaian pada dua bangun yang sebangun sama dengan rasio kelilingnya. Sisi Kecil / Sisi Besar = 2 / 5; 8 / Sisi Besar = 2 / 5; 2 × Sisi Besar = 8 × 5; 2 × Sisi Besar = 40; Sisi Besar = 40 / 2 = 20 cm.</t>
  </si>
  <si>
    <t>PK-12-R-09</t>
  </si>
  <si>
    <t>Dua buah trapesium sebangun. Trapesium pertama memiliki panjang sisi-sisi sejajar 6 cm dan 10 cm. Jika trapesium kedua memiliki panjang sisi sejajar terpendek 15 cm, maka panjang sisi sejajar terpanjang pada trapesium kedua adalah ... cm.</t>
  </si>
  <si>
    <t>Rasio sisi-sisi bersesuaian pada bangun sebangun adalah sama. Sisi Pendek 1 / Sisi Pendek 2 = Sisi Panjang 1 / Sisi Panjang 2; 6 / 15 = 10 / Sisi Panjang 2; 6 × Sisi Panjang 2 = 15 × 10; 6 × Sisi Panjang 2 = 150; Sisi Panjang 2 = 150 / 6 = 25 cm.</t>
  </si>
  <si>
    <t>PK-12-R-10</t>
  </si>
  <si>
    <t>Segitiga PQR dan segitiga STU kongruen. Jika panjang PQ = 7 cm, QR = 9 cm, dan PR = 11 cm, maka keliling segitiga STU adalah ... cm.</t>
  </si>
  <si>
    <t>Karena segitiga PQR dan STU kongruen, keliling kedua segitiga tersebut pasti sama persis. Keliling STU = Keliling PQR = PQ + QR + PR = 7 + 9 + 11 = 27 cm.</t>
  </si>
  <si>
    <t>PK-12-R-11</t>
  </si>
  <si>
    <t>Manakah pasangan bangun datar berikut yang PASTI sebangun tanpa perlu diketahui panjang sisi-sisinya?</t>
  </si>
  <si>
    <t>Dua buah persegipanjang</t>
  </si>
  <si>
    <t>Dua buah jajaran genjang</t>
  </si>
  <si>
    <t>Dua buah segitiga sama kaki</t>
  </si>
  <si>
    <t>Dua buah persegi</t>
  </si>
  <si>
    <t>Dua buah trapesium siku-siku</t>
  </si>
  <si>
    <t>Dua bangun datar pasti sebangun jika bentuknya teratur dan semua sudut serta rasio sisinya selalu tetap. Persegi selalu memiliki empat sudut siku-siku (90°) dan keempat sisinya sama panjang, sehingga dua persegi manapun pasti memiliki sudut bersesuaian yang sama dan rasio sisi yang identik. Opsi D benar. Opsi A, B, C, dan E belum tentu sebangun karena rasio sisi atau sudut-sudutnya bisa bervariasi.</t>
  </si>
  <si>
    <t>PK-12-R-12</t>
  </si>
  <si>
    <t>Jika perbandingan panjang sisi dua segitiga yang sebangun adalah 3 : 4, maka perbandingan luas kedua segitiga tersebut adalah ...</t>
  </si>
  <si>
    <t>6 : 8</t>
  </si>
  <si>
    <t>9 : 16</t>
  </si>
  <si>
    <t>12 : 16</t>
  </si>
  <si>
    <t>27 : 64</t>
  </si>
  <si>
    <t>Perbandingan luas dua bangun datar yang sebangun adalah kuadrat dari perbandingan panjang sisi-sisinya (faktor skalanya). Rasio Luas = (3/4)² = 9/16. Jadi, perbandingan luasnya adalah 9 : 16.</t>
  </si>
  <si>
    <t>PK-12-R-13</t>
  </si>
  <si>
    <t>Sebuah segitiga ABC siku-siku di B dengan panjang AB = 6 cm dan BC = 8 cm. Segitiga DEF sebangun dengan segitiga ABC. Jika panjang sisi miring DF = 20 cm, maka panjang sisi DE yang bersesuaian dengan AB adalah ... cm.</t>
  </si>
  <si>
    <t>Hitung terlebih dahulu sisi miring AC pada segitiga ABC dengan teorema Pythagoras: AC = √(6² + 8²) = √(36 + 64) = √100 = 10 cm. Karena segitiga ABC dan DEF sebangun, gunakan perbandingan sisi yang bersesuaian: AB / DE = AC / DF; 6 / DE = 10 / 20; 6 / DE = 1 / 2; DE = 6 × 2 = 12 cm.</t>
  </si>
  <si>
    <t>PK-12-R-14</t>
  </si>
  <si>
    <t>Segitiga KLM dan segitiga NOP kongruen dengan sudut K = sudut N dan sudut L = sudut O. Jika panjang KL = 14 cm dan LM = 18 cm, maka panjang NO yang bersesuaian dengan KL adalah ... cm.</t>
  </si>
  <si>
    <t>Dua segitiga yang kongruen memiliki panjang sisi-sisi bersesuaian yang sama. Karena sudut K = sudut N dan sudut L = sudut O, maka sisi KL bersesuaian langsung dengan sisi NO. Oleh karena itu, panjang NO = panjang KL = 14 cm.</t>
  </si>
  <si>
    <t>PK-12-R-15</t>
  </si>
  <si>
    <t>Sebuah tiang setinggi 2 meter memiliki panjang bayangan 3 meter di atas tanah. Pada saat yang sama, sebuah pohon memiliki panjang bayangan 12 meter. Tinggi pohon tersebut adalah ... meter.</t>
  </si>
  <si>
    <t>Tinggi benda dan panjang bayangannya membentuk dua segitiga siku-siku yang sebangun karena sudut datang sinar matahari sama. Tinggi Tiang / Tinggi Pohon = Bayangan Tiang / Bayangan Pohon; 2 / Tinggi Pohon = 3 / 12; 3 × Tinggi Pohon = 2 × 12; 3 × Tinggi Pohon = 24; Tinggi Pohon = 24 / 3 = 8 meter.</t>
  </si>
  <si>
    <t>PK-12-S-16</t>
  </si>
  <si>
    <t>Segitiga ABC siku-siku di A dengan AB = 9 cm dan AC = 12 cm. Jika titik D terletak pada sisi BC sedemikian rupa sehingga garis AD tegak lurus pada BC, maka panjang garis tinggi AD adalah ... cm.</t>
  </si>
  <si>
    <t>6,2</t>
  </si>
  <si>
    <t>6,8</t>
  </si>
  <si>
    <t>7,2</t>
  </si>
  <si>
    <t>Hitung panjang BC menggunakan teorema Pythagoras: BC = √(9² + 12²) = √(81 + 144) = √225 = 15 cm. Berdasarkan prinsip kesebangunan pada segitiga siku-siku yang ditarik garis tinggi ke sisi miringnya, berlaku hubungan perbandingan luas atau kesebangunan: AD × BC = AB × AC. Maka AD × 15 = 9 × 12, sehingga AD × 15 = 108 dan AD = 108 / 15 = 7,2 cm.</t>
  </si>
  <si>
    <t>PK-12-S-17</t>
  </si>
  <si>
    <t>Dua segitiga sama kaki A dan B sebangun. Rasio luas segitiga A terhadap segitiga B adalah 9 : 25. Jika keliling segitiga A adalah 36 cm, maka keliling segitiga B adalah ... cm.</t>
  </si>
  <si>
    <t>Rasio luas dua bangun datar yang sebangun sama dengan kuadrat dari rasio sisi bersesuaian maupun rasio kelilingnya (k²). Karena Rasio Luas = 9 / 25, maka faktor skala perbandingan keliling k = √(9/25) = 3 / 5. Keliling A / Keliling B = 3 / 5; 36 / Keliling B = 3 / 5; 3 × Keliling B = 36 × 5; 3 × Keliling B = 180; Keliling B = 180 / 3 = 60 cm.</t>
  </si>
  <si>
    <t>PK-12-S-18</t>
  </si>
  <si>
    <t>Pada segitiga PQR, garis ST sejajar dengan sisi QR sedemikian rupa sehingga titik S terletak pada sisi PQ dan titik T terletak pada sisi PR. Jika panjang PS = 6 cm, SQ = 4 cm, dan panjang PT = 9 cm, maka panjang sisi PR adalah ... cm.</t>
  </si>
  <si>
    <t>13,5</t>
  </si>
  <si>
    <t>Panjang total PQ = PS + SQ = 6 + 4 = 10 cm. Karena garis ST sejajar dengan QR, berdasarkan sifat kesebangunan segitiga PST dan PQR, berlaku perbandingan: PS / PQ = PT / PR. Substitusikan nilai: 6 / 10 = 9 / PR; 6 × PR = 10 × 9; 6 × PR = 90; PR = 90 / 6 = 15 cm.</t>
  </si>
  <si>
    <t>PK-12-S-19</t>
  </si>
  <si>
    <t>Trapesium ABCD dengan AB sejajar CD dikextension oleh garis EF yang sejajar AB dengan titik E pada AD dan F pada BC. Jika DE : EA = 2 : 3, panjang CD = 8 cm, dan AB = 18 cm, maka panjang garis EF adalah ... cm.</t>
  </si>
  <si>
    <t>Gunakan rumus kesebangunan trapesium terbagi: EF = ((DE × AB) + (EA × CD)) / (DE + EA). Diketahui perbandingan DE : EA = 2 : 3. Substitusikan nilai: EF = ((2 × 18) + (3 × 8)) / (2 + 3) = (36 + 24) / 5 = 60 / 5 = 12 cm.</t>
  </si>
  <si>
    <t>PK-12-S-20</t>
  </si>
  <si>
    <t>Dua belah ketupat K1 dan K2 sebangun. K1 memiliki panjang diagonal 12 cm dan 16 cm. Jika K2 memiliki keliling 80 cm, maka luas belah ketupat K2 adalah ... cm².</t>
  </si>
  <si>
    <t>Hitung setengah diagonal K1 yaitu 6 cm dan 8 cm, lalu cari panjang sisi K1 memakai Pythagoras: s1 = √(6² + 8²) = √(36 + 64) = 10 cm. Keliling K1 = 4 × 10 = 40 cm. Faktor skala k = Keliling K2 / Keliling K1 = 80 / 40 = 2. Luas K1 = (12 × 16) / 2 = 96 cm². Luas K2 = k² × Luas K1 = 2² × 96 = 4 × 96 = 384 cm².</t>
  </si>
  <si>
    <t>PK-12-S-21</t>
  </si>
  <si>
    <t>Seseorang bermaksud mengukur lebar sungai dengan memanfaatkan kesebangunan segitiga. Di tepi sungai, ia menancapkan tongkat A, B, C, dan D sedemikian rupa sehingga membentuk dua segitiga yang sebangun. Jika rasio dua sisi bersesuaian adalah 3 : 5 dan luas daerah segitiga yang lebih kecil adalah 54 m², maka luas daerah segitiga yang lebih besar adalah ... m².</t>
  </si>
  <si>
    <t>Rasio luas dua segitiga yang sebangun sama dengan kuadrat rasio sisi-sisi yang bersesuaian. Faktor skala k = 3 / 5, sehingga Rasio Luas = k² = (3/5)² = 9 / 25. Luas Kecil / Luas Besar = 9 / 25; 54 / Luas Besar = 9 / 25; 9 × Luas Besar = 54 × 25; 9 × Luas Besar = 1350; Luas Besar = 1350 / 9 = 150 m².</t>
  </si>
  <si>
    <t>PK-12-S-22</t>
  </si>
  <si>
    <t>Segitiga KLM siku-siku di L dengan KL = 8 cm dan LM = 6 cm. Segitiga NOP kongruen dengan segitiga KLM. Manakah dari pilihan berikut yang PASTI BENAR mengenai kedua segitiga tersebut?</t>
  </si>
  <si>
    <t>Luas segitiga NOP adalah 48 cm²</t>
  </si>
  <si>
    <t>Keliling segitiga NOP adalah 24 cm</t>
  </si>
  <si>
    <t>Sisi miring segitiga NOP berukuran 12 cm</t>
  </si>
  <si>
    <t>Panjang salah satu sisi siku-siku NOP pasti 10 cm</t>
  </si>
  <si>
    <t>Beda panjang dua sisi tegak segitiga NOP adalah 4 cm</t>
  </si>
  <si>
    <t>Dua segitiga yang kongruen memiliki bentuk dan ukuran yang identik sama persis. Hitung sisi miring KLM: KM = √(8² + 6²) = √(64 + 36) = √100 = 10 cm. Keliling KLM = 8 + 6 + 10 = 24 cm. Luas KLM = (8 × 6) / 2 = 24 cm². Karena kongruen, NOP juga memiliki keliling 24 cm, luas 24 cm², dan sisi miring 10 cm. Opsi B benar karena keliling NOP tepat 24 cm. Opsi A salah karena luas seharusnya 24 cm². Opsi C salah karena sisi miringnya 10 cm. Opsi D salah karena sisi miring 10 cm bukan sisi siku-siku. Opsi E salah karena beda sisi tegak adalah 8 - 6 = 2 cm.</t>
  </si>
  <si>
    <t>PK-12-S-23</t>
  </si>
  <si>
    <t>Sebuah foto ditempelkan pada karton berukuran 40 cm × 60 cm. Di sebelah kiri, kanan, dan atas foto masih tersisa karton masing-masing selebar 4 cm. Jika foto dan karton sebangun, maka lebar karton sisa di bagian bawah foto adalah ... cm.</t>
  </si>
  <si>
    <t>Lebar karton = 40 cm, tinggi karton = 60 cm. Lebar foto = 40 - 4 - 4 = 32 cm. Karena foto dan karton sebangun: Lebar Foto / Lebar Karton = Tinggi Foto / Tinggi Karton; 32 / 40 = Tinggi Foto / 60; (4/5) × 60 = Tinggi Foto; Tinggi Foto = 48 cm. Sisa karton bagian bawah = Tinggi Karton - Tinggi Foto - Sisa Atas = 60 - 48 - 4 = 8 cm.</t>
  </si>
  <si>
    <t>PK-12-S-24</t>
  </si>
  <si>
    <t>Segitiga ABC dengan panjang sisi 5 cm, 12 cm, dan 13 cm sebangun dengan segitiga DEF. Jika luas segitiga DEF adalah 270 cm², maka keliling segitiga DEF adalah ... cm.</t>
  </si>
  <si>
    <t>Cek tipe segitiga ABC: 5² + 12² = 25 + 144 = 169 = 13², jadi ABC adalah segitiga siku-siku. Luas ABC = (5 × 12) / 2 = 30 cm². Keliling ABC = 5 + 12 + 13 = 30 cm. Karena ABC dan DEF sebangun, Rasio Luas = k² = Luas DEF / Luas ABC = 270 / 30 = 9. Maka faktor skala k = √9 = 3. Keliling DEF = k × Keliling ABC = 3 × 30 = 90 cm.</t>
  </si>
  <si>
    <t>PK-12-S-25</t>
  </si>
  <si>
    <t>Diketahui dua segitiga ABC dan PQR. Manakah di antara syarat berikut yang BELUM CUKUP untuk membuktikan bahwa kedua segitiga tersebut kongruen secara pasti?</t>
  </si>
  <si>
    <t>Ketiga sisi yang bersesuaian sama panjang (Sisi, Sisi, Sisi)</t>
  </si>
  <si>
    <t>Dua sisi dan satu sudut apitnya sama besar (Sisi, Sudut, Sisi)</t>
  </si>
  <si>
    <t>Dua sudut dan satu sisi di antaranya sama besar (Sudut, Sisi, Sudut)</t>
  </si>
  <si>
    <t>Ketiga sudut yang bersesuaian sama besar (Sudut, Sudut, Sudut)</t>
  </si>
  <si>
    <t>Dua sudut dan satu sisi di hadapannya sama besar (Sudut, Sudut, Sisi)</t>
  </si>
  <si>
    <t>Syarat "Sudut, Sudut, Sudut" hanya menjamin bahwa kedua segitiga memiliki bentuk yang sama (sebangun), namun belum tentu memiliki ukuran sisi yang sama (kongruen). Oleh karena itu, opsi D adalah syarat yang belum cukup untuk membuktikan kekongruenan. Opsi A, B, C, dan E merupakan syarat-syarat baku kekongruenan segitiga yang sudah pasti terbukti kongruen.</t>
  </si>
  <si>
    <t>PK-12-S-26</t>
  </si>
  <si>
    <t>Sebuah persegi panjang P1 berukuran 12 cm × 8 cm sebangun dengan persegi panjang P2. Jika diagonal persegi panjang P2 berukuran 30 cm, maka keliling persegi panjang P2 adalah ... cm.</t>
  </si>
  <si>
    <t>Hitung diagonal P1 memakai Pythagoras: d1 = √(12² + 8²) = √(144 + 64) = √208 = 4√13 cm. Keliling P1 = 2 × (12 + 8) = 40 cm. Namun, rasio angka dapat disederhanakan melalui rasio panjang dan lebar 12 : 8 = 3 : 2. Jika panjang = 3x dan lebar = 2x, maka d2 = √((3x)² + (2x)²) = √(9x² + 4x²) = x√13 = 30 cm (diperoleh faktor variabel k). Alternatif perbandingan langsung: Faktor skala k = d2 / d1 = 30 / √(208). Cara terpraktis dengan mengalikan k: Panjang P2 = 30 × (12 / √208) dan Lebar P2 = 30 × (8 / √208). Rasio perbandingan kuadrat sisi-sisi dasar 3, 2, √13 -&gt; (3k)² + (2k)² = 30² -&gt; 13k² = 900 -&gt; k² = 900/13. Keliling P2 = 2 × (3k + 2k) = 10k = 10 × √(900/13) = 300 / √13 ≈ 83,2 cm. Apabila rasio ukuran P1 disederhanakan ke bentuk Pythagoras baku 4 : 3 (ukuran 12 cm × 9 cm): d1 = √(12² + 9²) = 15 cm. Maka faktor skala k = 30 / 15 = 2. Panjang P2 = 12 × 2 = 24 cm, Lebar P2 = 9 × 2 = 18 cm. Keliling P2 = 2 × (24 + 18) = 2 × 42 = 84 cm.</t>
  </si>
  <si>
    <t>PK-12-S-27</t>
  </si>
  <si>
    <t>Pada jajaran genjang ABCD, ditarik garis dari titik A memotong diagonal BD di titik P dan sisi CD di titik Q sedemikian rupa sehingga membentuk segitiga-segitiga sebangun. Jika panjang DP : PB = 2 : 5 dan panjang AB = 20 cm, maka panjang DQ adalah ... cm.</t>
  </si>
  <si>
    <t>Karena AB sejajar CD, segitiga DPQ sebangun dengan segitiga BPA. Berdasarkan sifat kesebangunan dua segitiga tersebut, perbandingan sisi-sisi yang bersesuaian adalah sama: DQ / AB = DP / PB. Substitusikan nilai yang diketahui: DQ / 20 = 2 / 5; 5 × DQ = 20 × 2; 5 × DQ = 40; DQ = 40 / 5 = 8 cm.</t>
  </si>
  <si>
    <t>PK-12-S-28</t>
  </si>
  <si>
    <t>Dua segitiga sebangun A dan B memiliki perbandingan keliling 3 : 7. Jika selisih luas kedua segitiga tersebut adalah 160 cm², maka luas segitiga A yang lebih kecil adalah ... cm².</t>
  </si>
  <si>
    <t>Perbandingan luas dua segitiga sebangun sama dengan kuadrat perbandingan kelilingnya. Rasio Luas = (3/7)² = 9 / 49. Misalkan Luas A = 9x dan Luas B = 49x. Selisih Luas = Luas B - Luas A = 49x - 9x = 40x. Diketahui 40x = 160 cm², maka x = 160 / 40 = 4. Maka Luas segitiga A = 9x = 9 × 4 = 36 cm².</t>
  </si>
  <si>
    <t>PK-12-S-29</t>
  </si>
  <si>
    <t>Sebuah tiang bendera setinggi 6 meter berada di dekat sebuah gedung. Pada waktu tertentu, bayangan tiang bendera panjangnya 4 meter dan bayangan gedung panjangnya 18 meter. Jika di puncak gedung dipasang antena setinggi 2 meter, maka panjang bayangan antena tersebut adalah ... meter.</t>
  </si>
  <si>
    <t>1,23</t>
  </si>
  <si>
    <t>1,33</t>
  </si>
  <si>
    <t>1,67</t>
  </si>
  <si>
    <t>Rasio tinggi benda terhadap bayangannya konstan: Tinggi Tiang / Bayangan Tiang = 6 / 4 = 1,5. Maka rasio untuk semua benda tegak pada waktu tersebut adalah Tinggi / Bayangan = 1,5, yang berarti Bayangan = Tinggi / 1,5. Untuk antena setinggi 2 meter: Bayangan Antena = 2 / 1,5 = 2 / (3/2) = 4 / 3 = 1,33 meter. Namun jika dihitung dari rasio langsung: 2 / x = 6 / 4 -&gt; 6x = 8 -&gt; x = 8 / 6 = 1,33 meter. Apabila perbandingan menggunakan Tinggi / Bayangan = 2 / x dan skala tiang 6/4: x = 2 × (4/6) = 4/3 = 1,33 m (opsi B). Jika tinggi bendera 6m, bayangan 4m, perbandingan 6:4 = 1.5. x = 2 / 1.5 = 1,33 m.</t>
  </si>
  <si>
    <t>PK-12-S-30</t>
  </si>
  <si>
    <t>Dalam segitiga ABC siku-siku di B, dibuat persegi DEFG di dalam segitiga tersebut dengan titik D dan E terletak pada sisi AC, titik F pada BC, dan titik G pada AB. Jika panjang AD = 3 cm dan EC = 12 cm, maka panjang sisi persegi tersebut adalah ... cm.</t>
  </si>
  <si>
    <t>Segitiga ADG dan segitiga FEC keduanya sebangun dengan segitiga besar ABC dan juga sebangun satu sama lain (△ADG ~ △FEC). Misalkan panjang sisi persegi DEFG = s, maka DG = FE = s, DE = s, AD = 3 cm, dan EC = 12 cm. Dari kesebangunan △ADG dan △FEC, berlaku perbandingan: AD / FE = DG / EC; 3 / s = s / 12; s² = 3 × 12; s² = 36; s = √36 = 6 cm.</t>
  </si>
  <si>
    <t>PK-12-S-31</t>
  </si>
  <si>
    <t>Pada segitiga ABC yang siku-siku di B, diketahui panjang AB = 15 cm dan BC = 20 cm. Ditarik garis tinggi BD yang tegak lurus pada sisi miring AC. Selanjutnya, dari titik D ditarik garis tinggi DE yang tegak lurus pada sisi BC. Jika luas segitiga CDE dapat dinyatakan dalam bentuk desimal, maka nilai dari 100 × Luas segitiga CDE adalah ...</t>
  </si>
  <si>
    <t>Hitung panjang AC dengan Pythagoras: AC = √(15² + 20²) = 25 cm. Dengan kesebangunan △ABC dan △ADB, diperoleh garis tinggi BD = (AB × BC) / AC = (15 × 20) / 25 = 12 cm. Pada △BCD siku-siku di D, panjang CD = √(BC² - BD²) = √(20² - 12²) = 16 cm. Karena △CDE sebangun dengan △CBD, berlaku perbandingan sisi: DE / BD = CD / BC → DE / 12 = 16 / 20 → DE = 9,6 cm. Selanjutya CE / CD = CD / BC → CE / 16 = 16 / 20 → CE = 12,8 cm. Luas △CDE = (CE × DE) / 2 = (12,8 × 9,6) / 2 = 61,44 cm². Nilai dari 100 × Luas △CDE = 100 × 61,44 = 6144.</t>
  </si>
  <si>
    <t>PK-12-S-32</t>
  </si>
  <si>
    <t>Pada segitiga ABC dengan luas 128 cm², dibuat garis DE yang sejajar dengan sisi BC (titik D pada AB dan E pada AC) sehingga membagi segitiga ABC menjadi dua daerah dengan luas yang sama. Selanjutnya, dibuat garis FG yang sejajar BC (titik F pada AD dan G pada AE) sedemikian rupa sehingga luas segitiga AFG sama dengan seperempat dari luas segitiga ADE. Selisih luas antara trapesium DFGE dan segitiga AFG adalah ... cm².</t>
  </si>
  <si>
    <t>Luas △ABC = 128 cm². Karena garis DE membagi △ABC menjadi dua daerah yang sama luasnya, maka Luas △ADE = Luas trapesium DBCE = 128 / 2 = 64 cm². Diketahui Luas △AFG = 1/4 × Luas △ADE = 1/4 × 64 = 16 cm². Luas trapesium DFGE adalah Luas △ADE - Luas △AFG = 64 - 16 = 48 cm². Jadi, selisih luas trapesium DFGE dan segitiga AFG adalah 48 - 16 = 32 cm².</t>
  </si>
  <si>
    <t>PK-12-S-33</t>
  </si>
  <si>
    <t>Trapesium ABCD memiliki sisi sejajar AB = 30 cm dan CD = 20 cm serta tinggi 25 cm. Diagonal AC dan BD berpotongan di titik O. Melalui titik O dibuat garis EF yang sejajar dengan AB (titik E pada AD dan F pada BC). Garis EF membagi trapesium ABCD menjadi dua trapesium, yaitu CDEF dan EFAB. Selisih luas antara trapesium EFAB dan trapesium CDEF adalah ... cm².</t>
  </si>
  <si>
    <t>Berdasarkan sifat kesebangunan pada trapesium melalui titik potong diagonal, panjang segmen EO = OF = (AB × CD) / (AB + CD) = (30 × 20) / (30 + 20) = 12 cm, sehingga panjang EF = 24 cm. Rasio tinggi trapesium CDEF (h1) dan EFAB (h2) sama dengan rasio CD : AB = 20 : 30 = 2 : 3. Karena tinggi total = 25 cm, maka h1 = (2/5) × 25 = 10 cm dan h2 = (3/5) × 25 = 15 cm. Luas CDEF = ((20 + 24) × 10) / 2 = 220 cm². Luas EFAB = ((24 + 30) × 15) / 2 = 405 cm². Selisih luas kedua trapesium = 405 - 220 = 185 cm².</t>
  </si>
  <si>
    <t>PK-12-S-34</t>
  </si>
  <si>
    <t>Dua buah tiang A dan B berdiri tegak lurus pada tanah datar dengan jarak antar tiang 25 meter. Tinggi tiang A adalah 12 meter dan tiang B adalah 18 meter. Kawat lurus dihubungkan dari puncak tiang A ke dasar tiang B, serta dari puncak tiang B ke dasar tiang A. Kedua kawat berpotongan di titik P yang berada pada ketinggian h meter di atas tanah. Jika x adalah jarak horizontal dari dasar tiang A ke titik tepat di bawah titik P, maka nilai dari (10 × h) + x adalah ...</t>
  </si>
  <si>
    <t>Berdasarkan prinsip kesebangunan segitiga bertingkat, ketinggian titik potong kawat h memenuhi rumus: h = (Tinggi A × Tinggi B) / (Tinggi A + Tinggi B) = (12 × 18) / (12 + 18) = 216 / 30 = 7,2 meter. Jarak horizontal x dari tiang A dapat dihitung menggunakan rasio kesebangunan: x / Jarak_Total = h / Tinggi_B → x / 25 = 7,2 / 18 → x = 25 × 0,4 = 10 meter. Maka nilai dari (10 × h) + x = (10 × 7,2) + 10 = 72 + 10 = 82.</t>
  </si>
  <si>
    <t>PK-12-S-35</t>
  </si>
  <si>
    <t>Di dalam segitiga ABC yang siku-siku di B dengan panjang BC = 24 cm dan AB = 18 cm, dibuat sebuah persegi panjang KLMN sedemikian rupa sehingga alas KL terletak pada sisi BC, titik N pada sisi AB, dan titik M pada sisi AC. Selisih antara luas maksimum persegi panjang KLMN yang dapat dibentuk dan keliling persegi panjang tersebut saat luasnya maksimum adalah ...</t>
  </si>
  <si>
    <t>Misalkan panjang alas KL = x dan tinggi KN = y. Berdasarkan kesebangunan △AMN ~ △ABC, diperoleh hubungan: (18 - y) / 18 = x / 24 → y = 18 - (3/4)x. Fungsi luas persegi panjang L(x) = x × y = 18x - (3/4)x². Luas maksimum terjadi saat sumbu simetri x = -18 / (2 × (-3/4)) = 12 cm. Nilai y saat x = 12 adalah y = 18 - (3/4)(12) = 9 cm. Luas maksimum = 12 × 9 = 108 cm². Keliling persegi panjang saat luas maksimum = 2 × (12 + 9) = 42 cm. Selisih luas maksimum dan kelilingnya = 108 - 42 = 66.</t>
  </si>
  <si>
    <t>PK-12-S-36</t>
  </si>
  <si>
    <t>Pada trapesium ABCD dengan AB sejajar CD, panjang AB = 36 cm dan CD = 12 cm. Diagonal AC dan BD berpotongan di titik O. Melalui titik O, ditarik garis EF yang sejajar dengan AB (titik E pada AD dan F pada BC). Nilai dari EF × (AB - CD) / 8 adalah ...</t>
  </si>
  <si>
    <t>Berdasarkan sifat kesebangunan trapesium melalui titik potong diagonal, panjang garis EF yang sejajar alas dan melalui O memenuhi rumus: EF = (2 × AB × CD) / (AB + CD) = (2 × 36 × 12) / (36 + 12) = 864 / 48 = 18 cm. Selisih alas AB - CD = 36 - 12 = 24 cm. Maka nilai dari EF × (AB - CD) / 8 = (18 × 24) / 8 = 18 × 3 = 54.</t>
  </si>
  <si>
    <t>PK-12-S-37</t>
  </si>
  <si>
    <t>Pada segitiga ABC yang siku-siku di B, diketahui AB = 20 cm dan BC = 15 cm. Garis tinggi BD ditarik tegak lurus pada AC. Dari titik D, ditarik garis DE yang tegak lurus pada AB (titik E pada AB) sehingga terbentuk segitiga ADE. Nilai dari 25 × Luas segitiga ADE adalah ...</t>
  </si>
  <si>
    <t>Hitung AC = √(20² + 15²) = 25 cm. Tinggi BD = (AB × BC) / AC = (20 × 15) / 25 = 12 cm. Panjang AD = √(AB² - BD²) = √(20² - 12²) = 16 cm. Segitiga ADE sebangun dengan segitiga ABC dengan faktor skala k = AD / AC = 16 / 25. Diperoleh DE = BC × (16/25) = 15 × 16 / 25 = 9,6 cm, dan AE = AB × (16/25) = 20 × 16 / 25 = 12,8 cm. Luas △ADE = (AE × DE) / 2 = (12,8 × 9,6) / 2 = 61,44 cm². Nilai 25 × Luas △ADE = 25 × 61,44 = 1536.</t>
  </si>
  <si>
    <t>PK-12-S-38</t>
  </si>
  <si>
    <t>Sebuah lukisan berbentuk persegi panjang ABCD berukuran 18 cm × 24 cm. Di dalam lukisan tersebut dibuat Bingkai Dalam EFGH yang sebangun dengan ABCD sedemikian rupa sehingga luas EFGH sama dengan seperempat dari luas ABCD. Selisih keliling antara persegi panjang ABCD dan EFGH adalah ... cm.</t>
  </si>
  <si>
    <t>Luas ABCD = 18 × 24 = 432 cm². Keliling ABCD = 2 × (18 + 24) = 84 cm. Karena EFGH sebangun dengan ABCD dan Luas EFGH = 1/4 × Luas ABCD, maka faktor skala panjang sisi k = √(1/4) = 1/2. Ukuran EFGH = (1/2 × 18 cm) × (1/2 × 24 cm) = 9 cm × 12 cm. Keliling EFGH = 2 × (9 + 12) = 42 cm. Selisih keliling ABCD dan EFGH = 84 - 42 = 42 cm.</t>
  </si>
  <si>
    <t>PK-12-S-39</t>
  </si>
  <si>
    <t>Segitiga ABC memiliki panjang sisi AB = 13 cm, BC = 14 cm, dan AC = 15 cm. Garis tinggi AD ditarik tegak lurus ke sisi BC. Dari titik D ditarik garis DE tegak lurus AB (E pada AB) dan garis DF tegak lurus AC (F pada AC). Nilai dari 65 × (DE + DF) adalah ...</t>
  </si>
  <si>
    <t>Luas △ABC dengan rumus Heron (s = 21) = √(21 × 8 × 7 × 6) = 84 cm². Garis tinggi AD = (2 × 84) / 14 = 12 cm. BD = √(13² - 12²) = 5 cm dan CD = 14 - 5 = 9 cm. Pada △ABD siku-siku di D, DE = (AD × BD) / AB = (12 × 5) / 13 = 60/13 cm. Pada △ACD siku-siku di D, DF = (AD × CD) / AC = (12 × 9) / 15 = 108/15 = 36/5 cm. Nilai 65 × (DE + DF) = 65 × (60/13 + 36/5) = (5 × 60) + (13 × 36) = 300 + 468 = 768.</t>
  </si>
  <si>
    <t>PK-12-S-40</t>
  </si>
  <si>
    <t>Trapesium ABCD dengan AB sejajar CD memiliki panjang AB = 40 cm dan CD = 10 cm serta tinggi 30 cm. Garis EF dibuat sejajar AB (E pada AD dan F pada BC) sedemikian rupa sehingga trapesium ABFE sebangun dengan trapesium EFCD. Selisih luas antara trapesium ABFE dan trapesium EFCD adalah ... cm².</t>
  </si>
  <si>
    <t>Karena trapesium ABFE sebangun dengan EFCD, berlaku hubungan EF² = AB × CD = 40 × 10 = 400, sehingga EF = 20 cm. Rasio tinggi trapesium EFCD (h1) terhadap ABFE (h2) sama dengan CD : EF = 10 : 20 = 1 : 2. Karena tinggi total = 30 cm, maka h1 = 10 cm dan h2 = 20 cm. Luas EFCD = ((10 + 20) × 10) / 2 = 150 cm². Luas ABFE = ((20 + 40) × 20) / 2 = 600 cm². Selisih luas kedua trapesium = 600 - 150 = 450 cm².</t>
  </si>
  <si>
    <t>PK-12-S-41</t>
  </si>
  <si>
    <t>Pada segitiga ABC yang siku-siku di B, diketahui AB = 18 cm dan BC = 24 cm. Ditarik garis tinggi BD tegak lurus pada AC. Jika nilai K adalah keliling △ABD ditambah keliling △CBD dikurangi keliling △ABC, maka nilai dari 10 × K adalah ...</t>
  </si>
  <si>
    <t>Hitung AC = √(18² + 24²) = 30 cm. Keliling △ABC = 18 + 24 + 30 = 72 cm. Garis tinggi BD = (18 × 24) / 30 = 14,4 cm. AD = √(18² - 14,4²) = 10,8 cm, dan CD = 30 - 10,8 = 19,2 cm. Keliling △ABD = 18 + 14,4 + 10,8 = 43,2 cm. Keliling △CBD = 24 + 14,4 + 19,2 = 57,6 cm. Nilai K = (43,2 + 57,6) - 72 = 100,8 - 72 = 28,8 cm. Nilai dari 10 × K = 10 × 28,8 = 288.</t>
  </si>
  <si>
    <t>PK-12-S-42</t>
  </si>
  <si>
    <t>Pada bidang kartesius, terdapat persegi panjang OABC dengan titik O(0,0), A(16,0), B(16,12), dan C(0,12). Titik P terletak pada diagonal OB sedemikian rupa sehingga rasio OP : PB = 3 : 1. Dibuat persegi panjang baru OPQR yang sebangun dengan OABC dengan Q terletak pada sumbu X dan R pada sumbu Y. Selisih luas antara persegi panjang OABC dan OPQR adalah ...</t>
  </si>
  <si>
    <t>Luas OABC = 16 × 12 = 192. Koordinat B = (16,12). Karena P terletak pada diagonal OB dengan rasio OP : PB = 3 : 1, maka koordinat P = (3/4 × 16, 3/4 × 12) = (12, 9). Panjang sisi-sisi persegi panjang OPQR adalah OQ = 12 dan OR = 9. Luas OPQR = 12 × 9 = 108. Selisih luas OABC dan OPQR = 192 - 108 = 84.</t>
  </si>
  <si>
    <t>PK-12-S-43</t>
  </si>
  <si>
    <t>Diketahui jajaran genjang ABCD memiliki luas 180 cm². Titik M merupakan titik tengah sisi CD. Garis BM memotong diagonal AC di titik P sehingga terbentuk segitiga ABP dan segitiga CMP yang sebangun. Selisih luas antara segitiga ABP dan segitiga CMP adalah ... cm².</t>
  </si>
  <si>
    <t>Sisi AB sejajar CD dan AB = 2 CM. Karena △ABP sebangun dengan △CMP, rasio AB : CM = 2 : 1, sehingga AP : PC = 2 : 1 dan tinggi △ABP : tinggi △CMP = 2 : 1. Luas △ABC = 1/2 × Luas ABCD = 90 cm². Pada △ABC dengan AP : PC = 2 : 1, Luas △ABP = 2/3 × 90 = 60 cm². Luas △ADC = 90 cm², Luas △AMC = 1/2 × 90 = 45 cm². Pada △AMC dengan PC = 1/3 AC, Luas △CMP = 1/3 × 45 = 15 cm². Selisih luas △ABP dan △CMP = 60 - 15 = 45 cm².</t>
  </si>
  <si>
    <t>PK-12-S-44</t>
  </si>
  <si>
    <t>Sebuah lampu berada di titik S pada ketinggian 15 meter di atas tanah. Tiang A setinggi 3 meter berdiri tegak 12 meter dari proyeksi lampu di tanah, menghasilkan bayangan sepanjang x meter. Tiang B setinggi 6 meter berdiri tegak tepat di ujung bayangan tiang A, menghasilkan bayangan sepanjang y meter. Selisih panjang bayangan y dan x adalah ... meter.</t>
  </si>
  <si>
    <t>Berdasarkan kesebangunan segitiga untuk tiang A: 15 / (12 + x) = 3 / x → 15x = 36 + 3x → 12x = 36 → x = 3 meter. Tiang B berdiri pada jarak 12 + x = 15 meter dari proyeksi lampu. Berdasarkan kesebangunan untuk tiang B: 15 / (15 + y) = 6 / y → 15y = 90 + 6y → 9y = 90 → y = 10 meter. Selisih panjang bayangan y - x = 10 - 3 = 7 meter.</t>
  </si>
  <si>
    <t>PK-12-S-45</t>
  </si>
  <si>
    <t>Trapesium sama kaki ABCD memiliki sisi sejajar AB = 50 cm dan CD = 18 cm serta panjang sisi miring AD = BC = 20 cm. Ditarik garis tinggi DE tegak lurus AB (E pada AB) dan garis tinggi CF tegak lurus AB (F pada AB). Diagonal AC memotong garis tinggi DE di titik G. Nilai dari 17 × panjang segmen EG adalah ...</t>
  </si>
  <si>
    <t>Panjang AE = (AB - CD) / 2 = (50 - 18) / 2 = 16 cm. Panjang AF = AB - FB = 50 - 16 = 34 cm. Pada △ADE siku-siku di E, DE = √(20² - 16²) = 12 cm. Tinggi CF = DE = 12 cm. Karena DE // CF, maka △AGE sebangun dengan △ACF. Berlaku perbandingan: EG / CF = AE / AF → EG / 12 = 16 / 34 → EG = 192 / 34 = 96 / 17 cm. Nilai dari 17 × EG = 17 × (96 / 17) = 96.</t>
  </si>
  <si>
    <t>TOTAL Materi 12 — Kesebangunan &amp; Kekongruenan</t>
  </si>
  <si>
    <t>PK — Materi 13: Statistika Deskriptif  |  Target: 45 Soal (15 Ringan · 15 Sedang · 15 Sulit)</t>
  </si>
  <si>
    <t>PK — Materi 14: Penyajian Data  |  Target: 45 Soal (15 Ringan · 15 Sedang · 15 Sulit)</t>
  </si>
  <si>
    <t>Komponen: Statistika  |  Mean, median, modus, jangkauan, dan kuartil dari sekumpulan data.</t>
  </si>
  <si>
    <t>Komponen: Statistika  |  Membaca dan menginterpretasikan data dari tabel, diagram batang, diagram lingkaran, dan grafik garis.</t>
  </si>
  <si>
    <t>PK-14-R-01</t>
  </si>
  <si>
    <t>PK-13-R-01</t>
  </si>
  <si>
    <t>Rata-rata dari lima bilangan 4, 6, 8, 10, dan 12 adalah ...</t>
  </si>
  <si>
    <t>Sebuah tabel menyajikan jumlah penjualan buku selama lima hari: Senin = 12, Selasa = 15, Rabu = 20, Kamis = 18, dan Jumat = 25. Hari dengan penjualan buku terbanyak adalah ...</t>
  </si>
  <si>
    <t>Senin</t>
  </si>
  <si>
    <t>Selasa</t>
  </si>
  <si>
    <t>Rabu</t>
  </si>
  <si>
    <t>Kamis</t>
  </si>
  <si>
    <t>Rata-rata dihitung dengan menjumlahkan seluruh data lalu dibagi banyaknya data. Jumlah data = 4 + 6 + 8 + 10 + 12 = 40. Banyaknya data = 5. Rata-rata = 40 / 5 = 8.</t>
  </si>
  <si>
    <t>Jumat</t>
  </si>
  <si>
    <t>Membaca data langsung dari tabel: Penjualan tertinggi adalah 25 buku yang terjadi pada hari Jumat.</t>
  </si>
  <si>
    <t>PK-13-R-02</t>
  </si>
  <si>
    <t>PK-14-R-02</t>
  </si>
  <si>
    <t>Median dari kelompok data terurut 3, 5, 7, 9, 11, 13, 15 adalah ...</t>
  </si>
  <si>
    <t>Sebuah diagram garis menunjukkan suhu udara kota X dari jam 08,00 hingga 12,00 berturut-turut: 24°C, 26°C, 29°C, 31°C, dan 30°C. Kenaikan suhu terbesar terjadi pada selang waktu jam ...</t>
  </si>
  <si>
    <t>08,00 - 09,00</t>
  </si>
  <si>
    <t>09,00 - 10,00</t>
  </si>
  <si>
    <t>Median adalah nilai tengah data terurut. Banyaknya data n = 7 (ganjil). Posisi median ada pada data ke-(7 + 1) / 2 = 4. Data ke-4 adalah 9.</t>
  </si>
  <si>
    <t>10,00 - 11,00</t>
  </si>
  <si>
    <t>11,00 - 12,00</t>
  </si>
  <si>
    <t>08,00 - 10,00</t>
  </si>
  <si>
    <t>PK-13-R-03</t>
  </si>
  <si>
    <t>Hitung kenaikan tiap jam: 08,00-09,00 naik 26 - 24 = 2°C; 09,00-10,00 naik 29 - 26 = 3°C; 10,00-11,00 naik 31 - 29 = 2°C; 11,00-12,00 turun 1°C. Kenaikan terbesar adalah 3°C pada selang jam 09,00 - 10,00.</t>
  </si>
  <si>
    <t>Modus dari sekumpulan data 4, 7, 5, 7, 8, 7, 6, 5 adalah ...</t>
  </si>
  <si>
    <t>PK-14-R-03</t>
  </si>
  <si>
    <t>Diagram lingkaran menunjukkan persentase hobi 200 siswa: Olahraga 40%, Seni 25%, Membaca 20%, dan Lainnya 15%. Banyaknya siswa yang menyukai hobi Olahraga adalah ...</t>
  </si>
  <si>
    <t>Modus adalah nilai yang paling sering muncul dalam data. Angka 7 muncul sebanyak 3 kali, paling banyak dibanding angka lainnya. Jadi modusnya adalah 7.</t>
  </si>
  <si>
    <t>80 orang</t>
  </si>
  <si>
    <t>100 orang</t>
  </si>
  <si>
    <t>PK-13-R-04</t>
  </si>
  <si>
    <t>120 orang</t>
  </si>
  <si>
    <t>Banyak siswa hobi Olahraga = 40% × 200 = 0,40 × 200 = 80 orang.</t>
  </si>
  <si>
    <t>Jangkauan (range) dari kumpulan data 12, 5, 22, 17, 30, 8 adalah ...</t>
  </si>
  <si>
    <t>PK-14-R-04</t>
  </si>
  <si>
    <t>Pada diagram batang hasil panen padi suatu desa, tercatat: Tahun 2021 = 40 ton, Tahun 2022 = 50 ton, Tahun 2023 = 45 ton, dan Tahun 2024 = 65 ton. Total hasil panen padi selama 4 tahun tersebut adalah ...</t>
  </si>
  <si>
    <t>180 ton</t>
  </si>
  <si>
    <t>Jangkauan dihitung dengan mengurangkan nilai maksimum dengan nilai minimum. Nilai maksimum = 30, nilai minimum = 5. Jangkauan = 30 - 5 = 25.</t>
  </si>
  <si>
    <t>190 ton</t>
  </si>
  <si>
    <t>200 ton</t>
  </si>
  <si>
    <t>210 ton</t>
  </si>
  <si>
    <t>PK-13-R-05</t>
  </si>
  <si>
    <t>220 ton</t>
  </si>
  <si>
    <t>Total panen = 40 + 50 + 45 + 65 = 200 ton.</t>
  </si>
  <si>
    <t>Jika rata-rata dari empat bilangan 5, 7, x, dan 11 adalah 8, maka nilai x adalah ...</t>
  </si>
  <si>
    <t>PK-14-R-05</t>
  </si>
  <si>
    <t>Sebuah kisi-kisi persegi koordinat memuat unit-unit persegi ukuran 1 × 1. Jika terdapat daerah grid berukuran panjang 4 unit dan lebar 3 unit, banyaknya unit persegi ukuran 1 × 1 di dalam daerah tersebut adalah ...</t>
  </si>
  <si>
    <t>Rata-rata = Jumlah data / Banyak data. 8 = (5 + 7 + x + 11) / 4. 8 × 4 = 23 + x. 32 = 23 + x. x = 32 - 23 = 9.</t>
  </si>
  <si>
    <t>Banyaknya unit persegi 1 × 1 pada grid berukuran 4 × 3 adalah 4 × 3 = 12 unit.</t>
  </si>
  <si>
    <t>PK-13-R-06</t>
  </si>
  <si>
    <t>PK-14-R-06</t>
  </si>
  <si>
    <t>Diketahui enam bilangan positif berurutan: 2, 4, 6, 8, 10, 12. Median dari data tersebut adalah ...</t>
  </si>
  <si>
    <t>Tabel frekuensi nilai ujian matematika: Nilai 60 (3 siswa), Nilai 70 (7 siswa), Nilai 80 (6 siswa), Nilai 90 (4 siswa). Banyaknya siswa yang memperoleh nilai lebih dari 70 adalah ...</t>
  </si>
  <si>
    <t>7 orang</t>
  </si>
  <si>
    <t>13 orang</t>
  </si>
  <si>
    <t>17 orang</t>
  </si>
  <si>
    <t>Banyak data n = 6 (genap). Median merupakan rata-rata dua nilai tengah (data ke-3 dan ke-4). Data ke-3 = 6 dan data ke-4 = 8. Median = (6 + 8) / 2 = 14 / 2 = 7.</t>
  </si>
  <si>
    <t>Nilai yang lebih dari 70 adalah nilai 80 dan 90. Banyak siswa = 6 + 4 = 10 orang.</t>
  </si>
  <si>
    <t>PK-14-R-07</t>
  </si>
  <si>
    <t>PK-13-R-07</t>
  </si>
  <si>
    <t>Diagram lingkaran menyajikan data pekerjaan orang tua siswa. Besar sudut pusat untuk sektor pekerjaan Pegawai Negeri adalah 90°. Persentase orang tua yang bekerja sebagai Pegawai Negeri adalah ...</t>
  </si>
  <si>
    <t>Manakah pernyataan berikut yang SELALU BENAR mengenai median dari suatu kumpulan data numerik ganjil?</t>
  </si>
  <si>
    <t>Median selalu sama dengan rata-rata data</t>
  </si>
  <si>
    <t>Median selalu bernilai lebih besar dari modus</t>
  </si>
  <si>
    <t>Median merupakan nilai data yang terletak tepat di tengah setelah data diurutkan</t>
  </si>
  <si>
    <t>Median diperoleh dari menjumlahkan nilai terbesar dan terkecil lalu dibagi dua</t>
  </si>
  <si>
    <t>Median hanya bisa dihitung jika tidak ada angka yang sama</t>
  </si>
  <si>
    <t>Persentase = (Sudut Sektor / 360°) × 100% = (90° / 360°) × 100% = 1/4 × 100% = 25%.</t>
  </si>
  <si>
    <t>Opsi C BENAR karena definisi baku median untuk banyaknya data ganjil adalah nilai data yang berada tepat di posisi tengah setelah seluruh data diurutkan. Opsi A SALAH karena median dan rata-rata tidak harus bernilai sama. Opsi B SALAH karena median bisa lebih kecil atau sama dengan modus. Opsi D SALAH karena rumus tersebut adalah rata-rata jangkauan, bukan median. Opsi E SALAH karena keberadaan angka sama tidak menghalangi perhitungan median.</t>
  </si>
  <si>
    <t>PK-14-R-08</t>
  </si>
  <si>
    <t>PK — Materi 15: Peluang &amp; Kombinatorika  |  Target: 45 Soal (15 Ringan · 15 Sedang · 15 Sulit)</t>
  </si>
  <si>
    <t>PK-13-R-08</t>
  </si>
  <si>
    <t>Diagram garis mencatat jumlah pengunjung perpustakaan selama seminggu. Senin = 30, Selasa = 45, Rabu = 40, Kamis = 55, Jumat = 50. Selisih pengunjung terbanyak dan terdedikit adalah ...</t>
  </si>
  <si>
    <t>Sebuah data memiliki nilai terkecil 4 dan jangkauan 18. Nilai terbesar dari data tersebut adalah ...</t>
  </si>
  <si>
    <t>Pengunjung terbanyak = 55 (Kamis), pengunjung tersedikit = 30 (Senin). Selisih = 55 - 30 = 25 orang.</t>
  </si>
  <si>
    <t>Jangkauan = Nilai Terbesar - Nilai Terkecil. 18 = Nilai Terbesar - 4. Nilai Terbesar = 18 + 4 = 22.</t>
  </si>
  <si>
    <t>PK-14-R-09</t>
  </si>
  <si>
    <t>Pada kisi koordinat Kartesius, sebuah segitiga siku-siku satuan dibentuk oleh titik-titik (0,0), (3,0), dan (0,3). Banyaknya unit persegi 1 × 1 yang berada utuh sepenuhnya di dalam segitiga tersebut adalah ...</t>
  </si>
  <si>
    <t>PK-13-R-09</t>
  </si>
  <si>
    <t>Rata-rata dari nilai 70, 80, 90, dan 100 adalah ...</t>
  </si>
  <si>
    <t>Menggambar grid 3 × 3 pada kuadran I, garis diagonal y = 3 - x memotong grid. Unit persegi 1 × 1 yang utuh sepenuhnya di dalam segitiga hanya persegi pada koordinat [0,1] × [0,1], yaitu sebanyak 1 unit persegi.</t>
  </si>
  <si>
    <t>82,5</t>
  </si>
  <si>
    <t>PK-14-R-10</t>
  </si>
  <si>
    <t>87,5</t>
  </si>
  <si>
    <t>Tabel distribusi ekstrakurikuler menunjukkan: Pramuka = 40 siswa, Paskibra = 20 siswa, PMR = 30 siswa, Basket = 10 siswa. Rasio banyaknya siswa PMR terhadap total seluruh siswa adalah ...</t>
  </si>
  <si>
    <t>Jumlah data = 70 + 80 + 90 + 100 = 340. Banyak data = 4. Rata-rata = 340 / 4 = 85.</t>
  </si>
  <si>
    <t>1 / 10</t>
  </si>
  <si>
    <t>3 / 10</t>
  </si>
  <si>
    <t>3 / 7</t>
  </si>
  <si>
    <t>4 / 10</t>
  </si>
  <si>
    <t>1 / 3</t>
  </si>
  <si>
    <t>PK-13-R-10</t>
  </si>
  <si>
    <t>Total siswa = 40 + 20 + 30 + 10 = 100 siswa. Rasio siswa PMR terhadap total = 30 / 100 = 3 / 10.</t>
  </si>
  <si>
    <t>PK-14-R-11</t>
  </si>
  <si>
    <t>Jika lima bilangan memiliki jumlah total sebesar 135, maka rata-rata dari kelima bilangan tersebut adalah ...</t>
  </si>
  <si>
    <t>Sebuah diagram lingkaran menunjukkan data hewan ternak. Sektor ternak Ayam memiliki sudut pusat 144°. Jika total seluruh hewan ternak adalah 500 ekor, maka banyaknya ternak Ayam adalah ...</t>
  </si>
  <si>
    <t>144 ekor</t>
  </si>
  <si>
    <t>Komponen: Peluang  |  Konsep peluang kejadian, aturan perkalian, permutasi, dan kombinasi sederhana.</t>
  </si>
  <si>
    <t>180 ekor</t>
  </si>
  <si>
    <t>200 ekor</t>
  </si>
  <si>
    <t>Rata-rata = Jumlah total data / Banyak data. Rata-rata = 135 / 5 = 27.</t>
  </si>
  <si>
    <t>220 ekor</t>
  </si>
  <si>
    <t>250 ekor</t>
  </si>
  <si>
    <t>PK-13-R-11</t>
  </si>
  <si>
    <t>Banyaknya Ayam = (Sudut Sektor / 360°) × Total Hewan = (144° / 360°) × 500 = 2/5 × 500 = 200... Koreksi hitungan: 144/360 = 4/10 = 2/5. 2/5 × 500 = 200 ekor. Maka kunci jawaban adalah C.</t>
  </si>
  <si>
    <t>PK-14-R-12</t>
  </si>
  <si>
    <t>Diberikan sekumpulan data: 3, 3, 4, 5, 6, 8, 9. Nilai modus dari data tersebut adalah ...</t>
  </si>
  <si>
    <t>Diagram batang menunjukkan penjualan sepatu dalam 4 bulan: Jan = 120 pasang, Feb = 150 pasang, Mar = 160 pasang, Apr = 170 pasang. Rata-rata penjualan sepatu per bulan adalah ...</t>
  </si>
  <si>
    <t>Tidak ada modus</t>
  </si>
  <si>
    <t>140 pasang</t>
  </si>
  <si>
    <t>150 pasang</t>
  </si>
  <si>
    <t>Modus adalah nilai yang memiliki frekuensi kemunculan terbanyak. Angka 3 muncul sebanyak 2 kali, sedangkan angka lainnya hanya muncul 1 kali. Jadi modusnya adalah 3.</t>
  </si>
  <si>
    <t>155 pasang</t>
  </si>
  <si>
    <t>160 pasang</t>
  </si>
  <si>
    <t>PK-13-R-12</t>
  </si>
  <si>
    <t>165 pasang</t>
  </si>
  <si>
    <t>Jika kumpulan data 2, 5, y, 10, 12 memiliki jangkauan sebesar 11 dengan 12 sebagai nilai terbesar, maka nilai y yang mungkin agar jangkauan tidak berubah adalah ...</t>
  </si>
  <si>
    <t>Total penjualan = 120 + 150 + 160 + 170 = 600 pasang. Rata-rata per bulan = 600 / 4 = 150 pasang.</t>
  </si>
  <si>
    <t>PK-14-R-13</t>
  </si>
  <si>
    <t>Jangkauan = Nilai Terbesar - Nilai Terkecil = 11. Karena Nilai Terbesar = 12, maka Nilai Terkecil harus 12 - 11 = 1. Angka 2, 5, 10, 12 berada di dalam rentang 1 sampai 12. Agar jangkauan tetap 11, nilai y harus berada di antara 1 dan 12. Di antara pilihan jawaban, angka 6 berada dalam rentang tersebut.</t>
  </si>
  <si>
    <t>PK-13-R-13</t>
  </si>
  <si>
    <t>Manakah dari pernyataan berikut yang SELALU BENAR mengenai penyajian data dalam diagram lingkaran?</t>
  </si>
  <si>
    <t>Nilai ujian matematika dari 6 siswa adalah 6, 7, 8, 8, 9, 10. Rata-rata nilai ujian tersebut adalah ...</t>
  </si>
  <si>
    <t>Jumlah total persentase seluruh sektor dalam diagram lingkaran selalu sama dengan 360%</t>
  </si>
  <si>
    <t>Jumlah total sudut pusat seluruh sektor dalam diagram lingkaran selalu sama dengan 360°</t>
  </si>
  <si>
    <t>7,8</t>
  </si>
  <si>
    <t>Luas sektor diagram lingkaran tidak bergantung pada besarnya persentase data</t>
  </si>
  <si>
    <t>8,2</t>
  </si>
  <si>
    <t>Diagram lingkaran selalu digunakan untuk menyajikan data perubahan terhadap waktu</t>
  </si>
  <si>
    <t>8,5</t>
  </si>
  <si>
    <t>Sudut pusat sektor data bernilai 90° mewakili 50% dari total data</t>
  </si>
  <si>
    <t>Jumlah total nilai = 6 + 7 + 8 + 8 + 9 + 10 = 48. Banyak siswa = 6. Rata-rata = 48 / 6 = 8,0.</t>
  </si>
  <si>
    <t>PK-13-R-14</t>
  </si>
  <si>
    <t>Kunci B BENAR karena satu lingkaran penuh memiliki total sudut pusat sebesar 360°. Opsi A SALAH karena total persentase harus 100%. Opsi C SALAH karena luas sektor sebanding dengan persentase data. Opsi D SALAH karena data perubahan terhadap waktu lebih tepat disajikan dengan diagram garis. Opsi E SALAH karena sudut 90° mewakili 90°/360° = 25% dari total data, bukan 50%.</t>
  </si>
  <si>
    <t>Apabila setiap nilai dalam suatu sekumpulan data ditambah dengan angka 5, manakah ukuran statistik berikut yang nilainya PASTI bertambah sebesar 5?</t>
  </si>
  <si>
    <t>Rata-rata</t>
  </si>
  <si>
    <t>PK-14-R-14</t>
  </si>
  <si>
    <t>Jangkauan</t>
  </si>
  <si>
    <t>Simpangan baku</t>
  </si>
  <si>
    <t>Varians</t>
  </si>
  <si>
    <t>Rasio data</t>
  </si>
  <si>
    <t>Pada peta kisi berukuran 5 × 5 unit persegi, daerah yang diarsir berbentuk persegi dengan panjang sisi 3 unit. Banyaknya unit persegi 1 × 1 yang TIDAK diarsir adalah ...</t>
  </si>
  <si>
    <t>Opsi A BENAR karena jika semua data x disisip penambahan konstanta c (di mana c = 5), maka nilai rata-rata baru akan bertambah sebesar c. Opsi B SALAH karena jangkauan (Maks - Min) tidak berubah akibat penambahan konstanta [(Maks+5) - (Min+5) = Maks - Min]. Opsi C dan D SALAH karena ukuran penyebaran seperti simpangan baku dan varians bersifat konstan terhadap translasi/penjumlahan. Opsi E SALAH karena rasio data berubah bergantung nilai awal.</t>
  </si>
  <si>
    <t>PK-13-R-15</t>
  </si>
  <si>
    <t>Terdapat 5 data tunggal yaitu 10, 12, 14, 16, dan 18. Nilai median data tersebut adalah ...</t>
  </si>
  <si>
    <t>Luas kisi total = 5 × 5 = 25 unit persegi. Luas daerah arsiran persegi 3 × 3 = 9 unit persegi. Banyaknya unit persegi 1 × 1 yang tidak diarsir = 25 - 9 = 16 unit.</t>
  </si>
  <si>
    <t>Data sudah terurut dari terkecil hingga terbesar: 10, 12, 14, 16, 18. Banyaknya data n = 5 (ganjil). Posisi nilai tengah ada pada data ke-(5 + 1) / 2 = 3. Data ke-3 adalah 14.</t>
  </si>
  <si>
    <t>PK-14-R-15</t>
  </si>
  <si>
    <t>Diagram garis menyajikan data produksi barang: Minggu I = 100, Minggu II = 120, Minggu III = 150, Minggu IV = 180. Persentase kenaikan produksi dari Minggu I ke Minggu IV adalah ...</t>
  </si>
  <si>
    <t>Kenaikan dari Minggu I ke Minggu IV = 180 - 100 = 80 unit. Persentase kenaikan = (80 / 100) × 100% = 80%.</t>
  </si>
  <si>
    <t>PK-13-S-16</t>
  </si>
  <si>
    <t>Enam bilangan bulat positif yaitu 1, 4, 7, 3, Q, dan 8 memiliki rata-rata 16/3. Nilai dari jangkauan data tersebut dikurangi rata-ratanya adalah ...</t>
  </si>
  <si>
    <t>14/3</t>
  </si>
  <si>
    <t>Langkah 1 (Cari nilai Q): Rata-rata = (1 + 4 + 7 + 3 + Q + 8) / 6, 16/3 = (23 + Q) / 6, 32 = 23 + Q, diperoleh Q = 9. Langkah 2 (Urutkan data dan cari jangkauan): Data terurut: 1, 3, 4, 7, 8, 9. Jangkauan = 9 - 1 = 8. Langkah 3 (Hitung selisih jangkauan dan rata-rata): 8 - 16/3 = 24/3 - 16/3 = 8/3.</t>
  </si>
  <si>
    <t>PK-13-S-17</t>
  </si>
  <si>
    <t>Enam bilangan positif yaitu c, 7, 9, 4, 3, dan 6 memiliki modus yang sama dengan median-nya. Nilai dari c adalah ...</t>
  </si>
  <si>
    <t>PK-14-S-16</t>
  </si>
  <si>
    <t>Langkah 1 (Analisis kondisi modus dan median): Lima data yang ada adalah 3, 4, 6, 7, 9. Jika c = 6, data terurut menjadi 3, 4, 6, 6, 7, 9. Langkah 2 (Uji nilai modus dan median): Modus data tersebut adalah 6. Median data genap adalah rata-rata dua suku tengah: (6 + 6) / 2 = 6. Karena modus = median = 6, maka nilai c = 6.</t>
  </si>
  <si>
    <t>PK-13-S-18</t>
  </si>
  <si>
    <t>Rata-rata nilai ujian 10 siswa adalah 75. Jika ditambah nilai dari 2 siswa baru, rata-ratanya menjadi 77. Rata-rata nilai dari 2 siswa baru tersebut adalah ...</t>
  </si>
  <si>
    <t>PK-15-R-01</t>
  </si>
  <si>
    <t>Diagram lingkaran menunjukkan minat olahraga 300 siswa: Sepak Bola 40%, Bulu Tangkis 30%, Basket 20%, dan Voli 10%. Selisih banyaknya siswa yang menyukai Sepak Bola dan Voli adalah ...</t>
  </si>
  <si>
    <t>Langkah 1 (Hitung total nilai awal): Total awal = 10 × 75 = 750. Langkah 2 (Hitung total nilai setelah ditambah 2 siswa): Total baru = 12 × 77 = 924. Langkah 3 (Hitung total dan rata-rata 2 siswa baru): Total 2 siswa = 924 - 750 = 174. Rata-rata 2 siswa = 174 / 2 = 87.</t>
  </si>
  <si>
    <t>PK-13-S-19</t>
  </si>
  <si>
    <t>150 orang</t>
  </si>
  <si>
    <t>Diketahui 5 bilangan terurut x, 6, y, 10, 12. Jika jangkauan data adalah 8 dan median data adalah 8, maka rata-rata kelima bilangan tersebut adalah ...</t>
  </si>
  <si>
    <t>Persentase selisih = 40% - 10% = 30%. Selisih siswa = 30% × 300 = 0,30 × 300 = 90 orang.</t>
  </si>
  <si>
    <t>7,6</t>
  </si>
  <si>
    <t>8,4</t>
  </si>
  <si>
    <t>8,8</t>
  </si>
  <si>
    <t>PK-14-S-17</t>
  </si>
  <si>
    <t>Langkah 1 (Tentukan nilai x dari jangkauan): Jangkauan = Maks - Min, 8 = 12 - x, maka x = 4. Langkah 2 (Tentukan nilai y dari median): Karena data terurut ganjil n=5, median adalah data ke-3 yaitu y, maka y = 8. Data menjadi: 4, 6, 8, 10, 12. Langkah 3 (Hitung rata-rata): Rata-rata = (4 + 6 + 8 + 10 + 12) / 5 = 40 / 5 = 8,0.</t>
  </si>
  <si>
    <t>PK-13-S-20</t>
  </si>
  <si>
    <t>Sekumpulan data terdiri atas 8 bilangan bulat memiliki rata-rata 12. Jika dua bilangan yaitu 6 dan 18 dikeluarkan dari data, maka rata-rata data yang tersisa adalah ...</t>
  </si>
  <si>
    <t>Pada diagram batang hasil penjualan beras toko A tercatat: Jan = 20 ton, Feb = 25 ton, Mar = 30 ton, Apr = 45 ton. Rata-rata penjualan beras per bulan dari Januari hingga April adalah ...</t>
  </si>
  <si>
    <t>25 ton</t>
  </si>
  <si>
    <t>28 ton</t>
  </si>
  <si>
    <t>Langkah 1 (Hitung total nilai awal): Total awal = 8 × 12 = 96. Langkah 2 (Hitung total nilai setelah dua angka dikeluarkan): Total baru = 96 - (6 + 18) = 96 - 24 = 72. Langkah 3 (Hitung rata-rata baru): Banyak data tersisa = 8 - 2 = 6. Rata-rata baru = 72 / 6 = 12.</t>
  </si>
  <si>
    <t>30 ton</t>
  </si>
  <si>
    <t>32 ton</t>
  </si>
  <si>
    <t>PK-13-S-21</t>
  </si>
  <si>
    <t>Banyaknya cara menyusun 3 buku berbeda secara berdampingan di atas rak buku adalah ...</t>
  </si>
  <si>
    <t>35 ton</t>
  </si>
  <si>
    <t>Suatu kelompok data terdiri dari 5 bilangan ganjil berurutan. Jika median dari kelompok data tersebut adalah 13, maka rata-rata dari data tersebut adalah ...</t>
  </si>
  <si>
    <t>Total hasil penjualan = 20 + 25 + 30 + 45 = 120 ton. Rata-rata per bulan = 120 / 4 = 30 ton.</t>
  </si>
  <si>
    <t>PK-14-S-18</t>
  </si>
  <si>
    <t>Langkah 1 (Tentukan 5 bilangan ganjil berurutan): Karena median (nilai tengah) = 13, maka dua bilangan sebelumnya adalah 9 dan 11, serta dua bilangan sesudahnya adalah 15 dan 17. Kelompok data adalah 9, 11, 13, 15, 17. Langkah 2 (Hitung rata-rata): Rata-rata = (9 + 11 + 13 + 15 + 17) / 5 = 65 / 5 = 13.</t>
  </si>
  <si>
    <t>PK-13-S-22</t>
  </si>
  <si>
    <t>Sebuah diagram lingkaran menyajikan pilihan moda transportasi 240 karyawan. Sektor sepeda motor memiliki sudut 150° dan mobil 90°. Banyaknya karyawan yang menggunakan sepeda motor atau mobil adalah ...</t>
  </si>
  <si>
    <t>Jika rata-rata dari data x, x+2, x+4, x+6, dan x+8 adalah 14, maka nilai x adalah ...</t>
  </si>
  <si>
    <t>140 orang</t>
  </si>
  <si>
    <t>160 orang</t>
  </si>
  <si>
    <t>Langkah 1 (Jumlahkan seluruh data): Total = x + (x+2) + (x+4) + (x+6) + (x+8) = 5x + 20. Langkah 2 (Gunakan rumus rata-rata): Rata-rata = Total / 5, 14 = (5x + 20) / 5, 70 = 5x + 20, 50 = 5x, maka x = 10.</t>
  </si>
  <si>
    <t>180 orang</t>
  </si>
  <si>
    <t>200 orang</t>
  </si>
  <si>
    <t>Jumlah susunan 3 buku berbeda dihitung menggunakan faktorial: 3! = 3 × 2 × 1 = 6 cara.</t>
  </si>
  <si>
    <t>PK-13-S-23</t>
  </si>
  <si>
    <t>Total sudut = 150° + 90° = 240°. Banyak karyawan = (240° / 360°) × 240 = 2/3 × 240 = 160 orang.</t>
  </si>
  <si>
    <t>Suatu himpunan data memiliki jangkauan 15 dan nilai maksimum 28. Jika setiap nilai data dikalikan 2 lalu dikurangi 3, maka jangkauan data yang baru adalah ...</t>
  </si>
  <si>
    <t>PK-14-S-19</t>
  </si>
  <si>
    <t>Diagram garis menunjukkan penjualan laptop: Bulan 1 = 10 unit, Bulan 2 = 15 unit, Bulan 3 = 25 unit, Bulan 4 = 40 unit. Persentase kenaikan penjualan terbesar terjadi pada selang bulan ...</t>
  </si>
  <si>
    <t>Bulan 1 ke 2</t>
  </si>
  <si>
    <t>Bulan 2 ke 3</t>
  </si>
  <si>
    <t>Bulan 3 ke 4</t>
  </si>
  <si>
    <t>PK-15-R-02</t>
  </si>
  <si>
    <t>Bulan 1 ke 3</t>
  </si>
  <si>
    <t>Bulan 2 ke 4</t>
  </si>
  <si>
    <t>Opsi C BENAR karena perubahan data dengan dikalikan k dan dikurangi c akan mengubah jangkauan awal J menjadi J_baru = |k| × J. Dengan k = 2 dan c = 3, maka J_baru = 2 × 15 = 30. Pengurangan konstanta (-3) tidak memengaruhi ukuran penyebaran seperti jangkauan. Opsi A, B, D, dan E SALAH karena keliru memperhitungkan operasi pengurangan konstanta pada perhitungan jangkauan.</t>
  </si>
  <si>
    <t>Hitung persentase kenaikan: Bulan 1 ke 2 = (15 - 10)/10 × 100% = 50%; Bulan 2 ke 3 = (25 - 15)/15 × 100% = 66,67%; Bulan 3 ke 4 = (40 - 25)/25 × 100% = 60%. Persentase kenaikan terbesar terjadi dari Bulan 2 ke 3.</t>
  </si>
  <si>
    <t>PK-13-S-24</t>
  </si>
  <si>
    <t>PK-14-S-20</t>
  </si>
  <si>
    <t>Nilai rata-rata gabungan dari kelas A yang terdiri atas 20 siswa dengan rata-rata 80 dan kelas B yang terdiri atas 30 siswa dengan rata-rata 70 adalah ...</t>
  </si>
  <si>
    <t>Pada kisi koordinat Kartesius berukuran 6 × 4 unit, sebuah persegi panjang digambar dengan panjang 5 unit dan lebar 3 unit. Banyaknya unit persegi 1 × 1 yang berada di luar persegi panjang tersebut adalah ...</t>
  </si>
  <si>
    <t>Dari 5 orang pengurus organisasi, akan dipilih 2 orang untuk menghadiri seminar tanpa memperhatikan urutan jabatan. Banyak cara pemilihan tersebut adalah ...</t>
  </si>
  <si>
    <t>Langkah 1 (Hitung total nilai masing-masing kelas): Total A = 20 × 80 = 1600. Total B = 30 × 70 = 2100. Langkah 2 (Hitung rata-rata gabungan): Total gabungan = 1600 + 2100 = 3700. Total siswa = 20 + 30 = 50. Rata-rata gabungan = 3700 / 50 = 74.</t>
  </si>
  <si>
    <t>Luas kisi total = 6 × 4 = 24 unit persegi. Luas persegi panjang = 5 × 3 = 15 unit persegi. Banyaknya unit persegi di luar persegi panjang = 24 - 15 = 9 unit.</t>
  </si>
  <si>
    <t>PK-13-S-25</t>
  </si>
  <si>
    <t>PK-14-S-21</t>
  </si>
  <si>
    <t>Diberikan data terurut: 2, 4, a, b, 9, 11. Jika median data tersebut adalah 6 dan rata-ratanya adalah 6, maka nilai b adalah ...</t>
  </si>
  <si>
    <t>Tabel frekuensi nilai Matematika: Nilai 50 (2 siswa), 60 (5 siswa), 70 (8 siswa), 80 (10 siswa), 90 (5 siswa). Persentase siswa yang lulus jika syarat lulus minimal bernilai 70 adalah ...</t>
  </si>
  <si>
    <t>Karena pemilihan tidak memperhatikan urutan, gunakan kombinasi C(5, 2) = 5! / (2! × (5 - 2)!) = (5 × 4) / (2 × 1) = 10 cara.</t>
  </si>
  <si>
    <t>76,70%</t>
  </si>
  <si>
    <t>Langkah 1 (Gunakan rumus median data genap n=6): Median = (a + b) / 2 = 6, sehingga a + b = 12. Langkah 2 (Gunakan rumus rata-rata): Rata-rata = (2 + 4 + a + b + 9 + 11) / 6 = 6, 26 + (a + b) = 36, yang konsisten dengan a + b = 12. Langkah 3 (Gunakan sifat urutan data): Karena data terurut 2, 4, a, b, 9, 11, maka 4 &lt;= a &lt;= b &lt;= 9. Pasangan bulat dari a + b = 12 yang memenuhi urutan adalah a = 5 dan b = 7. Jadi nilai b = 7.</t>
  </si>
  <si>
    <t>Total siswa = 2 + 5 + 8 + 10 + 5 = 30 siswa. Banyak siswa yang lulus (nilai 70, 80, 90) = 8 + 10 + 5 = 23 siswa. Persentase lulus = (23 / 30) × 100% = 76,67% (dibulatkan menjadi 76,7%).</t>
  </si>
  <si>
    <t>PK-15-R-03</t>
  </si>
  <si>
    <t>PK-13-S-26</t>
  </si>
  <si>
    <t>PK-14-S-22</t>
  </si>
  <si>
    <t>Sekumpulan data memiliki rata-rata 15 dan jangkauan 6. Jika setiap data dikalikan 3 lalu ditambah 4, maka pernyataan berikut yang BENAR adalah ...</t>
  </si>
  <si>
    <t>Rata-rata baru = 49 dan jangkauan baru = 22</t>
  </si>
  <si>
    <t>Banyaknya bilangan ganjil yang terdiri atas 3 digit berbeda yang dapat dibentuk dari angka 1, 2, 3, 4, dan 5 adalah ...</t>
  </si>
  <si>
    <t>Rata-rata baru = 49 dan jangkauan baru = 18</t>
  </si>
  <si>
    <t>Diagram lingkaran menunjukkan pembagian hasil panen total 400 kg. Sudut sektor Jagung adalah 72° dan Kedelai 54°. Selisih berat panen Jagung dan Kedelai adalah ...</t>
  </si>
  <si>
    <t>Rata-rata baru = 45 dan jangkauan baru = 22</t>
  </si>
  <si>
    <t>15 kg</t>
  </si>
  <si>
    <t>Rata-rata baru = 45 dan jangkauan baru = 18</t>
  </si>
  <si>
    <t>20 kg</t>
  </si>
  <si>
    <t>Rata-rata baru = 19 dan jangkauan baru = 22</t>
  </si>
  <si>
    <t>25 kg</t>
  </si>
  <si>
    <t>30 kg</t>
  </si>
  <si>
    <t>40 kg</t>
  </si>
  <si>
    <t>Opsi B BENAR karena penambahan dan perkalian konstanta memengaruhi rata-rata: Rata-rata baru = (3 × 15) + 4 = 49. Namun untuk jangkauan, penambahan konstanta tidak berpengaruh: Jangkauan baru = 3 × 6 = 18. Opsi A, C, D, dan E SALAH karena keliru menerapkan aturan perubahan ukuran pemusatan dan ukuran penyebaran terhadap operasi aljabar.</t>
  </si>
  <si>
    <t>Selisih sudut sektor = 72° - 54° = 18°. Selisih berat = (18° / 360°) × 400 = 1/20 × 400 = 20 kg.</t>
  </si>
  <si>
    <t>Pembentukan bilangan 3 digit bersyarat ganjil: Slot Satuan dapat diisi angka ganjil (1, 3, 5) = 3 pilihan; Slot Ratusan diisi dari sisa angka = 4 pilihan; Slot Puluhan diisi dari sisa angka = 3 pilihan. Total susunan = 4 × 3 × 3 = 36 bilangan.</t>
  </si>
  <si>
    <t>PK-13-S-27</t>
  </si>
  <si>
    <t>PK-14-S-23</t>
  </si>
  <si>
    <t>PK-15-R-04</t>
  </si>
  <si>
    <t>Diketahui 4 data tunggal: 3, 7, 8, x. Jika rata-rata data tersebut sama dengan median-nya, maka nilai x positif yang memenuhi adalah ...</t>
  </si>
  <si>
    <t>Diagram batang menyajikan produksi gula: 2021 = 80 ton, 2022 = 100 ton, 2023 = 120 ton, 2024 = 140 ton. Jika target produksi 2025 adalah naik 15% dari rata-rata 4 tahun terakhir, target 2025 adalah ...</t>
  </si>
  <si>
    <t>Pada pelemparan sebuah dadu bermata enam sebanyak satu kali, peluang munculnya mata dadu bernilai genap adalah ...</t>
  </si>
  <si>
    <t>115 ton</t>
  </si>
  <si>
    <t>126,5 ton</t>
  </si>
  <si>
    <t>130 ton</t>
  </si>
  <si>
    <t>Langkah 1 (Asumsikan posisi x sehingga data terurut 3, 7, 8, x): Median = (7 + 8) / 2 = 7,5. Rata-rata = (3 + 7 + 8 + x) / 4 = (18 + x) / 4. Langkah 2 (Samakan rata-rata dan median): (18 + x) / 4 = 7,5, 18 + x = 30, diperoleh x = 12. Langkah 3 (Uji urutan data): Jika x = 12, data terurut 3, 7, 8, 12 dengan median 7,5 dan rata-rata 7,5 (Memenuhi).</t>
  </si>
  <si>
    <t>138 ton</t>
  </si>
  <si>
    <t>145 ton</t>
  </si>
  <si>
    <t>PK-13-S-28</t>
  </si>
  <si>
    <t>Rata-rata produksi 4 tahun = (80 + 100 + 120 + 140) / 4 = 440 / 4 = 110 ton. Target 2025 = 110 + (15% × 110) = 110 + 16,5 = 126,5 ton.</t>
  </si>
  <si>
    <t>PK-14-S-24</t>
  </si>
  <si>
    <t>Suatu data terdiri dari 6 bilangan: 4, 5, 6, 7, 8, k. Jika jangkauan data tersebut adalah 6, maka nilai k terbesar yang mungkin adalah ...</t>
  </si>
  <si>
    <t>Ruang sampel n(S) = 6. Kejadian muncul mata dadu genap A = {2, 4, 6} sehingga n(A) = 3. Peluang P(A) = n(A) / n(S) = 3 / 6 = 1/2.</t>
  </si>
  <si>
    <t>Pada grid koordinat Kartesius berukuran 4 × 4 unit, dibangun dua buah daerah persegi ukuran 2 × 2 yang saling tidak beririsan. Banyaknya unit persegi 1 × 1 yang tidak tertutup oleh kedua daerah tersebut adalah ...</t>
  </si>
  <si>
    <t>Langkah 1 (Analisis jangkauan jika k sebagai nilai terbesar): Jangkauan = Nilai Maksimum - Nilai Minimum. Nilai minimum dari angka yang ada (4, 5, 6, 7, 8) adalah 4. Langkah 2 (Hitung k terbesar): Jangkauan = k - 4 = 6, maka k = 6 + 4 = 10.</t>
  </si>
  <si>
    <t>PK-15-R-05</t>
  </si>
  <si>
    <t>PK-13-S-29</t>
  </si>
  <si>
    <t>Kelompok A terdiri dari 15 orang dengan rata-rata tinggi badan 160 cm, sedangkan kelompok B terdiri dari 25 orang dengan rata-rata tinggi badan 168 cm. Rata-rata tinggi badan gabungan kedua kelompok tersebut adalah ... cm</t>
  </si>
  <si>
    <t>Sebuah kantong berisi 4 bola merah dan 6 bola biru. Jika diambil satu bola secara acak, peluang terambilnya bola berwarna merah adalah ...</t>
  </si>
  <si>
    <t>Total unit persegi grid = 4 × 4 = 16. Luas dua persegi ukuran 2 × 2 = 2 × (2 × 2) = 8. Banyaknya unit persegi yang tidak tertutup = 16 - 8 = 8 unit.</t>
  </si>
  <si>
    <t>PK-14-S-25</t>
  </si>
  <si>
    <t>Langkah 1 (Hitung total tinggi tiap kelompok): Total A = 15 × 160 = 2400. Total B = 25 × 168 = 4200. Langkah 2 (Hitung rata-rata gabungan): Total gabungan = 2400 + 4200 = 6600. Total orang = 15 + 25 = 40. Rata-rata gabungan = 6600 / 40 = 165.</t>
  </si>
  <si>
    <t>PK-13-S-30</t>
  </si>
  <si>
    <t>Tabel frekuensi kumulatif kurang dari menyajikan data: Nilai &lt;= 60 (4 orang), &lt;= 70 (11 orang), &lt;= 80 (20 orang), &lt;= 90 (25 orang). Banyak siswa yang mendapat nilai di rentang 71 - 80 adalah ...</t>
  </si>
  <si>
    <t>Terdapat lima data bilangan positif: 2, 4, 6, 8, x. Jika median data tersebut sama dengan rata-ratanya, maka nilai x adalah ...</t>
  </si>
  <si>
    <t>9 orang</t>
  </si>
  <si>
    <t>11 orang</t>
  </si>
  <si>
    <t>Total bola n(S) = 4 + 6 = 10. Jumlah bola merah n(M) = 4. Peluang terambil bola merah P(M) = 4 / 10 = 2/5.</t>
  </si>
  <si>
    <t>Langkah 1 (Asumsikan x berada pada posisi terbesar sehingga data terurut 2, 4, 6, 8, x): Median = 6 (data ke-3). Langkah 2 (Hitung rata-rata dan samakan dengan median): Rata-rata = (2 + 4 + 6 + 8 + x) / 5 = (20 + x) / 5. Samakan rata-rata dengan median: (20 + x) / 5 = 6, 20 + x = 30, diperoleh x = 10.</t>
  </si>
  <si>
    <t>Frekuensi rentang 71 - 80 = (Kumulatif &lt;= 80) - (Kumulatif &lt;= 70) = 20 - 11 = 9 orang.</t>
  </si>
  <si>
    <t>PK-15-R-06</t>
  </si>
  <si>
    <t>PK-14-S-26</t>
  </si>
  <si>
    <t>Banyaknya cara memilih 3 siswa dari total 6 siswa untuk menjadi perwakilan lomba adalah ...</t>
  </si>
  <si>
    <t>Diagram lingkaran data pengunjung perpustakaan: Anak-anak 35%, Remaja 45%, Dewasa x%. Jika jumlah pengunjung Dewasa adalah 60 orang, total seluruh pengunjung adalah ...</t>
  </si>
  <si>
    <t>250 orang</t>
  </si>
  <si>
    <t>300 orang</t>
  </si>
  <si>
    <t>350 orang</t>
  </si>
  <si>
    <t>Pemilihan kelompok perwakilan tanpa memperhatikan jabatan menggunakan kombinasi C(6, 3) = 6! / (3! × (6 - 3)!) = (6 × 5 × 4) / (3 × 2 × 1) = 20 cara.</t>
  </si>
  <si>
    <t>400 orang</t>
  </si>
  <si>
    <t>Persentase Dewasa x% = 100% - (35% + 45%) = 20%. Total pengunjung = 60 / 20% = 60 / 0,20 = 300 orang.</t>
  </si>
  <si>
    <t>PK-15-R-07</t>
  </si>
  <si>
    <t>PK-13-S-31</t>
  </si>
  <si>
    <t>PK-14-S-27</t>
  </si>
  <si>
    <t>Dalam suatu rapat terdapat 4 orang peserta. Jika setiap peserta saling berjabat tangan satu sama lain sebanyak satu kali, maka total jabat tangan yang terjadi adalah ...</t>
  </si>
  <si>
    <t>Terdapat grid persegi 5 × 5 pada koordinat Kartesius. Sebuah daerah berbentuk segitiga siku-siku memiliki alas 4 unit dan tinggi 3 unit diletakkan di dalam grid. Rasio luas daerah segitiga terhadap luas grid yang tersisa adalah ...</t>
  </si>
  <si>
    <t>Enam bilangan bulat positif terurut memiliki rata-rata 6, median 6, dan jangkauan 10. Jika ditambahkan dua bilangan bulat positif baru x dan y dengan x - y = 4 (x &gt; y) sehingga rata-rata dari delapan bilangan tersebut menjadi 7, maka jangkauan data yang baru adalah ...</t>
  </si>
  <si>
    <t>6 / 19</t>
  </si>
  <si>
    <t>6 / 25</t>
  </si>
  <si>
    <t>12 / 19</t>
  </si>
  <si>
    <t>1 / 2</t>
  </si>
  <si>
    <t>3 / 5</t>
  </si>
  <si>
    <t>Langkah 1 (Hitung total awal dan baru): Total awal = 6 × 6 = 36. Total baru = 8 × 7 = 56. Langkah 2 (Cari nilai x dan y): x + y = 56 - 36 = 20. Dengan x - y = 4, diperoleh x = 12 dan y = 8. Langkah 3 (Tentukan nilai maksimum dan minimum baru): Dari jangkauan awal 10 dan rata-rata 6, data awal contohnya 1, 3, 5, 7, 9, 11 (Min = 1, Maks = 11). Setelah ditambah 8 dan 12, Min_baru = 1 dan Maks_baru = 12. Langkah 4 (Hitung jangkauan baru): Jangkauan baru = 12 - 1 = 11.</t>
  </si>
  <si>
    <t>Setiap jabat tangan melibatkan 2 orang tanpa urutan, sehingga menggunakan kombinasi C(4, 2) = 4! / (2! × (4 - 2)!) = (4 × 3) / (2 × 1) = 6 kali.</t>
  </si>
  <si>
    <t>Luas grid total = 5 × 5 = 25. Luas segitiga = 1/2 × 4 × 3 = 6. Luas grid yang tersisa = 25 - 6 = 19. Rasio luas segitiga terhadap luas sisa = 6 / 19.</t>
  </si>
  <si>
    <t>PK-13-S-32</t>
  </si>
  <si>
    <t>PK-15-R-08</t>
  </si>
  <si>
    <t>PK-14-S-28</t>
  </si>
  <si>
    <t>Tujuh bilangan bulat positif terurut disajikan sebagai berikut: 2, 4, 4, x, y, 10, 12. Jika rata-rata dan median dari ketujuh bilangan tersebut bernilai sama yaitu 6, manakah hubungan antara kuantitas P dan Q berikut yang benar jika P = Hasil kali Modus dan Jangkauan data, serta Q = 35?</t>
  </si>
  <si>
    <t>Diagram garis menyajikan nilai ekspor: Tahun 1 = 50 miliar, Tahun 2 = 60 miliar, Tahun 3 = 90 miliar. Rata-rata persentase kenaikan nilai ekspor per tahun dari Tahun 1 ke Tahun 3 adalah ...</t>
  </si>
  <si>
    <t>Dua buah koin dilempar bersamaan sebanyak satu kali. Peluang munculnya pasangan angka dan gambar (A, G) atau (G, A) adalah ...</t>
  </si>
  <si>
    <t>Langkah 1 (Tentukan median x): Karena n = 7 terurut, median adalah data ke-4, maka x = 6. Langkah 2 (Tentukan nilai y): Rata-rata = (2 + 4 + 4 + 6 + y + 10 + 12) / 7 = 6, maka 38 + y = 42, diperoleh y = 4. Data menjadi 2, 4, 4, 6, 4, 10, 12 (terurut: 2, 4, 4, 4, 6, 10, 12). Langkah 3 (Hitung Modus dan Jangkauan): Modus = 4 (muncul 3 kali), Jangkauan = 12 - 2 = 10. Langkah 4 (Hitung P dan bandingkan): P = 4 × 10 = 40. Karena P = 40 dan Q = 35, maka P &gt; Q. Opsi A BENAR. Opsi B, C, D, dan E SALAH.</t>
  </si>
  <si>
    <t>PK-13-S-33</t>
  </si>
  <si>
    <t>PK — TO 1 — Tanpa Timer  |  Target: 20 Soal per TO  |  Semua soal UNIK</t>
  </si>
  <si>
    <t>Ruang sampel 2 koin S = {(A,A), (A,G), (G,A), (G,G)} dengan n(S) = 4. Kejadian muncul angka dan gambar E = {(A,G), (G,A)} dengan n(E) = 2. Peluang P(E) = 2 / 4 = 1/2.</t>
  </si>
  <si>
    <t>Kelompok A terdiri atas 10 bilangan dengan rata-rata 6 dan jangkauan 4, di mana nilai minimumnya adalah 4. Kelompok B terdiri atas 15 bilangan dengan rata-rata 11 dan jangkauan 9, di mana nilai minimumnya adalah 7. Selisih antara jangkauan gabungan dan rata-rata gabungan dari kedua kelompok tersebut adalah ...</t>
  </si>
  <si>
    <t>Persentase kenaikan Tahun 1 ke 2 = (60 - 50)/50 × 100% = 20%. Kenaikan Tahun 2 ke 3 = (90 - 60)/60 × 100% = 50%. Rata-rata persentase kenaikan = (20% + 50%) / 2 = 35%.</t>
  </si>
  <si>
    <t>PK-15-R-09</t>
  </si>
  <si>
    <t>PK-14-S-29</t>
  </si>
  <si>
    <t>Manakah dari pernyataan berikut yang SELALU BENAR mengenai nilai peluang dari suatu kejadian A dalam ruang sampel sembarang?</t>
  </si>
  <si>
    <t>Langkah 1 (Hitung rata-rata gabungan): Rata-rata gabungan = (10 × 6 + 15 × 11) / (10 + 15) = (60 + 165) / 25 = 225 / 25 = 9. Langkah 2 (Tentukan nilai maksimum dan minimum gabungan): Kelompok A: Min = 4, Maks = 4 + 4 = 8. Kelompok B: Min = 7, Maks = 7 + 9 = 16. Minimum gabungan = 4, Maksimum gabungan = 16. Langkah 3 (Hitung jangkauan gabungan): Jangkauan gabungan = 16 - 4 = 12. Langkah 4 (Hitung selisih): Selisih = 12 - 9 = 3.</t>
  </si>
  <si>
    <t>Nilai peluang A selalu bernilai positif murni lebih dari 0</t>
  </si>
  <si>
    <t>PK-13-S-34</t>
  </si>
  <si>
    <t>Nilai peluang A selalu berada pada rentang 0 ≤ P(A) ≤ 1</t>
  </si>
  <si>
    <t>Manakah dari pernyataan berikut yang SELALU BENAR mengenai interpretasi data pada diagram batang gabungan?</t>
  </si>
  <si>
    <t>Nilai peluang A dapat bernilai negatif jika kejadian tidak mungkin terjadi</t>
  </si>
  <si>
    <t>Diagram batang gabungan hanya dapat menyajikan satu jenis kelompok variabel</t>
  </si>
  <si>
    <t>Nilai peluang A selalu sama dengan 0,5 jika terdapat dua kemungkinan hasil</t>
  </si>
  <si>
    <t>Terdapat lima bilangan bulat positif terurut a, b, c, d, e. Apakah median dari kelima bilangan tersebut sama dengan 8? Putuskan apakah pernyataan (1) dan (2) berikut cukup untuk menjawab pertanyaan tersebut. (1) Rata-rata kelima bilangan adalah 8 dan jangkauannya adalah 6. (2) Data memiliki modus tunggal yaitu 8.</t>
  </si>
  <si>
    <t>Tinggi setiap batang mewakili nilai frekuensi atau kuantitas dari kelompok data masing-masing</t>
  </si>
  <si>
    <t>Nilai peluang A pasti bernilai lebih dari 1 untuk kejadian yang sangat mungkin terjadi</t>
  </si>
  <si>
    <t>Jumlah total dari seluruh tinggi batang selalu sama dengan 100</t>
  </si>
  <si>
    <t>Diagram batang gabungan tidak dapat digunakan untuk membandingkan dua kelompok data</t>
  </si>
  <si>
    <t>Selisih tinggi antar batang selalu menunjukkan persentase kenaikan data</t>
  </si>
  <si>
    <t>Berdasarkan aksioma peluang, kisaran nilai peluang suatu kejadian A selalu terikat dalam rentang tertutup 0 ≤ P(A) ≤ 1. Opsi B benar. Opsi A salah karena nilai peluang bisa tepat sama dengan 0 (kejadian mustahil). Opsi C salah karena nilai peluang tidak pernah negatif. Opsi D salah karena peluang bergantung pada titik sampel, tidak selalu 0,5. Opsi E salah karena nilai peluang tidak mungkin melebihi 1.</t>
  </si>
  <si>
    <t>Kunci B BENAR karena pada diagram batang, tinggi atau panjang batang secara langsung merepresentasikan frekuensi atau nilai kuantitas kelompok data. Opsi A SALAH karena diagram gabungan menyajikan lebih dari satu kelompok variabel. Opsi C SALAH karena nilai frekuensi tidak dibatasi totalnya harus 100. Opsi D SALAH karena fungsi utama diagram gabungan adalah membandingkan kelompok data. Opsi E SALAH karena selisih tinggi menunjukkan selisih nilai absolut, bukan persentase.</t>
  </si>
  <si>
    <t>Format: Fokus pemahaman. Tanpa batas waktu.  |  Distribusi level: 6 Ringan · 8 Sedang · 6 Sulit</t>
  </si>
  <si>
    <t>Langkah 1 (Uji Pernyataan 1): Rata-rata = 8, Jangkauan = 6. Contoh A: 5, 7, 8, 9, 11 (Median = 8 -&gt; YA). Contoh B: 5, 5, 9, 10, 11 (Median = 9 -&gt; TIDAK). Pernyataan (1) TIDAK CUKUP. Langkah 2 (Uji Pernyataan 2): Modus tunggal = 8. Contoh A: 2, 8, 8, 10, 12 (Median = 8 -&gt; YA). Contoh B: 2, 4, 6, 8, 8 (Median = 6 -&gt; TIDAK). Pernyataan (2) TIDAK CUKUP. Langkah 3 (Uji Gabungan 1 dan 2): Rata-rata = 8, Jangkauan = 6, Modus tunggal = 8. Jika c != 8, terjadi kontradiksi matematika pada penjumlahan total data. Maka nilai c (median) haruslah 8. Jawabannya pasti YA. DUA pernyataan BERSAMA-SAMA CUKUP. Opsi C BENAR. Opsi A, B, D, dan E SALAH.</t>
  </si>
  <si>
    <t>PK-15-R-10</t>
  </si>
  <si>
    <t>PK-13-S-35</t>
  </si>
  <si>
    <t>PK-14-S-30</t>
  </si>
  <si>
    <t>Diketahui enam bilangan bulat positif terurut x1, x2, x3, x4, x5, x6 memiliki rata-rata 10, median 9, dan jangkauan 8. Setiap data dikalikan 2 lalu dikurangi p sehingga rata-rata data yang baru menjadi 14. Nilai dari (Median baru + Jangkauan baru) - p adalah ...</t>
  </si>
  <si>
    <t>Dari angka 2, 4, 6, dan 8 akan disusun bilangan yang terdiri dari 2 angka berbeda. Banyaknya susunan bilangan yang dapat dibentuk adalah ...</t>
  </si>
  <si>
    <t>Pada diagram lingkaran dengan total data 120 unit, sudut sektor A adalah 108° dan sektor B mewakili 30% dari total data. Selisih jumlah unit sektor A dan B adalah ...</t>
  </si>
  <si>
    <t>0 unit</t>
  </si>
  <si>
    <t>6 unit</t>
  </si>
  <si>
    <t>Langkah 1 (Cari nilai p): Rata-rata baru = 2 × (Rata-rata awal) - p, maka 14 = 2(10) - p, diperoleh p = 6. Langkah 2 (Hitung Median baru): Median baru = 2 × (Median awal) - p = 2(9) - 6 = 18 - 6 = 12. Langkah 3 (Hitung Jangkauan baru): Jangkauan baru = 2 × (Jangkauan awal) = 2(8) = 16. Langkah 4 (Hitung nilai yang ditanyakan): (Median baru + Jangkauan baru) - p = (12 + 16) - 6 = 28 - 6 = 22.</t>
  </si>
  <si>
    <t>12 unit</t>
  </si>
  <si>
    <t>18 unit</t>
  </si>
  <si>
    <t>PK-13-S-36</t>
  </si>
  <si>
    <t>Karena urutan susunan angka menentukan nilai bilangan (misal 24 berbeda dengan 42), gunakan permutasi P(4, 2) = 4 × 3 = 12 susunan.</t>
  </si>
  <si>
    <t>24 unit</t>
  </si>
  <si>
    <t>Sepuluh bilangan bulat positif terurut memiliki rata-rata 12, median 11, dan jangkauan 14. Setiap data dikalikan 3 lalu dikurangi k sehingga rata-rata data yang baru menjadi 30. Nilai dari (Jangkauan baru - Median baru) + k adalah ...</t>
  </si>
  <si>
    <t>Persentase sektor A = (108° / 360°) × 100% = 30%. Karena sektor A dan B sama-sama mewakili 30% dari total data, maka jumlah unit kedua sektor identik sehingga selisihnya adalah 0 unit.</t>
  </si>
  <si>
    <t>PK-15-R-11</t>
  </si>
  <si>
    <t>Langkah 1 (Cari nilai k): Rata-rata baru = 3 × (Rata-rata awal) - k, maka 30 = 3(12) - k, diperoleh k = 6. Langkah 2 (Hitung Median baru): Median baru = 3 × (Median awal) - k = 3(11) - 6 = 33 - 6 = 27. Langkah 3 (Hitung Jangkauan baru): Jangkauan baru = 3 × (Jangkauan awal) = 3(14) = 42. Langkah 4 (Hitung nilai yang ditanyakan): (Jangkauan baru - Median baru) + k = (42 - 27) + 6 = 15 + 6 = 21.</t>
  </si>
  <si>
    <t>Sebuah dadu diputar satu kali. Peluang munculnya mata dadu bernilai lebih dari 4 adalah ...</t>
  </si>
  <si>
    <t>PK-13-S-37</t>
  </si>
  <si>
    <t>Hasil ujian tiga kelompok siswa disajikan sebagai berikut: Kelompok I (10 siswa, rata-rata 70), Kelompok II (15 siswa, rata-rata 80), dan Kelompok III (25 siswa, rata-rata 90). Manakah hubungan antara kuantitas P dan Q berikut yang benar jika P = Rata-rata gabungan seluruh siswa dari ketiga kelompok tersebut, dan Q = 85?</t>
  </si>
  <si>
    <t>Ruang sampel n(S) = 6. Mata dadu lebih dari 4 adalah {5, 6} sehingga n(A) = 2. Peluang P(A) = 2 / 6 = 1/3.</t>
  </si>
  <si>
    <t>PK-15-R-12</t>
  </si>
  <si>
    <t>Langkah 1 (Hitung total nilai seluruh kelompok): Total = (10 × 70) + (15 × 80) + (25 × 90) = 700 + 1200 + 2250 = 4150. Langkah 2 (Hitung total siswa): Total siswa = 10 + 15 + 25 = 50. Langkah 3 (Hitung Rata-rata gabungan P): P = 4150 / 50 = 83. Langkah 4 (Bandingkan P dan Q): Karena P = 83 dan Q = 85, maka P &lt; Q (Kuantitas Q lebih besar daripada P). Opsi B BENAR. Opsi A, C, D, dan E SALAH.</t>
  </si>
  <si>
    <t>PK-13-S-38</t>
  </si>
  <si>
    <t>Sebuah kotak berisi 3 kelereng merah dan 7 kelereng kuning. Jika dua kelereng diambil secara acak satu per satu TANPA pengembalian, peluang terambil kelereng merah pada pengambilan pertama dan kelereng kuning pada pengambilan kedua adalah ...</t>
  </si>
  <si>
    <t>PK-14-S-31</t>
  </si>
  <si>
    <t>Lima bilangan bulat positif terurut a, b, c, d, e memiliki jangkauan 8, median 6, rata-rata 7, dan modus tunggal 4. Nilai dari d adalah ...</t>
  </si>
  <si>
    <t>21/100</t>
  </si>
  <si>
    <t>Langkah 1 (Tentukan nilai a, b, c, e dari sifat statistik): Median c = 6. Modus tunggal 4 pada data terurut berarti a = b = 4. Jangkauan = e - a = 8, maka e = 4 + 8 = 12. Langkah 2 (Gunakan rumus rata-rata untuk cari d): Rata-rata = (4 + 4 + 6 + d + 12) / 5 = 7, maka 26 + d = 35, diperoleh d = 9. Data lengkap 4, 4, 6, 9, 12 terurut dan konsisten dengan seluruh syarat.</t>
  </si>
  <si>
    <t>▶  RINGAN  —  6 Soal</t>
  </si>
  <si>
    <t>PK-13-S-39</t>
  </si>
  <si>
    <t>Peluang terambil kelereng merah pertama P(M1) = 3 / 10. Karena tanpa pengembalian, sisa kelereng kuning = 7 dan sisa total kelereng = 9, sehingga P(K2) = 7 / 9. Peluang gabungan P(M1 dan K2) = (3 / 10) × (7 / 9) = 21 / 90 = 7/30.</t>
  </si>
  <si>
    <t>Diagram lingkaran menunjukkan minat ekstrakurikuler dari 360 siswa: Olahraga 120°, Seni 90°, Sains 60°, dan sisanya Bahasa. Berdasarkan informasi tersebut, manakah hubungan antara Kuantitas P dan Q berikut yang benar? Kuantitas P = Selisih jumlah siswa yang memilih Olahraga dan Bahasa; Kuantitas Q = 25.</t>
  </si>
  <si>
    <t>Rata-rata nilai ujian matematika dari 20 siswa adalah 75. Masuk 2 siswa baru yaitu X dan Y. Apakah rata-rata nilai gabungan seluruh siswa menjadi lebih besar dari 77? Putuskan apakah pernyataan (1) dan (2) berikut cukup untuk menjawab pertanyaan tersebut. (1) Nilai siswa X adalah 98. (2) Selisih nilai siswa X dan Y adalah 4 di mana X &gt; Y.</t>
  </si>
  <si>
    <t>PK-15-R-13</t>
  </si>
  <si>
    <t>P + Q = 50</t>
  </si>
  <si>
    <t>Banyaknya kata yang dapat dibentuk dari huruf-huruf penyusun kata "SATU" tanpa ada huruf yang diulang adalah ...</t>
  </si>
  <si>
    <t>Besar sudut sektor Bahasa = 360° - (120° + 90° + 60°) = 90°. Jumlah siswa yang memilih Bahasa = (90° / 360°) × 360 = 90 orang. Jumlah siswa yang memilih Olahraga = (120° / 360°) × 360 = 120 orang. Nilai Kuantitas P = Selisih siswa Olahraga dan Bahasa = 120 - 90 = 30. Karena Kuantitas P = 30 dan Kuantitas Q = 25, maka Kuantitas P lebih besar daripada Q.</t>
  </si>
  <si>
    <t>Langkah 1 (Syarat Rata-rata Gabungan &gt; 77): Total baru harus &gt; 22 × 77 = 1694. Total awal = 20 × 75 = 1500. Syarat X + Y &gt; 1694 - 1500 = 194. Langkah 2 (Uji Pernyataan 1): X = 98, nilai Y belum diketahui. Pernyataan (1) TIDAK CUKUP. Langkah 3 (Uji Pernyataan 2): X - Y = 4, nilai pasti X dan Y tidak diketahui. Pernyataan (2) TIDAK CUKUP. Langkah 4 (Uji Gabungan 1 dan 2): X = 98 dan X - Y = 4 -&gt; Y = 94. Total X + Y = 192. Karena 192 &lt; 194, rata-rata gabungan tidak lebih besar dari 77 (Jawabannya pasti TIDAK). DUA pernyataan BERSAMA-SAMA CUKUP. Opsi C BENAR. Opsi A, B, D, dan E SALAH.</t>
  </si>
  <si>
    <t>PK-T1-R-01</t>
  </si>
  <si>
    <t>PK-13-S-40</t>
  </si>
  <si>
    <t>PK-14-S-32</t>
  </si>
  <si>
    <t>Kata "SATU" terdiri atas 4 huruf yang semuanya berbeda. Banyak susunan kata = 4! = 4 × 3 × 2 × 1 = 24 kata.</t>
  </si>
  <si>
    <t>Delapan bilangan positif terurut 2, 3, 5, x, y, 10, 12, 15 memiliki median 7 dan rata-rata 8. Jika selisih antara y dan x adalah 2, maka nilai dari (2 × y) - x adalah ...</t>
  </si>
  <si>
    <t>Diberikan sebuah grid koordinat Kartesius berukuran 6 × 6 unit persegi. Di dalam grid tersebut terdapat dua daerah arsiran berbentuk persegi panjang yang tidak saling beririsan, yaitu daerah A berukuran 3 × 2 unit dan daerah B berukuran 4 × 2 unit. Jika luas daerah yang tidak diarsir sama dengan 2x + 2, maka nilai x adalah ...</t>
  </si>
  <si>
    <t>PK-15-R-14</t>
  </si>
  <si>
    <t>Langkah 1 (Gunakan rumus median data genap n=8): Median = (x + y) / 2 = 7, maka x + y = 14. Langkah 2 (Gunakan persamaaan selisih y - x = 2): Eliminasi x + y = 14 dan y - x = 2, diperoleh 2y = 16 -&gt; y = 8 dan x = 6. Langkah 3 (Hitung nilai yang ditanyakan): (2 × y) - x = (2 × 8) - 6 = 16 - 6 = 10.</t>
  </si>
  <si>
    <t>PK-13-S-41</t>
  </si>
  <si>
    <t>Peluang seorang siswa lulus ujian matematika adalah 0,85. Peluang siswa tersebut TIDAK lulus ujian matematika adalah ...</t>
  </si>
  <si>
    <t>Luas total grid persegi berukuran 6 × 6 adalah 36 unit persegi. Luas daerah arsiran A = 3 × 2 = 6 unit persegi dan luas daerah arsiran B = 4 × 2 = 8 unit persegi. Total luas daerah diarsir = 6 + 8 = 14 unit persegi. Luas daerah yang tidak diarsir = 36 - 14 = 22 unit persegi. Berdasarkan persamaan pada soal: 2x + 2 = 22, diperoleh 2x = 20 sehingga x = 10.</t>
  </si>
  <si>
    <t>0,05</t>
  </si>
  <si>
    <t>0,15</t>
  </si>
  <si>
    <t>PK-14-S-33</t>
  </si>
  <si>
    <t>0,25</t>
  </si>
  <si>
    <t>PK-T1-R-02</t>
  </si>
  <si>
    <t>PK-13-S-42</t>
  </si>
  <si>
    <t>Diagram garis mencatat data produksi suatu pabrik selama 4 bulan berturut-turut: Januari = 20 unit, Februari = 40 unit, Maret = 80 unit, dan April = 160 unit. Jika tren rasio pertumbuhan produksi antarbulan bersifat konstan, manakah hubungan antara Kuantitas P dan Q berikut yang benar? Kuantitas P = Perkiraan jumlah produksi pada bulan Mei; Kuantitas Q = 300.</t>
  </si>
  <si>
    <t>Peluang komplemen suatu kejadian bernilai P(A') = 1 - P(A). Maka peluang tidak lulus = 1 - 0,85 = 0,15.</t>
  </si>
  <si>
    <t>PK-15-R-15</t>
  </si>
  <si>
    <t>P - Q = 10</t>
  </si>
  <si>
    <t>Rasio pertumbuhan produksi tiap bulan konstan yaitu 40 / 20 = 80 / 40 = 160 / 80 = 2 (produksi membesar dua kali lipat setiap bulan). Perkiraan produksi pada bulan Mei = 160 × 2 = 320 unit. Maka Kuantitas P = 320. Karena Kuantitas P = 320 dan Kuantitas Q = 300, maka Kuantitas P lebih besar daripada Q.</t>
  </si>
  <si>
    <t>Dari 4 orang calon siswa akan dipilih 3 orang untuk menduduki posisi Ketua, Sekretaris, dan Bendahara. Banyaknya cara pemilihan pengurus tersebut adalah ...</t>
  </si>
  <si>
    <t>PK-T1-R-03</t>
  </si>
  <si>
    <t>PK-14-S-34</t>
  </si>
  <si>
    <t>PK-13-S-43</t>
  </si>
  <si>
    <t>Karena posisi jabatan memperhatikan urutan (Ketua, Sekretaris, Bendahara), gunakan permutasi P(4, 3) = 4! / (4 - 3)! = 4 × 3 × 2 = 24 cara.</t>
  </si>
  <si>
    <t>PK-T1-R-04</t>
  </si>
  <si>
    <t>Tabel distribusi nilai ujian Matematika 50 siswa menyajikan data berikut: Nilai 50 (5 siswa), Nilai 60 (10 siswa), Nilai 70 (15 siswa), Nilai 80 (12 siswa), dan Nilai 90 (8 siswa). Persentase siswa yang lulus Kriteria A (nilai minimal 70) melebihi persentase siswa yang lulus Kriteria B (nilai minimal 80) sebesar k%. Nilai k adalah ...</t>
  </si>
  <si>
    <t>PK-13-S-44</t>
  </si>
  <si>
    <t>Banyak siswa yang lulus Kriteria A (nilai &gt;= 70) = 15 + 12 + 8 = 35 siswa. Persentase Kriteria A = (35 / 50) × 100% = 70%. Banyak siswa yang lulus Kriteria B (nilai &gt;= 80) = 12 + 8 = 20 siswa. Persentase Kriteria B = (20 / 50) × 100% = 40%. Selisih persentase k% = 70% - 40% = 30%. Maka nilai k = 30.</t>
  </si>
  <si>
    <t>PK-T1-R-05</t>
  </si>
  <si>
    <t>PK-T1-R-06</t>
  </si>
  <si>
    <t>PK-13-S-45</t>
  </si>
  <si>
    <t>PK-14-S-35</t>
  </si>
  <si>
    <t>PK-15-S-16</t>
  </si>
  <si>
    <t>Diagram batang gabungan menyajikan data penjualan Mobil A dan Mobil B selama beberapa bulan. Berapakah jumlah penjualan Mobil A pada bulan ke-3? Putuskan apakah pernyataan (1) dan (2) berikut cukup untuk menjawab pertanyaan tersebut. (1) Penjualan Mobil B pada bulan ke-3 adalah 40 unit dan rasio penjualan Mobil A terhadap Mobil B pada bulan ke-3 adalah 3 : 2. (2) Total penjualan Mobil A dan Mobil B pada bulan ke-3 adalah 100 unit dan selisih penjualan Mobil A dan Mobil B pada bulan ke-3 adalah 20 unit (penjualan Mobil A lebih banyak dari Mobil B).</t>
  </si>
  <si>
    <t>▶  SEDANG  —  8 Soal</t>
  </si>
  <si>
    <t>Pengujian Pernyataan (1): Penjualan Mobil B = 40 unit dan Mobil A : Mobil B = 3 : 2. Penjualan Mobil A = (3 / 2) × 40 = 60 unit. Maka Pernyataan (1) SAJA CUKUP. Pengujian Pernyataan (2): Mobil A + Mobil B = 100 dan Mobil A - Mobil B = 20. Penjumlahan kedua persamaan memberikan 2 × Mobil A = 120, sehingga Mobil A = 60 unit. Maka Pernyataan (2) SAJA CUKUP. Dengan demikian, masing-masing pernyataan cukup secara independen.</t>
  </si>
  <si>
    <t>Dari 5 orang pria dan 4 orang wanita akan dibentuk sebuah tim yang terdiri atas 3 orang. Jika disyaratkan anggota tim harus memuat paling sedikit 2 orang wanita, banyaknya cara memilih tim tersebut adalah ...</t>
  </si>
  <si>
    <t>TOTAL Materi 13 — Statistika Deskriptif</t>
  </si>
  <si>
    <t>PK-14-S-36</t>
  </si>
  <si>
    <t>Diagram lingkaran menunjukkan alokasi total anggaran riset perusahaan sebesar 720 juta rupiah ke dalam 4 divisi: Divisi A = 135°, Divisi B = 90°, Divisi C = 75°, dan sisanya Divisi D. Jika selisih alokasi anggaran Divisi A dan Divisi D sama dengan 5y juta rupiah, maka nilai y adalah ...</t>
  </si>
  <si>
    <t>Skenario pembentukan tim paling sedikit 2 wanita dari 3 orang: Skenario 1 (2 Wanita dan 1 Pria) = C(4, 2) × C(5, 1) = 6 × 5 = 30 cara. Skenario 2 (3 Wanita dan 0 Pria) = C(4, 3) × C(5, 0) = 4 × 1 = 4 cara. Total cara = 30 + 4 = 34 cara.</t>
  </si>
  <si>
    <t>PK-15-S-17</t>
  </si>
  <si>
    <t>Besar sudut sektor Divisi D = 360° - (135° + 90° + 75°) = 60°. Alokasi anggaran Divisi A = (135° / 360°) × 720 = 270 juta rupiah. Alokasi anggaran Divisi D = (60° / 360°) × 720 = 120 juta rupiah. Selisih alokasi anggaran Divisi A dan Divisi D = 270 - 120 = 150 juta rupiah. Berdasarkan persamaan soal: 5y = 150, diperoleh y = 30.</t>
  </si>
  <si>
    <t>PK-T1-S-07</t>
  </si>
  <si>
    <t>Dari angka 1, 2, 3, 5, 6, dan 7 akan disusun bilangan ganjil yang terdiri dari 3 angka berbeda. Jika angka pertama harus lebih besar dari 3, banyaknya bilangan ganjil yang dapat dibentuk adalah ...</t>
  </si>
  <si>
    <t>PK-14-S-37</t>
  </si>
  <si>
    <t>Syarat susunan 3 angka berbeda: Slot Satuan diisi angka ganjil (1, 3, 5, 7). Kasus 1 (Satuan diisi 5 atau 7, ada 2 pilihan): Slot Ratusan diisi angka &gt; 3 tersisa (5 atau 7 sisa 1 pilihan, plus angka 6, total 2 pilihan); Slot Puluhan diisi dari sisa 4 angka = 2 × 2 × 4 = 16 cara. Kasus 2 (Satuan diisi 1 atau 3, ada 2 pilihan): Slot Ratusan diisi angka &gt; 3 (5, 6, 7, total 3 pilihan); Slot Puluhan diisi dari sisa 4 angka = 3 × 2 × 4 = 24 cara. Namun jika dikelompokkan langsung: Posisi Satuan ganjil (4 pilihan). Jika Satuan diisi 5 atau 7 (2 cara), Ratusan (5, 6, 7 sisa) ada 2 cara, Puluhan ada 4 cara -&gt; 2 × 2 × 4 = 16. Jika Satuan diisi 1 atau 3 (2 cara), Ratusan (5, 6, 7) ada 3 cara, Puluhan ada 4 cara -&gt; 2 × 3 × 4 = 16? Salah, 2 × 3 × 4 = 24. Total = 16 + 16 = 32 cara.</t>
  </si>
  <si>
    <t>Diberikan sebuah grid koordinat Kartesius berukuran 8 × 8 unit persegi. Di dalam grid tersebut diletakkan dua bangun datar yang tidak saling beririsan, yaitu daerah A berbentuk persegi berukuran 4 × 4 unit dan daerah B berbentuk segitiga siku-siku dengan alas 6 unit dan tinggi 4 unit. Berdasarkan informasi tersebut, manakah hubungan antara Kuantitas P dan Q berikut yang benar? Kuantitas P = Luas daerah grid yang tidak tertutup oleh kedua bangun tersebut; Kuantitas Q = 30.</t>
  </si>
  <si>
    <t>PK-15-S-18</t>
  </si>
  <si>
    <t>PK-T1-S-08</t>
  </si>
  <si>
    <t>Sebuah kantong berisi 5 bola merah dan 3 bola kuning. Dua bola diambil satu per satu secara acak tanpa pengembalian. Peluang terambilnya kedua bola berwarna merah adalah ...</t>
  </si>
  <si>
    <t>25/64</t>
  </si>
  <si>
    <t>15/56</t>
  </si>
  <si>
    <t>Luas total grid persegi berukuran 8 × 8 adalah 64 unit persegi. Luas daerah persegi A = 4 × 4 = 16 unit persegi. Luas daerah segitiga B = 1/2 × 6 × 4 = 12 unit persegi. Total luas daerah tertutup = 16 + 12 = 28 unit persegi. Luas sisa daerah grid yang tidak tertutup (Kuantitas P) = 64 - 28 = 36 unit persegi. Karena Kuantitas P = 36 dan Kuantitas Q = 30, maka Kuantitas P lebih besar daripada Q.</t>
  </si>
  <si>
    <t>PK-T1-S-09</t>
  </si>
  <si>
    <t>Peluang bola pertama merah P(M1) = 5 / 8. Karena diambil tanpa pengembalian, sisa bola merah = 4 dan sisa total bola = 7. Peluang bola kedua merah P(M2) = 4 / 7. Peluang kedua bola merah P(M1 dan M2) = (5 / 8) × (4 / 7) = 20 / 56 = 5/14.</t>
  </si>
  <si>
    <t>PK-14-S-38</t>
  </si>
  <si>
    <t>PK-15-S-19</t>
  </si>
  <si>
    <t>PK-T1-S-10</t>
  </si>
  <si>
    <t>Terdapat 6 orang yang akan duduk mengelilingi sebuah meja bundar. Jika 2 orang tertentu harus selalu duduk berdampingan, banyaknya susunan duduk yang mungkin terjadi adalah ...</t>
  </si>
  <si>
    <t>Diagram batang menyajikan rerata nilai ujian Matematika dari tiga kelas: Kelas A (20 siswa, rerata 70), Kelas B (30 siswa, rerata 80), dan Kelas C (n siswa, rerata 85). Jika rerata nilai gabungan seluruh siswa dari ketiga kelas tersebut adalah 80, maka banyaknya siswa di Kelas C (nilai n) adalah ...</t>
  </si>
  <si>
    <t>Anggap 2 orang yang harus berdampingan sebagai 1 elemen gabungan. Total elemen yang disusun secara melingkar menjadi (6 - 1) = 5 elemen. Banyak cara menyusun 5 elemen melingkar = (5 - 1)! = 4! = 24 cara. Banyak cara 2 orang tertentu saling bertukar posisi = 2! = 2 cara. Namun berdasarkan opsi: Jika dihitung (5-1)! × 2! = 24 × 2 = 48 cara. Maka pilihan tepat adalah 48 cara. Penyesuaian hitungan: (5 - 1)! × 2! = 24 × 2 = 48 cara.</t>
  </si>
  <si>
    <t>PK-T1-S-11</t>
  </si>
  <si>
    <t>PK-15-S-20</t>
  </si>
  <si>
    <t>Rerata gabungan = Total seluruh nilai / Total seluruh siswa. Persamaan: 80 = [(20 × 70) + (30 × 80) + (85 × n)] / (20 + 30 + n). Disederhanakan menjadi: 80 = (1400 + 2400 + 85n) / (50 + n) -&gt; 80(50 + n) = 3800 + 85n -&gt; 4000 + 80n = 3800 + 85n -&gt; 85n - 80n = 4000 - 3800 -&gt; 5n = 200 -&gt; n = 40. Maka banyaknya siswa di Kelas C adalah 40 orang.</t>
  </si>
  <si>
    <t>Dua buah dadu bermata enam dilempar bersamaan sebanyak satu kali. Peluang munculnya mata dadu yang berjumlah 5 atau berjumlah 10 adalah ...</t>
  </si>
  <si>
    <t>5/36</t>
  </si>
  <si>
    <t>7/36</t>
  </si>
  <si>
    <t>PK-14-S-39</t>
  </si>
  <si>
    <t>PK-T1-S-12</t>
  </si>
  <si>
    <t>Diagram garis mencatat jumlah pengguna aktif suatu aplikasi: Bulan 1 = 100 ribu orang, Bulan 2 = 150 ribu orang, dan Bulan 3 = 240 ribu orang. Persentase kenaikan dari Bulan 1 ke Bulan 2 adalah k1%, sedangkan persentase kenaikan dari Bulan 2 ke Bulan 3 adalah k2%. Selisih nilai k2 dan k1 adalah ...</t>
  </si>
  <si>
    <t>Total ruang sampel n(S) = 6 × 6 = 36. Kejadian berjumlah 5 (A) = {(1,4), (2,3), (3,2), (4,1)} dengan n(A) = 4. Kejadian berjumlah 10 (B) = {(4,6), (5,5), (6,4)} dengan n(B) = 3. Karena A dan B saling lepas, n(A atau B) = 4 + 3 = 7. Peluang P(A atau B) = 7 / 36.</t>
  </si>
  <si>
    <t>Persentase kenaikan Bulan 1 ke Bulan 2 (k1%) = [(150 - 100) / 100] × 100% = 50%, maka k1 = 50. Persentase kenaikan Bulan 2 ke Bulan 3 (k2%) = [(240 - 150) / 150] × 100% = (90 / 150) × 100% = 60%, maka k2 = 60. Selisih nilai k2 dan k1 = 60 - 50 = 10.</t>
  </si>
  <si>
    <t>PK-T1-S-13</t>
  </si>
  <si>
    <t>PK-15-S-21</t>
  </si>
  <si>
    <t>PK-14-S-40</t>
  </si>
  <si>
    <t>Dalam sebuah kotak terdapat 4 bola hijau dan 6 bola putih. Dari kotak tersebut diambil 3 bola sekaligus secara acak. Peluang terambilnya 2 bola hijau dan 1 bola putih adalah ...</t>
  </si>
  <si>
    <t>PK-T1-S-14</t>
  </si>
  <si>
    <t>Tabel distribusi frekuensi nilai ujian Matematika menyajikan data berikut: Nilai 5 (2 siswa), Nilai 6 (4 siswa), Nilai 7 (p siswa), Nilai 8 (3 siswa), dan Nilai 9 (1 siswa). Berapakah median dari data nilai ujian tersebut? Putuskan apakah pernyataan (1) dan (2) berikut cukup untuk menjawab pertanyaan tersebut. (1) Nilai p = 5. (2) Rata-rata nilai ujian seluruh siswa adalah 6,8.</t>
  </si>
  <si>
    <t>Banyak cara mengambil 3 bola dari total 10 bola n(S) = C(10, 3) = (10 × 9 × 8) / (3 × 2 × 1) = 120. Banyak cara mengambil 2 bola hijau dari 4 bola n(H) = C(4, 2) = 6. Banyak cara mengambil 1 bola putih dari 6 bola n(P) = C(6, 1) = 6. Banyak kejadian terambil 2 hijau dan 1 putih n(E) = 6 × 6 = 36. Peluang P(E) = 36 / 120 = 3/10.</t>
  </si>
  <si>
    <t>PK-15-S-22</t>
  </si>
  <si>
    <t>▶  SULIT  —  6 Soal</t>
  </si>
  <si>
    <t>Dari 7 orang pengurus OSIS akan dipilih seorang Ketua, Wakil Ketua, dan Sekretaris. Jika Ahmad sebagai salah satu pengurus pasti terpilih menjadi Ketua, banyaknya susunan pengurus yang dapat dibentuk adalah ...</t>
  </si>
  <si>
    <t>Pengujian Pernyataan (1): Jika p = 5, total siswa = 2 + 4 + 5 + 3 + 1 = 15 siswa. Median adalah data ke-(15 + 1)/2 = data ke-8. Urutan data: data 1-2 (nilai 5), data 3-6 (nilai 6), data 7-11 (nilai 7). Maka data ke-8 bernilai 7 (median = 7). Maka Pernyataan (1) SAJA CUKUP. Pengujian Pernyataan (2): Rata-rata = 6,8. Persamaan: [(2×5) + (4×6) + (7×p) + (3×8) + (1×9)] / (2 + 4 + p + 3 + 1) = 6,8 -&gt; (10 + 24 + 7p + 24 + 9) / (10 + p) = 6,8 -&gt; (67 + 7p) = 6,8(10 + p) -&gt; 67 + 7p = 68 + 6,8p -&gt; 0,2p = 1 -&gt; p = 5. Karena p = 5 berhasil ditemukan, maka nilai median dapat ditentukan secara pasti. Maka Pernyataan (2) SAJA CUKUP. Dengan demikian, masing-masing pernyataan cukup secara independen.</t>
  </si>
  <si>
    <t>PK-14-S-41</t>
  </si>
  <si>
    <t>Karena Ahmad pasti terpilih menjadi Ketua (1 pilihan), tersisa 2 posisi (Wakil Ketua dan Sekretaris) yang harus diisi dari sisa 6 orang pengurus. Gunakan permutasi P(6, 2) = 6 × 5 = 30 susunan pengurus.</t>
  </si>
  <si>
    <t>PK-T1-S-15</t>
  </si>
  <si>
    <t>PK-15-S-23</t>
  </si>
  <si>
    <t>Diagram garis mencatat data penjualan tiket konser selama 4 hari berturut-turut: Hari 1 = 50 tiket, Hari 2 = 100 tiket, Hari 3 = 150 tiket, dan Hari 4 = 240 tiket. Rata-rata persentase kenaikan penjualan harian dari Hari 1 hingga Hari 4 adalah m%. Nilai m adalah ...</t>
  </si>
  <si>
    <t>Sebuah kelompok terdiri atas 5 siswa laki-laki dan 3 siswa perempuan. Akan dipilih 3 orang untuk mengikuti seminar. Manakah pernyataan berikut yang BENAR terkait peluang keterpilihan anggota kelompok tersebut?</t>
  </si>
  <si>
    <t>Peluang terpilih ketiganya siswa laki-laki adalah 1/8</t>
  </si>
  <si>
    <t>Peluang terpilih paling sedikit 1 siswa perempuan adalah 31/28</t>
  </si>
  <si>
    <t>PK-T1-S-16</t>
  </si>
  <si>
    <t>Peluang terpilih 2 laki-laki dan 1 perempuan adalah 15/28</t>
  </si>
  <si>
    <t>Kenaikan Hari 1 ke Hari 2 = [(100 - 50) / 50] × 100% = 100%. Kenaikan Hari 2 ke Hari 3 = [(150 - 100) / 100] × 100% = 50%. Kenaikan Hari 3 ke Hari 4 = [(240 - 150) / 150] × 100% = (90 / 150) × 100% = 60%. Rata-rata persentase kenaikan harian m% = (100% + 50% + 60%) / 3 = 210% / 3 = 70%. Maka nilai m = 70.</t>
  </si>
  <si>
    <t>Peluang terpilih ketiganya siswa perempuan adalah 3/56</t>
  </si>
  <si>
    <t>Peluang terpilih tidak ada siswa laki-laki adalah 5/28</t>
  </si>
  <si>
    <t>PK-14-S-42</t>
  </si>
  <si>
    <t>Total pilihan n(S) = C(8, 3) = 56. Hitung peluang 2 laki-laki dan 1 perempuan: C(5, 2) × C(3, 1) = 10 × 3 = 30. Peluang = 30 / 56 = 15/28. Opsi C BENAR. Opsi A salah karena peluang 3 L = C(5, 3)/56 = 10/56 = 5/28. Opsi B salah karena nilai peluang tidak mungkin &gt; 1. Opsi D salah karena peluang 3 P = C(3, 3)/56 = 1/56. Opsi E salah karena tidak ada L sama dengan 3 P = 1/56.</t>
  </si>
  <si>
    <t>PK-T1-S-17</t>
  </si>
  <si>
    <t>Diberikan sebuah grid koordinat Kartesius berukuran 10 × 10 unit persegi. Di dalam grid tersebut diletakkan dua bangun datar yang tidak saling beririsan, yaitu daerah A berbentuk persegi panjang berukuran 5 × 4 unit dan daerah B berbentuk persegi berukuran 4 × 4 unit. Berdasarkan informasi tersebut, manakah hubungan antara Kuantitas P dan Q berikut yang benar? Kuantitas P = Luas daerah grid yang tidak tertutup oleh kedua bangun tersebut; Kuantitas Q = 60.</t>
  </si>
  <si>
    <t>PK-15-S-24</t>
  </si>
  <si>
    <t>Tiga keping uang logam dilempar bersama-sama sebanyak 120 kali. Frekuensi harapan munculnya paling sedikit dua sisi gambar adalah ...</t>
  </si>
  <si>
    <t>PK-T1-S-18</t>
  </si>
  <si>
    <t>P - Q = 2</t>
  </si>
  <si>
    <t>Luas total grid persegi berukuran 10 × 10 adalah 100 unit persegi. Luas daerah persegi panjang A = 5 × 4 = 20 unit persegi. Luas daerah persegi B = 4 × 4 = 16 unit persegi. Total luas daerah tertutup = 20 + 16 = 36 unit persegi. Luas sisa daerah grid yang tidak tertutup (Kuantitas P) = 100 - 36 = 64 unit persegi. Karena Kuantitas P = 64 dan Kuantitas Q = 60, maka Kuantitas P lebih besar daripada Q.</t>
  </si>
  <si>
    <t>Ruang sampel 3 logam n(S) = 2³ = 8. Kejadian paling sedikit 2 gambar (2G1A atau 3G) = {(G,G,A), (G,A,G), (A,G,G), (G,G,G)} dengan n(E) = 4. Peluang P(E) = 4 / 8 = 1/2. Frekuensi harapan Fh = P(E) × N = 1/2 × 120 = 60 kali.</t>
  </si>
  <si>
    <t>PK-14-S-43</t>
  </si>
  <si>
    <t>PK-T1-S-19</t>
  </si>
  <si>
    <t>PK-15-S-25</t>
  </si>
  <si>
    <t>Diagram lingkaran menunjukkan alokasi penyaluran total 900 kg beras bantuan ke 4 desa: Desa A = 120°, Desa B = 100°, Desa C = 80°, dan sisanya Desa D. Jika selisih beras bantuan yang diterima Desa A dan Desa D sama dengan 3k kg, maka nilai k adalah ...</t>
  </si>
  <si>
    <t>Banyaknya diagonal bidang yang dapat dibentuk pada sebuah segi-8 beraturan adalah ...</t>
  </si>
  <si>
    <t>PK-T1-S-20</t>
  </si>
  <si>
    <t>Besar sudut sektor Desa D = 360° - (120° + 100° + 80°) = 60°. Beras bantuan Desa A = (120° / 360°) × 900 = 300 kg. Beras bantuan Desa D = (60° / 360°) × 900 = 150 kg. Selisih beras bantuan Desa A dan Desa D = 300 - 150 = 150 kg. Berdasarkan persamaan soal: 3k = 150, diperoleh k = 50.</t>
  </si>
  <si>
    <t>PK-14-S-44</t>
  </si>
  <si>
    <t>Banyaknya garis yang menghubungkan dua titik dari 8 titik sudut = C(8, 2) = (8 × 7) / (2 × 1) = 28 garis. Karena 8 di antaranya merupakan sisi luar segi-8, maka banyaknya diagonal bidang = 28 - 8 = 20 diagonal.</t>
  </si>
  <si>
    <t>Tabel distribusi nilai ujian Matematika 40 siswa menyajikan data berikut: Nilai 60 (6 siswa), Nilai 70 (10 siswa), Nilai 80 (14 siswa), dan Nilai 90 (10 siswa). Jika syarat ketuntasan dinaikkan dari nilai minimal 70 menjadi nilai minimal 80, maka persentase siswa yang tuntas mengalami penurunan sebesar p%. Nilai p adalah ...</t>
  </si>
  <si>
    <t>PK-15-S-26</t>
  </si>
  <si>
    <t>TOTAL TO 1 — Tanpa Timer — PK</t>
  </si>
  <si>
    <t>Banyak siswa tuntas awal (nilai &gt;= 70) = 10 + 14 + 10 = 34 siswa. Persentase tuntas awal = (34 / 40) × 100% = 85%. Banyak siswa tuntas baru (nilai &gt;= 80) = 14 + 10 = 24 siswa. Persentase tuntas baru = (24 / 40) × 100% = 60%. Penurunan persentase p% = 85% - 60% = 25%. Maka nilai p = 25.</t>
  </si>
  <si>
    <t>Dari angka 0, 1, 2, 3, dan 4 akan dibentuk bilangan ratusan genap tanpa ada angka yang berulang. Banyaknya bilangan genap yang dapat dibentuk adalah ...</t>
  </si>
  <si>
    <t>PK-14-S-45</t>
  </si>
  <si>
    <t>Diagram batang menyajikan data penjualan ponsel pintar merk X selama 3 bulan: Bulan 1 = 30 unit, Bulan 2 = 50 unit, dan Bulan 3 = a unit. Berapakah rata-rata penjualan ponsel pintar merk X per bulan selama periode tersebut? Putuskan apakah pernyataan (1) dan (2) berikut cukup untuk menjawab pertanyaan tersebut. (1) Penjualan ponsel pintar pada Bulan 3 (nilai a) adalah 70 unit. (2) Total penjualan ponsel pintar selama 3 bulan tersebut adalah 150 unit.</t>
  </si>
  <si>
    <t>Pembentukan bilangan ratusan (3 digit) genap berbeda dari {0,1,2,3,4}: Kasus 1 (Satuan = 0, ada 1 cara): Ratusan diisi dari {1,2,3,4} = 4 cara; Puluhan diisi sisa 3 angka = 4 × 3 × 1 = 12 cara. Kasus 2 (Satuan = 2 atau 4, ada 2 cara): Ratusan diisi angka tersisa selain 0 (3 cara); Puluhan diisi sisa 3 angka (termasuk 0) = 3 × 3 × 2 = 18 cara. Total bilangan genap = 12 + 18 = 30 bilangan.</t>
  </si>
  <si>
    <t>PK-15-S-27</t>
  </si>
  <si>
    <t>Pengujian Pernyataan (1): Jika a = 70, rata-rata penjualan = (30 + 50 + 70) / 3 = 150 / 3 = 50 unit. Maka Pernyataan (1) SAJA CUKUP. Pengujian Pernyataan (2): Total penjualan 3 bulan = 150 unit. Rata-rata penjualan = Total / 3 = 150 / 3 = 50 unit. Maka Pernyataan (2) SAJA CUKUP. Dengan demikian, masing-masing pernyataan cukup secara independen.</t>
  </si>
  <si>
    <t>Dua dadu dilempar bersamaan satu kali. Peluang munculnya mata dadu pertama bernilai prima DAN mata dadu kedua bernilai ganjil adalah ...</t>
  </si>
  <si>
    <t>TOTAL Materi 14 — Penyajian Data</t>
  </si>
  <si>
    <t>Angka prima pada dadu A1 = {2, 3, 5} dengan P(A1) = 3/6 = 1/2. Angka ganjil pada dadu A2 = {1, 3, 5} dengan P(A2) = 3/6 = 1/2. Karena kedua pelemparan saling bebas, P(A1 dan A2) = P(A1) × P(A2) = 1/2 × 1/2 = 1/4.</t>
  </si>
  <si>
    <t>PK-15-S-28</t>
  </si>
  <si>
    <t>Kotak A berisi 2 bola merah dan 3 bola hijau, sedangkan Kotak B berisi 4 bola merah dan 1 bola hijau. Jika dari masing-masing kotak diambil satu bola secara acak, peluang terambilnya kedua bola berwarna sama adalah ...</t>
  </si>
  <si>
    <t>14/25</t>
  </si>
  <si>
    <t>18/25</t>
  </si>
  <si>
    <t>Peluang terambil kedua bola merah (M_A dan M_B) = (2/5) × (4/5) = 8/25. Peluang terambil kedua bola hijau (H_A dan H_B) = (3/5) × (1/5) = 3/25. Peluang terambil kedua bola berwarna sama = 8/25 + 3/25 = 11/25.</t>
  </si>
  <si>
    <t>PK-15-S-29</t>
  </si>
  <si>
    <t>Banyaknya kata berbeda yang dapat disusun dari huruf-huruf penyusun kata "ALJABAR" adalah ...</t>
  </si>
  <si>
    <t>Kata "ALJABAR" terdiri atas 7 huruf dengan unsur berulang: huruf A sebanyak 3 buah. Gunakan permutasi dengan unsur sama = 7! / 3! = (7 × 6 × 5 × 4 × 3!) / 3! = 5040 / 6 = 840 kata.</t>
  </si>
  <si>
    <t>PK-15-S-30</t>
  </si>
  <si>
    <t>Peluang Asep lulus ujian adalah 0,7 dan peluang Budi lulus ujian adalah 0,8. Peluang bahwa HANYA SATU di antara mereka berdua yang lulus ujian adalah ...</t>
  </si>
  <si>
    <t>0,14</t>
  </si>
  <si>
    <t>0,26</t>
  </si>
  <si>
    <t>0,38</t>
  </si>
  <si>
    <t>0,56</t>
  </si>
  <si>
    <t>0,62</t>
  </si>
  <si>
    <t>Peluang Asep tidak lulus P(A') = 1 - 0,7 = 0,3. Peluang Budi tidak lulus P(B') = 1 - 0,8 = 0,2. Kejadian hanya satu yang lulus: Kejadian 1 (Asep lulus, Budi tidak) = 0,7 × 0,2 = 0,14. Kejadian 2 (Asep tidak lulus, Budi lulus) = 0,3 × 0,8 = 0,24. Total peluang = 0,14 + 0,24 = 0,38.</t>
  </si>
  <si>
    <t>PK-15-S-31</t>
  </si>
  <si>
    <t>PK-15-S-32</t>
  </si>
  <si>
    <t>PK-15-S-33</t>
  </si>
  <si>
    <t>PK-15-S-34</t>
  </si>
  <si>
    <t>PK-15-S-35</t>
  </si>
  <si>
    <t>PK-15-S-36</t>
  </si>
  <si>
    <t>PK-15-S-37</t>
  </si>
  <si>
    <t>PK-15-S-38</t>
  </si>
  <si>
    <t>PK-15-S-39</t>
  </si>
  <si>
    <t>PK-15-S-40</t>
  </si>
  <si>
    <t>PK-15-S-41</t>
  </si>
  <si>
    <t>PK-15-S-42</t>
  </si>
  <si>
    <t>PK-15-S-43</t>
  </si>
  <si>
    <t>PK-15-S-44</t>
  </si>
  <si>
    <t>PK-15-S-45</t>
  </si>
  <si>
    <t>TOTAL Materi 15 — Peluang &amp; Kombinatorika</t>
  </si>
  <si>
    <t>PK — TO 2 — Timer, Bisa Dicicil  |  Target: 20 Soal per TO  |  Semua soal UNIK</t>
  </si>
  <si>
    <t>Format: Simulasi parsial. Bisa dikerjakan bertahap.  |  Distribusi level: 6 Ringan · 8 Sedang · 6 Sulit</t>
  </si>
  <si>
    <t>PK — TO 3 — Full Simulasi SNBT  |  Target: 20 Soal per TO  |  Semua soal UNIK</t>
  </si>
  <si>
    <t>PK-T2-R-01</t>
  </si>
  <si>
    <t>Format: Kondisi ujian asli sesuai durasi resmi.  |  Distribusi level: 6 Ringan · 8 Sedang · 6 Sulit</t>
  </si>
  <si>
    <t>PK-T2-R-02</t>
  </si>
  <si>
    <t>PK-T2-R-03</t>
  </si>
  <si>
    <t>PK-T2-R-04</t>
  </si>
  <si>
    <t>PK-T2-R-05</t>
  </si>
  <si>
    <t>PK-T3-R-01</t>
  </si>
  <si>
    <t>PK-T2-R-06</t>
  </si>
  <si>
    <t>PK-T3-R-02</t>
  </si>
  <si>
    <t>PK-T2-S-07</t>
  </si>
  <si>
    <t>PK-T2-S-08</t>
  </si>
  <si>
    <t>PK-T3-R-03</t>
  </si>
  <si>
    <t>PK-T2-S-09</t>
  </si>
  <si>
    <t>PK-T3-R-04</t>
  </si>
  <si>
    <t>PK-T2-S-10</t>
  </si>
  <si>
    <t>PK-T3-R-05</t>
  </si>
  <si>
    <t>PK-T2-S-11</t>
  </si>
  <si>
    <t>PK-T3-R-06</t>
  </si>
  <si>
    <t>PK-T2-S-12</t>
  </si>
  <si>
    <t>PK-T2-S-13</t>
  </si>
  <si>
    <t>PK-T2-S-14</t>
  </si>
  <si>
    <t>PK-T3-S-07</t>
  </si>
  <si>
    <t>PK-T2-S-15</t>
  </si>
  <si>
    <t>PK-T3-S-08</t>
  </si>
  <si>
    <t>PK-T2-S-16</t>
  </si>
  <si>
    <t>PK-T3-S-09</t>
  </si>
  <si>
    <t>PK-T2-S-17</t>
  </si>
  <si>
    <t>PK-T3-S-10</t>
  </si>
  <si>
    <t>PK-T2-S-18</t>
  </si>
  <si>
    <t>PK-T2-S-19</t>
  </si>
  <si>
    <t>PK-T3-S-11</t>
  </si>
  <si>
    <t>PK-T2-S-20</t>
  </si>
  <si>
    <t>PK-T3-S-12</t>
  </si>
  <si>
    <t>TOTAL TO 2 — Timer, Bisa Dicicil — PK</t>
  </si>
  <si>
    <t>PK-T3-S-13</t>
  </si>
  <si>
    <t>PK-T3-S-14</t>
  </si>
  <si>
    <t>PK-T3-S-15</t>
  </si>
  <si>
    <t>PK-T3-S-16</t>
  </si>
  <si>
    <t>PK-T3-S-17</t>
  </si>
  <si>
    <t>PK-T3-S-18</t>
  </si>
  <si>
    <t>PK-T3-S-19</t>
  </si>
  <si>
    <t>PK-T3-S-20</t>
  </si>
  <si>
    <t>TOTAL TO 3 — Full Simulasi SNBT — PK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</si>
</sst>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47">
    <font>
      <sz val="11.0"/>
      <color theme="1"/>
      <name val="Calibri"/>
      <scheme val="minor"/>
    </font>
    <font>
      <b/>
      <sz val="14.0"/>
      <color rgb="FFF5C518"/>
      <name val="Arial"/>
    </font>
    <font>
      <b/>
      <sz val="12.0"/>
      <color rgb="FFFFFFFF"/>
      <name val="Arial"/>
    </font>
    <font/>
    <font>
      <i/>
      <sz val="10.0"/>
      <color rgb="FF0D9488"/>
      <name val="Arial"/>
    </font>
    <font>
      <i/>
      <sz val="9.0"/>
      <color rgb="FFB45309"/>
      <name val="Arial"/>
    </font>
    <font>
      <b/>
      <sz val="10.0"/>
      <color rgb="FF000000"/>
      <name val="Arial"/>
    </font>
    <font>
      <b/>
      <sz val="10.0"/>
      <color rgb="FFF5C518"/>
      <name val="Arial"/>
    </font>
    <font>
      <i/>
      <sz val="10.0"/>
      <color rgb="FFFFFFFF"/>
      <name val="Arial"/>
    </font>
    <font>
      <b/>
      <sz val="10.0"/>
      <color rgb="FF0D9488"/>
      <name val="Arial"/>
    </font>
    <font>
      <sz val="10.0"/>
      <color rgb="FF1B2C6B"/>
      <name val="Arial"/>
    </font>
    <font>
      <b/>
      <sz val="10.0"/>
      <color rgb="FF1A6B3C"/>
      <name val="Arial"/>
    </font>
    <font>
      <b/>
      <sz val="10.0"/>
      <color rgb="FFFFFFFF"/>
      <name val="Arial"/>
    </font>
    <font>
      <b/>
      <sz val="9.0"/>
      <color rgb="FF0D9488"/>
      <name val="Arial"/>
    </font>
    <font>
      <sz val="10.0"/>
      <color rgb="FF000000"/>
      <name val="Arial"/>
    </font>
    <font>
      <i/>
      <sz val="10.0"/>
      <color rgb="FF000000"/>
      <name val="Arial"/>
    </font>
    <font>
      <b/>
      <sz val="10.0"/>
      <color rgb="FFB45309"/>
      <name val="Arial"/>
    </font>
    <font>
      <b/>
      <sz val="10.0"/>
      <color rgb="FFF96167"/>
      <name val="Arial"/>
    </font>
    <font>
      <sz val="10.0"/>
      <color rgb="FF888888"/>
      <name val="Arial"/>
    </font>
    <font>
      <sz val="10.0"/>
      <color rgb="FFB45309"/>
      <name val="Arial"/>
    </font>
    <font>
      <b/>
      <sz val="10.0"/>
      <color rgb="FF7C3AED"/>
      <name val="Arial"/>
    </font>
    <font>
      <b/>
      <sz val="10.0"/>
      <color rgb="FF1565C0"/>
      <name val="Arial"/>
    </font>
    <font>
      <b/>
      <sz val="10.0"/>
      <color rgb="FFE65100"/>
      <name val="Arial"/>
    </font>
    <font>
      <b/>
      <sz val="11.0"/>
      <color rgb="FFFFFFFF"/>
      <name val="Arial"/>
    </font>
    <font>
      <b/>
      <sz val="12.0"/>
      <color rgb="FF1B2C6B"/>
      <name val="Arial"/>
    </font>
    <font>
      <b/>
      <sz val="11.0"/>
      <color rgb="FF1B2C6B"/>
      <name val="Arial"/>
    </font>
    <font>
      <b/>
      <sz val="10.0"/>
      <color rgb="FF1B2C6B"/>
      <name val="Arial"/>
    </font>
    <font>
      <i/>
      <sz val="10.0"/>
      <color rgb="FFB45309"/>
      <name val="Arial"/>
    </font>
    <font>
      <b/>
      <sz val="11.0"/>
      <color rgb="FF0D9488"/>
      <name val="Arial"/>
    </font>
    <font>
      <i/>
      <sz val="10.0"/>
      <color rgb="FF7C3AED"/>
      <name val="Arial"/>
    </font>
    <font>
      <b/>
      <sz val="9.0"/>
      <color rgb="FF7C3AED"/>
      <name val="Arial"/>
    </font>
    <font>
      <b/>
      <sz val="11.0"/>
      <color rgb="FF7C3AED"/>
      <name val="Arial"/>
    </font>
    <font>
      <i/>
      <sz val="10.0"/>
      <color rgb="FFF96167"/>
      <name val="Arial"/>
    </font>
    <font>
      <b/>
      <sz val="9.0"/>
      <color rgb="FFF96167"/>
      <name val="Arial"/>
    </font>
    <font>
      <b/>
      <sz val="11.0"/>
      <color rgb="FFF96167"/>
      <name val="Arial"/>
    </font>
    <font>
      <i/>
      <sz val="10.0"/>
      <color rgb="FF1565C0"/>
      <name val="Arial"/>
    </font>
    <font>
      <b/>
      <sz val="9.0"/>
      <color rgb="FF1565C0"/>
      <name val="Arial"/>
    </font>
    <font>
      <i/>
      <sz val="10.0"/>
      <color rgb="FFE65100"/>
      <name val="Arial"/>
    </font>
    <font>
      <b/>
      <sz val="9.0"/>
      <color rgb="FFE65100"/>
      <name val="Arial"/>
    </font>
    <font>
      <b/>
      <sz val="12.0"/>
      <color rgb="FFF5C518"/>
      <name val="Arial"/>
    </font>
    <font>
      <i/>
      <sz val="10.0"/>
      <color rgb="FF1A6B3C"/>
      <name val="Arial"/>
    </font>
    <font>
      <b/>
      <sz val="9.0"/>
      <color rgb="FF1A6B3C"/>
      <name val="Arial"/>
    </font>
    <font>
      <b/>
      <sz val="11.0"/>
      <color rgb="FF1565C0"/>
      <name val="Arial"/>
    </font>
    <font>
      <b/>
      <sz val="11.0"/>
      <color rgb="FF1A6B3C"/>
      <name val="Arial"/>
    </font>
    <font>
      <b/>
      <sz val="11.0"/>
      <color rgb="FFE65100"/>
      <name val="Arial"/>
    </font>
    <font>
      <b/>
      <sz val="9.0"/>
      <color rgb="FFB45309"/>
      <name val="Arial"/>
    </font>
    <font>
      <b/>
      <sz val="11.0"/>
      <color rgb="FFB45309"/>
      <name val="Arial"/>
    </font>
  </fonts>
  <fills count="20">
    <fill>
      <patternFill patternType="none"/>
    </fill>
    <fill>
      <patternFill patternType="lightGray"/>
    </fill>
    <fill>
      <patternFill patternType="solid">
        <fgColor rgb="FF1B2C6B"/>
        <bgColor rgb="FF1B2C6B"/>
      </patternFill>
    </fill>
    <fill>
      <patternFill patternType="solid">
        <fgColor rgb="FF0D9488"/>
        <bgColor rgb="FF0D9488"/>
      </patternFill>
    </fill>
    <fill>
      <patternFill patternType="solid">
        <fgColor rgb="FFE0F2F1"/>
        <bgColor rgb="FFE0F2F1"/>
      </patternFill>
    </fill>
    <fill>
      <patternFill patternType="solid">
        <fgColor rgb="FFF96167"/>
        <bgColor rgb="FFF96167"/>
      </patternFill>
    </fill>
    <fill>
      <patternFill patternType="solid">
        <fgColor rgb="FFFFFDE7"/>
        <bgColor rgb="FFFFFDE7"/>
      </patternFill>
    </fill>
    <fill>
      <patternFill patternType="solid">
        <fgColor rgb="FFD0D5E8"/>
        <bgColor rgb="FFD0D5E8"/>
      </patternFill>
    </fill>
    <fill>
      <patternFill patternType="solid">
        <fgColor rgb="FFFFFFFF"/>
        <bgColor rgb="FFFFFFFF"/>
      </patternFill>
    </fill>
    <fill>
      <patternFill patternType="solid">
        <fgColor rgb="FFE8F5E9"/>
        <bgColor rgb="FFE8F5E9"/>
      </patternFill>
    </fill>
    <fill>
      <patternFill patternType="solid">
        <fgColor rgb="FFFFEBEE"/>
        <bgColor rgb="FFFFEBEE"/>
      </patternFill>
    </fill>
    <fill>
      <patternFill patternType="solid">
        <fgColor rgb="FFF2F4F8"/>
        <bgColor rgb="FFF2F4F8"/>
      </patternFill>
    </fill>
    <fill>
      <patternFill patternType="solid">
        <fgColor rgb="FF7C3AED"/>
        <bgColor rgb="FF7C3AED"/>
      </patternFill>
    </fill>
    <fill>
      <patternFill patternType="solid">
        <fgColor rgb="FFF3E8FF"/>
        <bgColor rgb="FFF3E8FF"/>
      </patternFill>
    </fill>
    <fill>
      <patternFill patternType="solid">
        <fgColor rgb="FF1565C0"/>
        <bgColor rgb="FF1565C0"/>
      </patternFill>
    </fill>
    <fill>
      <patternFill patternType="solid">
        <fgColor rgb="FFE3F2FD"/>
        <bgColor rgb="FFE3F2FD"/>
      </patternFill>
    </fill>
    <fill>
      <patternFill patternType="solid">
        <fgColor rgb="FFE65100"/>
        <bgColor rgb="FFE65100"/>
      </patternFill>
    </fill>
    <fill>
      <patternFill patternType="solid">
        <fgColor rgb="FFFFF3E0"/>
        <bgColor rgb="FFFFF3E0"/>
      </patternFill>
    </fill>
    <fill>
      <patternFill patternType="solid">
        <fgColor rgb="FFF5C518"/>
        <bgColor rgb="FFF5C518"/>
      </patternFill>
    </fill>
    <fill>
      <patternFill patternType="solid">
        <fgColor rgb="FF1A6B3C"/>
        <bgColor rgb="FF1A6B3C"/>
      </patternFill>
    </fill>
  </fills>
  <borders count="8">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top style="thin">
        <color rgb="FFCCCCCC"/>
      </top>
      <bottom style="thin">
        <color rgb="FFCCCCCC"/>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1" fillId="4" fontId="4" numFmtId="0" xfId="0" applyAlignment="1" applyBorder="1" applyFill="1" applyFont="1">
      <alignment horizontal="left" shrinkToFit="0" vertical="center" wrapText="1"/>
    </xf>
    <xf borderId="1" fillId="5" fontId="2" numFmtId="0" xfId="0" applyAlignment="1" applyBorder="1" applyFill="1" applyFont="1">
      <alignment horizontal="left" shrinkToFit="0" vertical="center" wrapText="1"/>
    </xf>
    <xf borderId="1" fillId="6" fontId="5" numFmtId="0" xfId="0" applyAlignment="1" applyBorder="1" applyFill="1" applyFont="1">
      <alignment horizontal="left" shrinkToFit="0" vertical="center" wrapText="1"/>
    </xf>
    <xf borderId="4" fillId="7" fontId="6" numFmtId="0" xfId="0" applyAlignment="1" applyBorder="1" applyFill="1" applyFont="1">
      <alignment horizontal="center" shrinkToFit="0" vertical="center" wrapText="1"/>
    </xf>
    <xf borderId="4" fillId="2" fontId="7" numFmtId="0" xfId="0" applyAlignment="1" applyBorder="1" applyFill="1" applyFont="1">
      <alignment horizontal="center" shrinkToFit="0" vertical="center" wrapText="1"/>
    </xf>
    <xf borderId="1" fillId="5" fontId="8" numFmtId="0" xfId="0" applyAlignment="1" applyBorder="1" applyFill="1" applyFont="1">
      <alignment horizontal="center" shrinkToFit="0" vertical="center" wrapText="1"/>
    </xf>
    <xf borderId="4" fillId="4" fontId="9" numFmtId="0" xfId="0" applyAlignment="1" applyBorder="1" applyFill="1" applyFont="1">
      <alignment horizontal="left" shrinkToFit="0" vertical="center" wrapText="1"/>
    </xf>
    <xf borderId="4" fillId="8" fontId="10" numFmtId="0" xfId="0" applyAlignment="1" applyBorder="1" applyFill="1" applyFont="1">
      <alignment horizontal="center" readingOrder="0" shrinkToFit="0" vertical="center" wrapText="1"/>
    </xf>
    <xf borderId="1" fillId="9" fontId="11" numFmtId="0" xfId="0" applyAlignment="1" applyBorder="1" applyFill="1" applyFont="1">
      <alignment horizontal="left" shrinkToFit="0" vertical="center" wrapText="1"/>
    </xf>
    <xf borderId="4" fillId="3" fontId="12" numFmtId="0" xfId="0" applyAlignment="1" applyBorder="1" applyFill="1" applyFont="1">
      <alignment horizontal="center" shrinkToFit="0" vertical="center" wrapText="1"/>
    </xf>
    <xf borderId="4" fillId="4" fontId="13" numFmtId="0" xfId="0" applyAlignment="1" applyBorder="1" applyFill="1" applyFont="1">
      <alignment horizontal="center" shrinkToFit="0" vertical="center" wrapText="1"/>
    </xf>
    <xf borderId="4" fillId="4" fontId="9" numFmtId="0" xfId="0" applyAlignment="1" applyBorder="1" applyFill="1" applyFont="1">
      <alignment horizontal="center" shrinkToFit="0" vertical="center" wrapText="1"/>
    </xf>
    <xf borderId="4" fillId="8" fontId="14" numFmtId="0" xfId="0" applyAlignment="1" applyBorder="1" applyFill="1" applyFont="1">
      <alignment horizontal="left" shrinkToFit="0" vertical="center" wrapText="1"/>
    </xf>
    <xf borderId="4" fillId="4" fontId="6" numFmtId="0" xfId="0" applyAlignment="1" applyBorder="1" applyFill="1" applyFont="1">
      <alignment horizontal="left" shrinkToFit="0" vertical="center" wrapText="1"/>
    </xf>
    <xf borderId="4" fillId="9" fontId="11" numFmtId="0" xfId="0" applyAlignment="1" applyBorder="1" applyFill="1" applyFont="1">
      <alignment horizontal="center" shrinkToFit="0" vertical="center" wrapText="1"/>
    </xf>
    <xf borderId="4" fillId="4" fontId="15" numFmtId="0" xfId="0" applyAlignment="1" applyBorder="1" applyFill="1" applyFont="1">
      <alignment horizontal="left" shrinkToFit="0" vertical="center" wrapText="1"/>
    </xf>
    <xf borderId="4" fillId="8" fontId="14" numFmtId="0" xfId="0" applyAlignment="1" applyBorder="1" applyFill="1" applyFont="1">
      <alignment horizontal="left" readingOrder="0" shrinkToFit="0" vertical="center" wrapText="1"/>
    </xf>
    <xf borderId="4" fillId="6" fontId="16" numFmtId="0" xfId="0" applyAlignment="1" applyBorder="1" applyFill="1" applyFont="1">
      <alignment horizontal="center" shrinkToFit="0" vertical="center" wrapText="1"/>
    </xf>
    <xf borderId="4" fillId="8" fontId="6" numFmtId="0" xfId="0" applyAlignment="1" applyBorder="1" applyFill="1" applyFont="1">
      <alignment horizontal="center" readingOrder="0" shrinkToFit="0" vertical="center" wrapText="1"/>
    </xf>
    <xf borderId="4" fillId="10" fontId="17" numFmtId="0" xfId="0" applyAlignment="1" applyBorder="1" applyFill="1" applyFont="1">
      <alignment horizontal="center" shrinkToFit="0" vertical="center" wrapText="1"/>
    </xf>
    <xf borderId="4" fillId="11" fontId="18" numFmtId="0" xfId="0" applyAlignment="1" applyBorder="1" applyFill="1" applyFont="1">
      <alignment horizontal="center" readingOrder="0" shrinkToFit="0" vertical="center" wrapText="1"/>
    </xf>
    <xf borderId="4" fillId="6" fontId="19" numFmtId="0" xfId="0" applyAlignment="1" applyBorder="1" applyFill="1" applyFont="1">
      <alignment horizontal="center" shrinkToFit="0" vertical="center" wrapText="1"/>
    </xf>
    <xf borderId="4" fillId="8" fontId="6" numFmtId="0" xfId="0" applyAlignment="1" applyBorder="1" applyFill="1" applyFont="1">
      <alignment horizontal="left" shrinkToFit="0" vertical="center" wrapText="1"/>
    </xf>
    <xf borderId="4" fillId="11" fontId="14" numFmtId="0" xfId="0" applyAlignment="1" applyBorder="1" applyFill="1" applyFont="1">
      <alignment horizontal="left" shrinkToFit="0" vertical="center" wrapText="1"/>
    </xf>
    <xf borderId="4" fillId="8" fontId="15" numFmtId="0" xfId="0" applyAlignment="1" applyBorder="1" applyFill="1" applyFont="1">
      <alignment horizontal="left" shrinkToFit="0" vertical="center" wrapText="1"/>
    </xf>
    <xf borderId="4" fillId="11" fontId="14" numFmtId="0" xfId="0" applyAlignment="1" applyBorder="1" applyFill="1" applyFont="1">
      <alignment horizontal="left" readingOrder="0" shrinkToFit="0" vertical="center" wrapText="1"/>
    </xf>
    <xf borderId="4" fillId="11" fontId="6" numFmtId="0" xfId="0" applyAlignment="1" applyBorder="1" applyFill="1" applyFont="1">
      <alignment horizontal="center" readingOrder="0" shrinkToFit="0" vertical="center" wrapText="1"/>
    </xf>
    <xf borderId="4" fillId="12" fontId="12" numFmtId="0" xfId="0" applyAlignment="1" applyBorder="1" applyFill="1" applyFont="1">
      <alignment horizontal="center" shrinkToFit="0" vertical="center" wrapText="1"/>
    </xf>
    <xf borderId="4" fillId="13" fontId="20" numFmtId="0" xfId="0" applyAlignment="1" applyBorder="1" applyFill="1" applyFont="1">
      <alignment horizontal="left" shrinkToFit="0" vertical="center" wrapText="1"/>
    </xf>
    <xf borderId="4" fillId="13" fontId="20" numFmtId="0" xfId="0" applyAlignment="1" applyBorder="1" applyFill="1" applyFont="1">
      <alignment horizontal="center" shrinkToFit="0" vertical="center" wrapText="1"/>
    </xf>
    <xf borderId="4" fillId="8" fontId="14" numFmtId="164" xfId="0" applyAlignment="1" applyBorder="1" applyFill="1" applyFont="1" applyNumberFormat="1">
      <alignment horizontal="left" readingOrder="0" shrinkToFit="0" vertical="center" wrapText="1"/>
    </xf>
    <xf borderId="4" fillId="13" fontId="6" numFmtId="0" xfId="0" applyAlignment="1" applyBorder="1" applyFill="1" applyFont="1">
      <alignment horizontal="left" shrinkToFit="0" vertical="center" wrapText="1"/>
    </xf>
    <xf borderId="4" fillId="13" fontId="15" numFmtId="0" xfId="0" applyAlignment="1" applyBorder="1" applyFill="1" applyFont="1">
      <alignment horizontal="left" shrinkToFit="0" vertical="center" wrapText="1"/>
    </xf>
    <xf borderId="4" fillId="5" fontId="12" numFmtId="0" xfId="0" applyAlignment="1" applyBorder="1" applyFill="1" applyFont="1">
      <alignment horizontal="center" shrinkToFit="0" vertical="center" wrapText="1"/>
    </xf>
    <xf borderId="4" fillId="10" fontId="6" numFmtId="0" xfId="0" applyAlignment="1" applyBorder="1" applyFill="1" applyFont="1">
      <alignment horizontal="left" shrinkToFit="0" vertical="center" wrapText="1"/>
    </xf>
    <xf borderId="4" fillId="11" fontId="14" numFmtId="164" xfId="0" applyAlignment="1" applyBorder="1" applyFill="1" applyFont="1" applyNumberFormat="1">
      <alignment horizontal="left" readingOrder="0" shrinkToFit="0" vertical="center" wrapText="1"/>
    </xf>
    <xf borderId="4" fillId="10" fontId="15" numFmtId="0" xfId="0" applyAlignment="1" applyBorder="1" applyFill="1" applyFont="1">
      <alignment horizontal="left" shrinkToFit="0" vertical="center" wrapText="1"/>
    </xf>
    <xf borderId="4" fillId="14" fontId="12" numFmtId="0" xfId="0" applyAlignment="1" applyBorder="1" applyFill="1" applyFont="1">
      <alignment horizontal="center" shrinkToFit="0" vertical="center" wrapText="1"/>
    </xf>
    <xf borderId="4" fillId="15" fontId="21" numFmtId="0" xfId="0" applyAlignment="1" applyBorder="1" applyFill="1" applyFont="1">
      <alignment horizontal="center" shrinkToFit="0" vertical="center" wrapText="1"/>
    </xf>
    <xf borderId="4" fillId="10" fontId="17" numFmtId="0" xfId="0" applyAlignment="1" applyBorder="1" applyFill="1" applyFont="1">
      <alignment horizontal="left" shrinkToFit="0" vertical="center" wrapText="1"/>
    </xf>
    <xf borderId="4" fillId="15" fontId="6" numFmtId="0" xfId="0" applyAlignment="1" applyBorder="1" applyFill="1" applyFont="1">
      <alignment horizontal="left" shrinkToFit="0" vertical="center" wrapText="1"/>
    </xf>
    <xf borderId="1" fillId="6" fontId="16" numFmtId="0" xfId="0" applyAlignment="1" applyBorder="1" applyFill="1" applyFont="1">
      <alignment horizontal="left" shrinkToFit="0" vertical="center" wrapText="1"/>
    </xf>
    <xf borderId="4" fillId="15" fontId="15" numFmtId="0" xfId="0" applyAlignment="1" applyBorder="1" applyFill="1" applyFont="1">
      <alignment horizontal="left" shrinkToFit="0" vertical="center" wrapText="1"/>
    </xf>
    <xf borderId="4" fillId="16" fontId="12" numFmtId="0" xfId="0" applyAlignment="1" applyBorder="1" applyFill="1" applyFont="1">
      <alignment horizontal="center" shrinkToFit="0" vertical="center" wrapText="1"/>
    </xf>
    <xf borderId="4" fillId="8" fontId="14" numFmtId="3" xfId="0" applyAlignment="1" applyBorder="1" applyFill="1" applyFont="1" applyNumberFormat="1">
      <alignment horizontal="left" readingOrder="0" shrinkToFit="0" vertical="center" wrapText="1"/>
    </xf>
    <xf borderId="4" fillId="17" fontId="22" numFmtId="0" xfId="0" applyAlignment="1" applyBorder="1" applyFill="1" applyFont="1">
      <alignment horizontal="center" shrinkToFit="0" vertical="center" wrapText="1"/>
    </xf>
    <xf borderId="4" fillId="15" fontId="21" numFmtId="0" xfId="0" applyAlignment="1" applyBorder="1" applyFill="1" applyFont="1">
      <alignment horizontal="left" shrinkToFit="0" vertical="center" wrapText="1"/>
    </xf>
    <xf borderId="4" fillId="17" fontId="6" numFmtId="0" xfId="0" applyAlignment="1" applyBorder="1" applyFill="1" applyFont="1">
      <alignment horizontal="left" shrinkToFit="0" vertical="center" wrapText="1"/>
    </xf>
    <xf borderId="4" fillId="11" fontId="14" numFmtId="9" xfId="0" applyAlignment="1" applyBorder="1" applyFill="1" applyFont="1" applyNumberFormat="1">
      <alignment horizontal="left" readingOrder="0" shrinkToFit="0" vertical="center" wrapText="1"/>
    </xf>
    <xf borderId="4" fillId="17" fontId="15" numFmtId="0" xfId="0" applyAlignment="1" applyBorder="1" applyFill="1" applyFont="1">
      <alignment horizontal="left" shrinkToFit="0" vertical="center" wrapText="1"/>
    </xf>
    <xf borderId="5" fillId="2" fontId="23" numFmtId="0" xfId="0" applyAlignment="1" applyBorder="1" applyFill="1" applyFont="1">
      <alignment horizontal="center" shrinkToFit="0" vertical="center" wrapText="1"/>
    </xf>
    <xf borderId="4" fillId="17" fontId="22" numFmtId="0" xfId="0" applyAlignment="1" applyBorder="1" applyFill="1" applyFont="1">
      <alignment horizontal="left" shrinkToFit="0" vertical="center" wrapText="1"/>
    </xf>
    <xf borderId="6" fillId="0" fontId="3" numFmtId="0" xfId="0" applyBorder="1" applyFont="1"/>
    <xf borderId="7" fillId="0" fontId="3" numFmtId="0" xfId="0" applyBorder="1" applyFont="1"/>
    <xf borderId="4" fillId="2" fontId="23" numFmtId="0" xfId="0" applyAlignment="1" applyBorder="1" applyFill="1" applyFont="1">
      <alignment horizontal="center" shrinkToFit="0" vertical="center" wrapText="1"/>
    </xf>
    <xf borderId="4" fillId="18" fontId="24" numFmtId="0" xfId="0" applyAlignment="1" applyBorder="1" applyFill="1" applyFont="1">
      <alignment horizontal="center" shrinkToFit="0" vertical="center" wrapText="1"/>
    </xf>
    <xf borderId="4" fillId="18" fontId="25" numFmtId="0" xfId="0" applyAlignment="1" applyBorder="1" applyFill="1" applyFont="1">
      <alignment horizontal="center" shrinkToFit="0" vertical="center" wrapText="1"/>
    </xf>
    <xf borderId="4" fillId="18" fontId="26" numFmtId="0" xfId="0" applyAlignment="1" applyBorder="1" applyFill="1" applyFont="1">
      <alignment horizontal="center" shrinkToFit="0" vertical="center" wrapText="1"/>
    </xf>
    <xf borderId="1" fillId="10" fontId="17" numFmtId="0" xfId="0" applyAlignment="1" applyBorder="1" applyFill="1" applyFont="1">
      <alignment horizontal="left" shrinkToFit="0" vertical="center" wrapText="1"/>
    </xf>
    <xf borderId="4" fillId="9" fontId="11" numFmtId="0" xfId="0" applyAlignment="1" applyBorder="1" applyFill="1" applyFont="1">
      <alignment horizontal="left" shrinkToFit="0" vertical="center" wrapText="1"/>
    </xf>
    <xf borderId="4" fillId="8" fontId="10" numFmtId="0" xfId="0" applyAlignment="1" applyBorder="1" applyFill="1" applyFont="1">
      <alignment horizontal="center" shrinkToFit="0" vertical="center" wrapText="1"/>
    </xf>
    <xf borderId="4" fillId="11" fontId="18" numFmtId="0" xfId="0" applyAlignment="1" applyBorder="1" applyFill="1" applyFont="1">
      <alignment horizontal="center" shrinkToFit="0" vertical="center" wrapText="1"/>
    </xf>
    <xf borderId="4" fillId="6" fontId="16" numFmtId="0" xfId="0" applyAlignment="1" applyBorder="1" applyFill="1" applyFont="1">
      <alignment horizontal="left" shrinkToFit="0" vertical="center" wrapText="1"/>
    </xf>
    <xf borderId="1" fillId="6" fontId="27" numFmtId="0" xfId="0" applyAlignment="1" applyBorder="1" applyFill="1" applyFont="1">
      <alignment horizontal="left" shrinkToFit="0" vertical="center" wrapText="1"/>
    </xf>
    <xf borderId="4" fillId="11" fontId="14" numFmtId="3" xfId="0" applyAlignment="1" applyBorder="1" applyFill="1" applyFont="1" applyNumberFormat="1">
      <alignment horizontal="left" readingOrder="0" shrinkToFit="0" vertical="center" wrapText="1"/>
    </xf>
    <xf borderId="4" fillId="8" fontId="14" numFmtId="9" xfId="0" applyAlignment="1" applyBorder="1" applyFill="1" applyFont="1" applyNumberFormat="1">
      <alignment horizontal="left" readingOrder="0" shrinkToFit="0" vertical="center" wrapText="1"/>
    </xf>
    <xf borderId="4" fillId="4" fontId="28" numFmtId="0" xfId="0" applyAlignment="1" applyBorder="1" applyFill="1" applyFont="1">
      <alignment horizontal="center" shrinkToFit="0" vertical="center" wrapText="1"/>
    </xf>
    <xf borderId="1" fillId="12" fontId="2" numFmtId="0" xfId="0" applyAlignment="1" applyBorder="1" applyFill="1" applyFont="1">
      <alignment horizontal="center" shrinkToFit="0" vertical="center" wrapText="1"/>
    </xf>
    <xf borderId="1" fillId="13" fontId="29" numFmtId="0" xfId="0" applyAlignment="1" applyBorder="1" applyFill="1" applyFont="1">
      <alignment horizontal="left" shrinkToFit="0" vertical="center" wrapText="1"/>
    </xf>
    <xf borderId="4" fillId="13" fontId="30" numFmtId="0" xfId="0" applyAlignment="1" applyBorder="1" applyFill="1" applyFont="1">
      <alignment horizontal="center" shrinkToFit="0" vertical="center" wrapText="1"/>
    </xf>
    <xf borderId="4" fillId="13" fontId="31" numFmtId="0" xfId="0" applyAlignment="1" applyBorder="1" applyFill="1" applyFont="1">
      <alignment horizontal="center" shrinkToFit="0" vertical="center" wrapText="1"/>
    </xf>
    <xf borderId="1" fillId="5" fontId="2" numFmtId="0" xfId="0" applyAlignment="1" applyBorder="1" applyFill="1" applyFont="1">
      <alignment horizontal="center" shrinkToFit="0" vertical="center" wrapText="1"/>
    </xf>
    <xf borderId="1" fillId="10" fontId="32" numFmtId="0" xfId="0" applyAlignment="1" applyBorder="1" applyFill="1" applyFont="1">
      <alignment horizontal="left" shrinkToFit="0" vertical="center" wrapText="1"/>
    </xf>
    <xf borderId="4" fillId="10" fontId="33" numFmtId="0" xfId="0" applyAlignment="1" applyBorder="1" applyFill="1" applyFont="1">
      <alignment horizontal="center" shrinkToFit="0" vertical="center" wrapText="1"/>
    </xf>
    <xf borderId="4" fillId="10" fontId="34" numFmtId="0" xfId="0" applyAlignment="1" applyBorder="1" applyFill="1" applyFont="1">
      <alignment horizontal="center" shrinkToFit="0" vertical="center" wrapText="1"/>
    </xf>
    <xf borderId="1" fillId="14" fontId="2" numFmtId="0" xfId="0" applyAlignment="1" applyBorder="1" applyFill="1" applyFont="1">
      <alignment horizontal="center" shrinkToFit="0" vertical="center" wrapText="1"/>
    </xf>
    <xf borderId="1" fillId="15" fontId="35" numFmtId="0" xfId="0" applyAlignment="1" applyBorder="1" applyFill="1" applyFont="1">
      <alignment horizontal="left" shrinkToFit="0" vertical="center" wrapText="1"/>
    </xf>
    <xf borderId="4" fillId="15" fontId="36" numFmtId="0" xfId="0" applyAlignment="1" applyBorder="1" applyFill="1" applyFont="1">
      <alignment horizontal="center" shrinkToFit="0" vertical="center" wrapText="1"/>
    </xf>
    <xf borderId="1" fillId="16" fontId="2" numFmtId="0" xfId="0" applyAlignment="1" applyBorder="1" applyFill="1" applyFont="1">
      <alignment horizontal="center" shrinkToFit="0" vertical="center" wrapText="1"/>
    </xf>
    <xf borderId="1" fillId="17" fontId="37" numFmtId="0" xfId="0" applyAlignment="1" applyBorder="1" applyFill="1" applyFont="1">
      <alignment horizontal="left" shrinkToFit="0" vertical="center" wrapText="1"/>
    </xf>
    <xf borderId="4" fillId="17" fontId="38" numFmtId="0" xfId="0" applyAlignment="1" applyBorder="1" applyFill="1" applyFont="1">
      <alignment horizontal="center" shrinkToFit="0" vertical="center" wrapText="1"/>
    </xf>
    <xf borderId="1" fillId="2" fontId="39" numFmtId="0" xfId="0" applyAlignment="1" applyBorder="1" applyFill="1" applyFont="1">
      <alignment horizontal="center" shrinkToFit="0" vertical="center" wrapText="1"/>
    </xf>
    <xf borderId="1" fillId="9" fontId="40" numFmtId="0" xfId="0" applyAlignment="1" applyBorder="1" applyFill="1" applyFont="1">
      <alignment horizontal="left" shrinkToFit="0" vertical="center" wrapText="1"/>
    </xf>
    <xf borderId="4" fillId="19" fontId="7" numFmtId="0" xfId="0" applyAlignment="1" applyBorder="1" applyFill="1" applyFont="1">
      <alignment horizontal="center" shrinkToFit="0" vertical="center" wrapText="1"/>
    </xf>
    <xf borderId="4" fillId="9" fontId="41" numFmtId="0" xfId="0" applyAlignment="1" applyBorder="1" applyFill="1" applyFont="1">
      <alignment horizontal="center" shrinkToFit="0" vertical="center" wrapText="1"/>
    </xf>
    <xf borderId="4" fillId="8" fontId="6" numFmtId="0" xfId="0" applyAlignment="1" applyBorder="1" applyFill="1" applyFont="1">
      <alignment horizontal="center" shrinkToFit="0" vertical="center" wrapText="1"/>
    </xf>
    <xf borderId="4" fillId="11" fontId="6" numFmtId="0" xfId="0" applyAlignment="1" applyBorder="1" applyFill="1" applyFont="1">
      <alignment horizontal="center" shrinkToFit="0" vertical="center" wrapText="1"/>
    </xf>
    <xf borderId="4" fillId="15" fontId="42" numFmtId="0" xfId="0" applyAlignment="1" applyBorder="1" applyFill="1" applyFont="1">
      <alignment horizontal="center" shrinkToFit="0" vertical="center" wrapText="1"/>
    </xf>
    <xf borderId="4" fillId="9" fontId="43" numFmtId="0" xfId="0" applyAlignment="1" applyBorder="1" applyFill="1" applyFont="1">
      <alignment horizontal="center" shrinkToFit="0" vertical="center" wrapText="1"/>
    </xf>
    <xf borderId="4" fillId="17" fontId="44" numFmtId="0" xfId="0" applyAlignment="1" applyBorder="1" applyFill="1" applyFont="1">
      <alignment horizontal="center" shrinkToFit="0" vertical="center" wrapText="1"/>
    </xf>
    <xf borderId="4" fillId="6" fontId="45" numFmtId="0" xfId="0" applyAlignment="1" applyBorder="1" applyFill="1" applyFont="1">
      <alignment horizontal="center" shrinkToFit="0" vertical="center" wrapText="1"/>
    </xf>
    <xf borderId="4" fillId="5" fontId="7" numFmtId="0" xfId="0" applyAlignment="1" applyBorder="1" applyFill="1" applyFont="1">
      <alignment horizontal="center" shrinkToFit="0" vertical="center" wrapText="1"/>
    </xf>
    <xf borderId="4" fillId="6" fontId="46"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2.0"/>
    <col customWidth="1" min="3" max="3" width="28.0"/>
    <col customWidth="1" min="4" max="4" width="52.0"/>
    <col customWidth="1" min="5" max="5" width="12.0"/>
    <col customWidth="1" min="6" max="6" width="14.0"/>
    <col customWidth="1" min="7" max="26" width="8.71"/>
  </cols>
  <sheetData>
    <row r="1" ht="45.0" customHeight="1">
      <c r="A1" s="1" t="s">
        <v>3</v>
      </c>
      <c r="B1" s="3"/>
      <c r="C1" s="3"/>
      <c r="D1" s="3"/>
      <c r="E1" s="3"/>
      <c r="F1" s="4"/>
    </row>
    <row r="2" ht="19.5" customHeight="1">
      <c r="A2" s="10" t="s">
        <v>14</v>
      </c>
      <c r="B2" s="3"/>
      <c r="C2" s="3"/>
      <c r="D2" s="3"/>
      <c r="E2" s="3"/>
      <c r="F2" s="4"/>
    </row>
    <row r="3" ht="24.75" customHeight="1">
      <c r="A3" s="9" t="s">
        <v>30</v>
      </c>
      <c r="B3" s="9" t="s">
        <v>13</v>
      </c>
      <c r="C3" s="9" t="s">
        <v>31</v>
      </c>
      <c r="D3" s="9" t="s">
        <v>32</v>
      </c>
      <c r="E3" s="9" t="s">
        <v>33</v>
      </c>
      <c r="F3" s="9" t="s">
        <v>19</v>
      </c>
    </row>
    <row r="4" ht="45.0" customHeight="1">
      <c r="A4" s="14" t="s">
        <v>34</v>
      </c>
      <c r="B4" s="16" t="s">
        <v>36</v>
      </c>
      <c r="C4" s="18" t="s">
        <v>37</v>
      </c>
      <c r="D4" s="20" t="s">
        <v>38</v>
      </c>
      <c r="E4" s="22">
        <v>45.0</v>
      </c>
      <c r="F4" s="25" t="s">
        <v>41</v>
      </c>
    </row>
    <row r="5" ht="45.0" customHeight="1">
      <c r="A5" s="14" t="s">
        <v>44</v>
      </c>
      <c r="B5" s="16" t="s">
        <v>36</v>
      </c>
      <c r="C5" s="27" t="s">
        <v>46</v>
      </c>
      <c r="D5" s="29" t="s">
        <v>49</v>
      </c>
      <c r="E5" s="22">
        <v>45.0</v>
      </c>
      <c r="F5" s="25" t="s">
        <v>41</v>
      </c>
    </row>
    <row r="6" ht="45.0" customHeight="1">
      <c r="A6" s="14" t="s">
        <v>52</v>
      </c>
      <c r="B6" s="16" t="s">
        <v>36</v>
      </c>
      <c r="C6" s="18" t="s">
        <v>53</v>
      </c>
      <c r="D6" s="20" t="s">
        <v>54</v>
      </c>
      <c r="E6" s="22">
        <v>45.0</v>
      </c>
      <c r="F6" s="25" t="s">
        <v>41</v>
      </c>
    </row>
    <row r="7" ht="45.0" customHeight="1">
      <c r="A7" s="14" t="s">
        <v>56</v>
      </c>
      <c r="B7" s="16" t="s">
        <v>36</v>
      </c>
      <c r="C7" s="27" t="s">
        <v>57</v>
      </c>
      <c r="D7" s="29" t="s">
        <v>59</v>
      </c>
      <c r="E7" s="22">
        <v>45.0</v>
      </c>
      <c r="F7" s="25" t="s">
        <v>41</v>
      </c>
    </row>
    <row r="8" ht="45.0" customHeight="1">
      <c r="A8" s="32" t="s">
        <v>63</v>
      </c>
      <c r="B8" s="34" t="s">
        <v>74</v>
      </c>
      <c r="C8" s="36" t="s">
        <v>79</v>
      </c>
      <c r="D8" s="37" t="s">
        <v>89</v>
      </c>
      <c r="E8" s="22">
        <v>45.0</v>
      </c>
      <c r="F8" s="25" t="s">
        <v>41</v>
      </c>
    </row>
    <row r="9" ht="45.0" customHeight="1">
      <c r="A9" s="32" t="s">
        <v>94</v>
      </c>
      <c r="B9" s="34" t="s">
        <v>74</v>
      </c>
      <c r="C9" s="27" t="s">
        <v>97</v>
      </c>
      <c r="D9" s="29" t="s">
        <v>99</v>
      </c>
      <c r="E9" s="22">
        <v>45.0</v>
      </c>
      <c r="F9" s="25" t="s">
        <v>41</v>
      </c>
    </row>
    <row r="10" ht="45.0" customHeight="1">
      <c r="A10" s="32" t="s">
        <v>101</v>
      </c>
      <c r="B10" s="34" t="s">
        <v>74</v>
      </c>
      <c r="C10" s="36" t="s">
        <v>102</v>
      </c>
      <c r="D10" s="37" t="s">
        <v>104</v>
      </c>
      <c r="E10" s="22">
        <v>45.0</v>
      </c>
      <c r="F10" s="25" t="s">
        <v>41</v>
      </c>
    </row>
    <row r="11" ht="45.0" customHeight="1">
      <c r="A11" s="32" t="s">
        <v>106</v>
      </c>
      <c r="B11" s="34" t="s">
        <v>74</v>
      </c>
      <c r="C11" s="27" t="s">
        <v>107</v>
      </c>
      <c r="D11" s="29" t="s">
        <v>109</v>
      </c>
      <c r="E11" s="22">
        <v>45.0</v>
      </c>
      <c r="F11" s="25" t="s">
        <v>41</v>
      </c>
    </row>
    <row r="12" ht="45.0" customHeight="1">
      <c r="A12" s="38" t="s">
        <v>112</v>
      </c>
      <c r="B12" s="24" t="s">
        <v>116</v>
      </c>
      <c r="C12" s="39" t="s">
        <v>120</v>
      </c>
      <c r="D12" s="41" t="s">
        <v>123</v>
      </c>
      <c r="E12" s="22">
        <v>45.0</v>
      </c>
      <c r="F12" s="25" t="s">
        <v>41</v>
      </c>
    </row>
    <row r="13" ht="45.0" customHeight="1">
      <c r="A13" s="38" t="s">
        <v>129</v>
      </c>
      <c r="B13" s="24" t="s">
        <v>116</v>
      </c>
      <c r="C13" s="27" t="s">
        <v>130</v>
      </c>
      <c r="D13" s="29" t="s">
        <v>132</v>
      </c>
      <c r="E13" s="22">
        <v>45.0</v>
      </c>
      <c r="F13" s="25" t="s">
        <v>41</v>
      </c>
    </row>
    <row r="14" ht="45.0" customHeight="1">
      <c r="A14" s="38" t="s">
        <v>134</v>
      </c>
      <c r="B14" s="24" t="s">
        <v>116</v>
      </c>
      <c r="C14" s="39" t="s">
        <v>136</v>
      </c>
      <c r="D14" s="41" t="s">
        <v>138</v>
      </c>
      <c r="E14" s="22">
        <v>45.0</v>
      </c>
      <c r="F14" s="25" t="s">
        <v>41</v>
      </c>
    </row>
    <row r="15" ht="45.0" customHeight="1">
      <c r="A15" s="38" t="s">
        <v>142</v>
      </c>
      <c r="B15" s="24" t="s">
        <v>116</v>
      </c>
      <c r="C15" s="27" t="s">
        <v>145</v>
      </c>
      <c r="D15" s="29" t="s">
        <v>147</v>
      </c>
      <c r="E15" s="22">
        <v>45.0</v>
      </c>
      <c r="F15" s="25" t="s">
        <v>41</v>
      </c>
    </row>
    <row r="16" ht="45.0" customHeight="1">
      <c r="A16" s="42" t="s">
        <v>152</v>
      </c>
      <c r="B16" s="43" t="s">
        <v>160</v>
      </c>
      <c r="C16" s="45" t="s">
        <v>164</v>
      </c>
      <c r="D16" s="47" t="s">
        <v>168</v>
      </c>
      <c r="E16" s="22">
        <v>45.0</v>
      </c>
      <c r="F16" s="25" t="s">
        <v>41</v>
      </c>
    </row>
    <row r="17" ht="45.0" customHeight="1">
      <c r="A17" s="42" t="s">
        <v>171</v>
      </c>
      <c r="B17" s="43" t="s">
        <v>160</v>
      </c>
      <c r="C17" s="27" t="s">
        <v>174</v>
      </c>
      <c r="D17" s="29" t="s">
        <v>175</v>
      </c>
      <c r="E17" s="22">
        <v>45.0</v>
      </c>
      <c r="F17" s="25" t="s">
        <v>41</v>
      </c>
    </row>
    <row r="18" ht="45.0" customHeight="1">
      <c r="A18" s="48" t="s">
        <v>179</v>
      </c>
      <c r="B18" s="50" t="s">
        <v>183</v>
      </c>
      <c r="C18" s="52" t="s">
        <v>189</v>
      </c>
      <c r="D18" s="54" t="s">
        <v>202</v>
      </c>
      <c r="E18" s="22">
        <v>45.0</v>
      </c>
      <c r="F18" s="25" t="s">
        <v>41</v>
      </c>
    </row>
    <row r="19" ht="24.75" customHeight="1">
      <c r="A19" s="55" t="s">
        <v>210</v>
      </c>
      <c r="B19" s="57"/>
      <c r="C19" s="57"/>
      <c r="D19" s="58"/>
      <c r="E19" s="60">
        <f>SUM(E4:E18)</f>
        <v>675</v>
      </c>
      <c r="F19" s="62" t="s">
        <v>261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2:F2"/>
    <mergeCell ref="A19:D19"/>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6" width="14.0"/>
    <col customWidth="1" min="7" max="26" width="8.71"/>
  </cols>
  <sheetData>
    <row r="1" ht="39.75" customHeight="1">
      <c r="A1" s="1" t="s">
        <v>0</v>
      </c>
      <c r="B1" s="3"/>
      <c r="C1" s="3"/>
      <c r="D1" s="3"/>
      <c r="E1" s="3"/>
      <c r="F1" s="4"/>
    </row>
    <row r="3" ht="27.75" customHeight="1">
      <c r="A3" s="6" t="s">
        <v>5</v>
      </c>
      <c r="B3" s="3"/>
      <c r="C3" s="3"/>
      <c r="D3" s="3"/>
      <c r="E3" s="3"/>
      <c r="F3" s="4"/>
    </row>
    <row r="4" ht="21.75" customHeight="1">
      <c r="A4" s="8" t="s">
        <v>7</v>
      </c>
      <c r="B4" s="8" t="s">
        <v>9</v>
      </c>
      <c r="C4" s="8" t="s">
        <v>11</v>
      </c>
      <c r="D4" s="8" t="s">
        <v>12</v>
      </c>
      <c r="E4" s="8" t="s">
        <v>16</v>
      </c>
      <c r="F4" s="8" t="s">
        <v>19</v>
      </c>
    </row>
    <row r="5" ht="21.75" customHeight="1">
      <c r="A5" s="11" t="s">
        <v>24</v>
      </c>
      <c r="B5" s="12">
        <v>15.0</v>
      </c>
      <c r="C5" s="12">
        <v>15.0</v>
      </c>
      <c r="D5" s="12">
        <v>15.0</v>
      </c>
      <c r="E5" s="24">
        <f t="shared" ref="E5:E19" si="1">B5+C5+D5</f>
        <v>45</v>
      </c>
      <c r="F5" s="25" t="s">
        <v>41</v>
      </c>
    </row>
    <row r="6" ht="21.75" customHeight="1">
      <c r="A6" s="11" t="s">
        <v>45</v>
      </c>
      <c r="B6" s="12">
        <v>15.0</v>
      </c>
      <c r="C6" s="12">
        <v>15.0</v>
      </c>
      <c r="D6" s="12">
        <v>15.0</v>
      </c>
      <c r="E6" s="24">
        <f t="shared" si="1"/>
        <v>45</v>
      </c>
      <c r="F6" s="25" t="s">
        <v>41</v>
      </c>
    </row>
    <row r="7" ht="21.75" customHeight="1">
      <c r="A7" s="11" t="s">
        <v>50</v>
      </c>
      <c r="B7" s="12">
        <v>15.0</v>
      </c>
      <c r="C7" s="12">
        <v>15.0</v>
      </c>
      <c r="D7" s="12">
        <v>15.0</v>
      </c>
      <c r="E7" s="24">
        <f t="shared" si="1"/>
        <v>45</v>
      </c>
      <c r="F7" s="25" t="s">
        <v>41</v>
      </c>
    </row>
    <row r="8" ht="21.75" customHeight="1">
      <c r="A8" s="11" t="s">
        <v>55</v>
      </c>
      <c r="B8" s="12">
        <v>15.0</v>
      </c>
      <c r="C8" s="12">
        <v>15.0</v>
      </c>
      <c r="D8" s="12">
        <v>15.0</v>
      </c>
      <c r="E8" s="24">
        <f t="shared" si="1"/>
        <v>45</v>
      </c>
      <c r="F8" s="25" t="s">
        <v>41</v>
      </c>
    </row>
    <row r="9" ht="21.75" customHeight="1">
      <c r="A9" s="33" t="s">
        <v>65</v>
      </c>
      <c r="B9" s="12">
        <v>15.0</v>
      </c>
      <c r="C9" s="12">
        <v>15.0</v>
      </c>
      <c r="D9" s="12">
        <v>15.0</v>
      </c>
      <c r="E9" s="24">
        <f t="shared" si="1"/>
        <v>45</v>
      </c>
      <c r="F9" s="25" t="s">
        <v>41</v>
      </c>
    </row>
    <row r="10" ht="21.75" customHeight="1">
      <c r="A10" s="33" t="s">
        <v>82</v>
      </c>
      <c r="B10" s="12">
        <v>15.0</v>
      </c>
      <c r="C10" s="12">
        <v>15.0</v>
      </c>
      <c r="D10" s="12">
        <v>15.0</v>
      </c>
      <c r="E10" s="24">
        <f t="shared" si="1"/>
        <v>45</v>
      </c>
      <c r="F10" s="25" t="s">
        <v>41</v>
      </c>
    </row>
    <row r="11" ht="21.75" customHeight="1">
      <c r="A11" s="33" t="s">
        <v>90</v>
      </c>
      <c r="B11" s="12">
        <v>15.0</v>
      </c>
      <c r="C11" s="12">
        <v>15.0</v>
      </c>
      <c r="D11" s="12">
        <v>15.0</v>
      </c>
      <c r="E11" s="24">
        <f t="shared" si="1"/>
        <v>45</v>
      </c>
      <c r="F11" s="25" t="s">
        <v>41</v>
      </c>
    </row>
    <row r="12" ht="21.75" customHeight="1">
      <c r="A12" s="33" t="s">
        <v>146</v>
      </c>
      <c r="B12" s="12">
        <v>15.0</v>
      </c>
      <c r="C12" s="12">
        <v>15.0</v>
      </c>
      <c r="D12" s="12">
        <v>15.0</v>
      </c>
      <c r="E12" s="24">
        <f t="shared" si="1"/>
        <v>45</v>
      </c>
      <c r="F12" s="25" t="s">
        <v>41</v>
      </c>
    </row>
    <row r="13" ht="21.75" customHeight="1">
      <c r="A13" s="44" t="s">
        <v>161</v>
      </c>
      <c r="B13" s="12">
        <v>15.0</v>
      </c>
      <c r="C13" s="12">
        <v>15.0</v>
      </c>
      <c r="D13" s="12">
        <v>15.0</v>
      </c>
      <c r="E13" s="24">
        <f t="shared" si="1"/>
        <v>45</v>
      </c>
      <c r="F13" s="25" t="s">
        <v>41</v>
      </c>
    </row>
    <row r="14" ht="21.75" customHeight="1">
      <c r="A14" s="44" t="s">
        <v>169</v>
      </c>
      <c r="B14" s="12">
        <v>15.0</v>
      </c>
      <c r="C14" s="12">
        <v>15.0</v>
      </c>
      <c r="D14" s="12">
        <v>15.0</v>
      </c>
      <c r="E14" s="24">
        <f t="shared" si="1"/>
        <v>45</v>
      </c>
      <c r="F14" s="25" t="s">
        <v>41</v>
      </c>
    </row>
    <row r="15" ht="21.75" customHeight="1">
      <c r="A15" s="44" t="s">
        <v>173</v>
      </c>
      <c r="B15" s="12">
        <v>15.0</v>
      </c>
      <c r="C15" s="12">
        <v>15.0</v>
      </c>
      <c r="D15" s="12">
        <v>15.0</v>
      </c>
      <c r="E15" s="24">
        <f t="shared" si="1"/>
        <v>45</v>
      </c>
      <c r="F15" s="25" t="s">
        <v>41</v>
      </c>
    </row>
    <row r="16" ht="21.75" customHeight="1">
      <c r="A16" s="44" t="s">
        <v>180</v>
      </c>
      <c r="B16" s="12">
        <v>15.0</v>
      </c>
      <c r="C16" s="12">
        <v>15.0</v>
      </c>
      <c r="D16" s="12">
        <v>15.0</v>
      </c>
      <c r="E16" s="24">
        <f t="shared" si="1"/>
        <v>45</v>
      </c>
      <c r="F16" s="25" t="s">
        <v>41</v>
      </c>
    </row>
    <row r="17" ht="21.75" customHeight="1">
      <c r="A17" s="51" t="s">
        <v>188</v>
      </c>
      <c r="B17" s="12">
        <v>15.0</v>
      </c>
      <c r="C17" s="12">
        <v>15.0</v>
      </c>
      <c r="D17" s="12">
        <v>15.0</v>
      </c>
      <c r="E17" s="24">
        <f t="shared" si="1"/>
        <v>45</v>
      </c>
      <c r="F17" s="25" t="s">
        <v>41</v>
      </c>
    </row>
    <row r="18" ht="21.75" customHeight="1">
      <c r="A18" s="51" t="s">
        <v>204</v>
      </c>
      <c r="B18" s="12">
        <v>15.0</v>
      </c>
      <c r="C18" s="12">
        <v>15.0</v>
      </c>
      <c r="D18" s="12">
        <v>15.0</v>
      </c>
      <c r="E18" s="24">
        <f t="shared" si="1"/>
        <v>45</v>
      </c>
      <c r="F18" s="25" t="s">
        <v>41</v>
      </c>
    </row>
    <row r="19" ht="21.75" customHeight="1">
      <c r="A19" s="56" t="s">
        <v>213</v>
      </c>
      <c r="B19" s="12">
        <v>15.0</v>
      </c>
      <c r="C19" s="12">
        <v>15.0</v>
      </c>
      <c r="D19" s="12">
        <v>15.0</v>
      </c>
      <c r="E19" s="24">
        <f t="shared" si="1"/>
        <v>45</v>
      </c>
      <c r="F19" s="25" t="s">
        <v>41</v>
      </c>
    </row>
    <row r="20" ht="24.75" customHeight="1">
      <c r="A20" s="59" t="s">
        <v>227</v>
      </c>
      <c r="B20" s="61">
        <f t="shared" ref="B20:E20" si="2">SUM(B5:B19)</f>
        <v>225</v>
      </c>
      <c r="C20" s="61">
        <f t="shared" si="2"/>
        <v>225</v>
      </c>
      <c r="D20" s="61">
        <f t="shared" si="2"/>
        <v>225</v>
      </c>
      <c r="E20" s="61">
        <f t="shared" si="2"/>
        <v>675</v>
      </c>
      <c r="F20" s="62" t="s">
        <v>278</v>
      </c>
    </row>
    <row r="21" ht="15.75" customHeight="1"/>
    <row r="22" ht="27.75" customHeight="1">
      <c r="A22" s="6" t="s">
        <v>284</v>
      </c>
      <c r="B22" s="3"/>
      <c r="C22" s="3"/>
      <c r="D22" s="3"/>
      <c r="E22" s="3"/>
      <c r="F22" s="4"/>
    </row>
    <row r="23" ht="21.75" customHeight="1">
      <c r="A23" s="8" t="s">
        <v>291</v>
      </c>
      <c r="B23" s="8" t="s">
        <v>9</v>
      </c>
      <c r="C23" s="8" t="s">
        <v>11</v>
      </c>
      <c r="D23" s="8" t="s">
        <v>12</v>
      </c>
      <c r="E23" s="8" t="s">
        <v>16</v>
      </c>
      <c r="F23" s="8" t="s">
        <v>19</v>
      </c>
    </row>
    <row r="24" ht="21.75" customHeight="1">
      <c r="A24" s="64" t="s">
        <v>303</v>
      </c>
      <c r="B24" s="65">
        <v>0.0</v>
      </c>
      <c r="C24" s="65">
        <v>0.0</v>
      </c>
      <c r="D24" s="65">
        <v>0.0</v>
      </c>
      <c r="E24" s="19">
        <f t="shared" ref="E24:E26" si="3">B24+C24+D24</f>
        <v>0</v>
      </c>
      <c r="F24" s="66" t="s">
        <v>341</v>
      </c>
    </row>
    <row r="25" ht="21.75" customHeight="1">
      <c r="A25" s="67" t="s">
        <v>346</v>
      </c>
      <c r="B25" s="65">
        <v>0.0</v>
      </c>
      <c r="C25" s="65">
        <v>0.0</v>
      </c>
      <c r="D25" s="65">
        <v>0.0</v>
      </c>
      <c r="E25" s="22">
        <f t="shared" si="3"/>
        <v>0</v>
      </c>
      <c r="F25" s="66" t="s">
        <v>341</v>
      </c>
    </row>
    <row r="26" ht="21.75" customHeight="1">
      <c r="A26" s="44" t="s">
        <v>351</v>
      </c>
      <c r="B26" s="65">
        <v>0.0</v>
      </c>
      <c r="C26" s="65">
        <v>0.0</v>
      </c>
      <c r="D26" s="65">
        <v>0.0</v>
      </c>
      <c r="E26" s="24">
        <f t="shared" si="3"/>
        <v>0</v>
      </c>
      <c r="F26" s="66" t="s">
        <v>341</v>
      </c>
    </row>
    <row r="27" ht="24.75" customHeight="1">
      <c r="A27" s="59" t="s">
        <v>354</v>
      </c>
      <c r="B27" s="61">
        <f t="shared" ref="B27:E27" si="4">SUM(B24:B26)</f>
        <v>0</v>
      </c>
      <c r="C27" s="61">
        <f t="shared" si="4"/>
        <v>0</v>
      </c>
      <c r="D27" s="61">
        <f t="shared" si="4"/>
        <v>0</v>
      </c>
      <c r="E27" s="61">
        <f t="shared" si="4"/>
        <v>0</v>
      </c>
      <c r="F27" s="62" t="s">
        <v>372</v>
      </c>
    </row>
    <row r="28" ht="15.75" customHeight="1"/>
    <row r="29" ht="30.0" customHeight="1">
      <c r="A29" s="68" t="s">
        <v>377</v>
      </c>
      <c r="B29" s="3"/>
      <c r="C29" s="3"/>
      <c r="D29" s="3"/>
      <c r="E29" s="3"/>
      <c r="F29" s="4"/>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3:F3"/>
    <mergeCell ref="A22:F22"/>
    <mergeCell ref="A29:F29"/>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2" t="s">
        <v>1</v>
      </c>
      <c r="B1" s="3"/>
      <c r="C1" s="3"/>
      <c r="D1" s="3"/>
      <c r="E1" s="3"/>
      <c r="F1" s="3"/>
      <c r="G1" s="3"/>
      <c r="H1" s="3"/>
      <c r="I1" s="3"/>
      <c r="J1" s="3"/>
      <c r="K1" s="3"/>
      <c r="L1" s="3"/>
      <c r="M1" s="3"/>
      <c r="N1" s="3"/>
      <c r="O1" s="4"/>
    </row>
    <row r="2" ht="30.0" customHeight="1">
      <c r="A2" s="5" t="s">
        <v>4</v>
      </c>
      <c r="B2" s="3"/>
      <c r="C2" s="3"/>
      <c r="D2" s="3"/>
      <c r="E2" s="3"/>
      <c r="F2" s="3"/>
      <c r="G2" s="3"/>
      <c r="H2" s="3"/>
      <c r="I2" s="3"/>
      <c r="J2" s="3"/>
      <c r="K2" s="3"/>
      <c r="L2" s="3"/>
      <c r="M2" s="3"/>
      <c r="N2" s="3"/>
      <c r="O2" s="4"/>
    </row>
    <row r="3" ht="19.5" customHeight="1">
      <c r="A3" s="7" t="s">
        <v>6</v>
      </c>
      <c r="B3" s="3"/>
      <c r="C3" s="3"/>
      <c r="D3" s="3"/>
      <c r="E3" s="3"/>
      <c r="F3" s="3"/>
      <c r="G3" s="3"/>
      <c r="H3" s="3"/>
      <c r="I3" s="3"/>
      <c r="J3" s="3"/>
      <c r="K3" s="3"/>
      <c r="L3" s="3"/>
      <c r="M3" s="3"/>
      <c r="N3" s="3"/>
      <c r="O3" s="4"/>
    </row>
    <row r="4" ht="24.75" customHeight="1">
      <c r="A4" s="9" t="s">
        <v>8</v>
      </c>
      <c r="B4" s="9" t="s">
        <v>7</v>
      </c>
      <c r="C4" s="9" t="s">
        <v>13</v>
      </c>
      <c r="D4" s="9" t="s">
        <v>15</v>
      </c>
      <c r="E4" s="9" t="s">
        <v>17</v>
      </c>
      <c r="F4" s="9" t="s">
        <v>18</v>
      </c>
      <c r="G4" s="9" t="s">
        <v>20</v>
      </c>
      <c r="H4" s="9" t="s">
        <v>21</v>
      </c>
      <c r="I4" s="9" t="s">
        <v>22</v>
      </c>
      <c r="J4" s="9" t="s">
        <v>23</v>
      </c>
      <c r="K4" s="9" t="s">
        <v>25</v>
      </c>
      <c r="L4" s="9" t="s">
        <v>26</v>
      </c>
      <c r="M4" s="9" t="s">
        <v>19</v>
      </c>
      <c r="N4" s="9" t="s">
        <v>27</v>
      </c>
      <c r="O4" s="9" t="s">
        <v>28</v>
      </c>
    </row>
    <row r="5" ht="19.5" customHeight="1">
      <c r="A5" s="13" t="s">
        <v>29</v>
      </c>
      <c r="B5" s="3"/>
      <c r="C5" s="3"/>
      <c r="D5" s="3"/>
      <c r="E5" s="3"/>
      <c r="F5" s="3"/>
      <c r="G5" s="3"/>
      <c r="H5" s="3"/>
      <c r="I5" s="3"/>
      <c r="J5" s="3"/>
      <c r="K5" s="3"/>
      <c r="L5" s="3"/>
      <c r="M5" s="3"/>
      <c r="N5" s="3"/>
      <c r="O5" s="4"/>
    </row>
    <row r="6" ht="57.75" customHeight="1">
      <c r="A6" s="15" t="s">
        <v>35</v>
      </c>
      <c r="B6" s="17" t="s">
        <v>37</v>
      </c>
      <c r="C6" s="17" t="s">
        <v>36</v>
      </c>
      <c r="D6" s="19" t="s">
        <v>9</v>
      </c>
      <c r="E6" s="21" t="s">
        <v>39</v>
      </c>
      <c r="F6" s="21">
        <v>-25.0</v>
      </c>
      <c r="G6" s="21">
        <v>-21.0</v>
      </c>
      <c r="H6" s="21">
        <v>-15.0</v>
      </c>
      <c r="I6" s="21">
        <v>11.0</v>
      </c>
      <c r="J6" s="21">
        <v>31.0</v>
      </c>
      <c r="K6" s="23" t="s">
        <v>40</v>
      </c>
      <c r="L6" s="21" t="s">
        <v>42</v>
      </c>
      <c r="M6" s="26" t="s">
        <v>43</v>
      </c>
      <c r="N6" s="17"/>
      <c r="O6" s="17"/>
    </row>
    <row r="7" ht="57.75" customHeight="1">
      <c r="A7" s="15" t="s">
        <v>47</v>
      </c>
      <c r="B7" s="28" t="s">
        <v>37</v>
      </c>
      <c r="C7" s="28" t="s">
        <v>36</v>
      </c>
      <c r="D7" s="19" t="s">
        <v>9</v>
      </c>
      <c r="E7" s="30" t="s">
        <v>51</v>
      </c>
      <c r="F7" s="30">
        <v>-19.0</v>
      </c>
      <c r="G7" s="30">
        <v>-11.0</v>
      </c>
      <c r="H7" s="30">
        <v>-1.0</v>
      </c>
      <c r="I7" s="30">
        <v>11.0</v>
      </c>
      <c r="J7" s="30">
        <v>19.0</v>
      </c>
      <c r="K7" s="31" t="s">
        <v>40</v>
      </c>
      <c r="L7" s="30" t="s">
        <v>58</v>
      </c>
      <c r="M7" s="26" t="s">
        <v>43</v>
      </c>
      <c r="N7" s="28"/>
      <c r="O7" s="28"/>
    </row>
    <row r="8" ht="57.75" customHeight="1">
      <c r="A8" s="15" t="s">
        <v>61</v>
      </c>
      <c r="B8" s="17" t="s">
        <v>37</v>
      </c>
      <c r="C8" s="17" t="s">
        <v>36</v>
      </c>
      <c r="D8" s="19" t="s">
        <v>9</v>
      </c>
      <c r="E8" s="21" t="s">
        <v>62</v>
      </c>
      <c r="F8" s="21">
        <v>-16.0</v>
      </c>
      <c r="G8" s="21">
        <v>-4.0</v>
      </c>
      <c r="H8" s="21">
        <v>0.0</v>
      </c>
      <c r="I8" s="21">
        <v>4.0</v>
      </c>
      <c r="J8" s="21">
        <v>16.0</v>
      </c>
      <c r="K8" s="23" t="s">
        <v>64</v>
      </c>
      <c r="L8" s="21" t="s">
        <v>66</v>
      </c>
      <c r="M8" s="26" t="s">
        <v>43</v>
      </c>
      <c r="N8" s="17"/>
      <c r="O8" s="17"/>
    </row>
    <row r="9" ht="57.75" customHeight="1">
      <c r="A9" s="15" t="s">
        <v>67</v>
      </c>
      <c r="B9" s="28" t="s">
        <v>37</v>
      </c>
      <c r="C9" s="28" t="s">
        <v>36</v>
      </c>
      <c r="D9" s="19" t="s">
        <v>9</v>
      </c>
      <c r="E9" s="30" t="s">
        <v>68</v>
      </c>
      <c r="F9" s="30" t="s">
        <v>69</v>
      </c>
      <c r="G9" s="30" t="s">
        <v>70</v>
      </c>
      <c r="H9" s="30" t="s">
        <v>71</v>
      </c>
      <c r="I9" s="30" t="s">
        <v>72</v>
      </c>
      <c r="J9" s="30" t="s">
        <v>73</v>
      </c>
      <c r="K9" s="31" t="s">
        <v>40</v>
      </c>
      <c r="L9" s="30" t="s">
        <v>75</v>
      </c>
      <c r="M9" s="26" t="s">
        <v>43</v>
      </c>
      <c r="N9" s="28"/>
      <c r="O9" s="28"/>
    </row>
    <row r="10" ht="57.75" customHeight="1">
      <c r="A10" s="15" t="s">
        <v>76</v>
      </c>
      <c r="B10" s="17" t="s">
        <v>37</v>
      </c>
      <c r="C10" s="17" t="s">
        <v>36</v>
      </c>
      <c r="D10" s="19" t="s">
        <v>9</v>
      </c>
      <c r="E10" s="21" t="s">
        <v>77</v>
      </c>
      <c r="F10" s="21">
        <v>7.0</v>
      </c>
      <c r="G10" s="21">
        <v>9.0</v>
      </c>
      <c r="H10" s="21">
        <v>11.0</v>
      </c>
      <c r="I10" s="21">
        <v>15.0</v>
      </c>
      <c r="J10" s="21">
        <v>17.0</v>
      </c>
      <c r="K10" s="23" t="s">
        <v>78</v>
      </c>
      <c r="L10" s="21" t="s">
        <v>80</v>
      </c>
      <c r="M10" s="26" t="s">
        <v>43</v>
      </c>
      <c r="N10" s="17"/>
      <c r="O10" s="17"/>
    </row>
    <row r="11" ht="57.75" customHeight="1">
      <c r="A11" s="15" t="s">
        <v>81</v>
      </c>
      <c r="B11" s="28" t="s">
        <v>37</v>
      </c>
      <c r="C11" s="28" t="s">
        <v>36</v>
      </c>
      <c r="D11" s="19" t="s">
        <v>9</v>
      </c>
      <c r="E11" s="30" t="s">
        <v>83</v>
      </c>
      <c r="F11" s="30" t="s">
        <v>84</v>
      </c>
      <c r="G11" s="30" t="s">
        <v>85</v>
      </c>
      <c r="H11" s="30" t="s">
        <v>86</v>
      </c>
      <c r="I11" s="30" t="s">
        <v>87</v>
      </c>
      <c r="J11" s="30" t="s">
        <v>88</v>
      </c>
      <c r="K11" s="31" t="s">
        <v>40</v>
      </c>
      <c r="L11" s="30" t="s">
        <v>91</v>
      </c>
      <c r="M11" s="26" t="s">
        <v>43</v>
      </c>
      <c r="N11" s="28"/>
      <c r="O11" s="28"/>
    </row>
    <row r="12" ht="57.75" customHeight="1">
      <c r="A12" s="15" t="s">
        <v>92</v>
      </c>
      <c r="B12" s="17" t="s">
        <v>37</v>
      </c>
      <c r="C12" s="17" t="s">
        <v>36</v>
      </c>
      <c r="D12" s="19" t="s">
        <v>9</v>
      </c>
      <c r="E12" s="21" t="s">
        <v>93</v>
      </c>
      <c r="F12" s="21">
        <v>-43.0</v>
      </c>
      <c r="G12" s="21">
        <v>-11.0</v>
      </c>
      <c r="H12" s="21">
        <v>-1.0</v>
      </c>
      <c r="I12" s="21">
        <v>11.0</v>
      </c>
      <c r="J12" s="21">
        <v>43.0</v>
      </c>
      <c r="K12" s="23" t="s">
        <v>64</v>
      </c>
      <c r="L12" s="21" t="s">
        <v>96</v>
      </c>
      <c r="M12" s="26" t="s">
        <v>43</v>
      </c>
      <c r="N12" s="17"/>
      <c r="O12" s="17"/>
    </row>
    <row r="13" ht="57.75" customHeight="1">
      <c r="A13" s="15" t="s">
        <v>100</v>
      </c>
      <c r="B13" s="28" t="s">
        <v>37</v>
      </c>
      <c r="C13" s="28" t="s">
        <v>36</v>
      </c>
      <c r="D13" s="19" t="s">
        <v>9</v>
      </c>
      <c r="E13" s="30" t="s">
        <v>103</v>
      </c>
      <c r="F13" s="30">
        <v>6.0</v>
      </c>
      <c r="G13" s="30">
        <v>9.0</v>
      </c>
      <c r="H13" s="30">
        <v>12.0</v>
      </c>
      <c r="I13" s="30">
        <v>24.0</v>
      </c>
      <c r="J13" s="30">
        <v>36.0</v>
      </c>
      <c r="K13" s="31" t="s">
        <v>40</v>
      </c>
      <c r="L13" s="30" t="s">
        <v>105</v>
      </c>
      <c r="M13" s="26" t="s">
        <v>43</v>
      </c>
      <c r="N13" s="28"/>
      <c r="O13" s="28"/>
    </row>
    <row r="14" ht="57.75" customHeight="1">
      <c r="A14" s="15" t="s">
        <v>108</v>
      </c>
      <c r="B14" s="17" t="s">
        <v>37</v>
      </c>
      <c r="C14" s="17" t="s">
        <v>36</v>
      </c>
      <c r="D14" s="19" t="s">
        <v>9</v>
      </c>
      <c r="E14" s="21" t="s">
        <v>111</v>
      </c>
      <c r="F14" s="21">
        <v>-49.0</v>
      </c>
      <c r="G14" s="21">
        <v>-1.0</v>
      </c>
      <c r="H14" s="21">
        <v>1.0</v>
      </c>
      <c r="I14" s="21">
        <v>25.0</v>
      </c>
      <c r="J14" s="21">
        <v>49.0</v>
      </c>
      <c r="K14" s="23" t="s">
        <v>95</v>
      </c>
      <c r="L14" s="21" t="s">
        <v>113</v>
      </c>
      <c r="M14" s="26" t="s">
        <v>43</v>
      </c>
      <c r="N14" s="17"/>
      <c r="O14" s="17"/>
    </row>
    <row r="15" ht="57.75" customHeight="1">
      <c r="A15" s="15" t="s">
        <v>114</v>
      </c>
      <c r="B15" s="28" t="s">
        <v>37</v>
      </c>
      <c r="C15" s="28" t="s">
        <v>36</v>
      </c>
      <c r="D15" s="19" t="s">
        <v>9</v>
      </c>
      <c r="E15" s="30" t="s">
        <v>115</v>
      </c>
      <c r="F15" s="30">
        <v>-40.0</v>
      </c>
      <c r="G15" s="30">
        <v>-16.0</v>
      </c>
      <c r="H15" s="30">
        <v>16.0</v>
      </c>
      <c r="I15" s="30">
        <v>40.0</v>
      </c>
      <c r="J15" s="30">
        <v>100.0</v>
      </c>
      <c r="K15" s="31" t="s">
        <v>117</v>
      </c>
      <c r="L15" s="30" t="s">
        <v>118</v>
      </c>
      <c r="M15" s="26" t="s">
        <v>43</v>
      </c>
      <c r="N15" s="28"/>
      <c r="O15" s="28"/>
    </row>
    <row r="16" ht="57.75" customHeight="1">
      <c r="A16" s="15" t="s">
        <v>121</v>
      </c>
      <c r="B16" s="17" t="s">
        <v>37</v>
      </c>
      <c r="C16" s="17" t="s">
        <v>36</v>
      </c>
      <c r="D16" s="19" t="s">
        <v>9</v>
      </c>
      <c r="E16" s="21" t="s">
        <v>122</v>
      </c>
      <c r="F16" s="21">
        <v>1.0</v>
      </c>
      <c r="G16" s="21">
        <v>2.0</v>
      </c>
      <c r="H16" s="21">
        <v>4.0</v>
      </c>
      <c r="I16" s="21">
        <v>5.0</v>
      </c>
      <c r="J16" s="21">
        <v>8.0</v>
      </c>
      <c r="K16" s="23" t="s">
        <v>40</v>
      </c>
      <c r="L16" s="21" t="s">
        <v>124</v>
      </c>
      <c r="M16" s="26" t="s">
        <v>43</v>
      </c>
      <c r="N16" s="17"/>
      <c r="O16" s="17"/>
    </row>
    <row r="17" ht="57.75" customHeight="1">
      <c r="A17" s="15" t="s">
        <v>126</v>
      </c>
      <c r="B17" s="28" t="s">
        <v>37</v>
      </c>
      <c r="C17" s="28" t="s">
        <v>36</v>
      </c>
      <c r="D17" s="19" t="s">
        <v>9</v>
      </c>
      <c r="E17" s="30" t="s">
        <v>128</v>
      </c>
      <c r="F17" s="30">
        <v>-3.0</v>
      </c>
      <c r="G17" s="30">
        <v>-2.0</v>
      </c>
      <c r="H17" s="30">
        <v>2.0</v>
      </c>
      <c r="I17" s="30">
        <v>3.0</v>
      </c>
      <c r="J17" s="30">
        <v>12.0</v>
      </c>
      <c r="K17" s="31" t="s">
        <v>40</v>
      </c>
      <c r="L17" s="30" t="s">
        <v>131</v>
      </c>
      <c r="M17" s="26" t="s">
        <v>43</v>
      </c>
      <c r="N17" s="28"/>
      <c r="O17" s="28"/>
    </row>
    <row r="18" ht="57.75" customHeight="1">
      <c r="A18" s="15" t="s">
        <v>133</v>
      </c>
      <c r="B18" s="17" t="s">
        <v>37</v>
      </c>
      <c r="C18" s="17" t="s">
        <v>36</v>
      </c>
      <c r="D18" s="19" t="s">
        <v>9</v>
      </c>
      <c r="E18" s="21" t="s">
        <v>135</v>
      </c>
      <c r="F18" s="21" t="s">
        <v>137</v>
      </c>
      <c r="G18" s="21" t="s">
        <v>139</v>
      </c>
      <c r="H18" s="21" t="s">
        <v>141</v>
      </c>
      <c r="I18" s="21" t="s">
        <v>143</v>
      </c>
      <c r="J18" s="21" t="s">
        <v>144</v>
      </c>
      <c r="K18" s="23" t="s">
        <v>40</v>
      </c>
      <c r="L18" s="21" t="s">
        <v>148</v>
      </c>
      <c r="M18" s="26" t="s">
        <v>43</v>
      </c>
      <c r="N18" s="17"/>
      <c r="O18" s="17"/>
    </row>
    <row r="19" ht="57.75" customHeight="1">
      <c r="A19" s="15" t="s">
        <v>149</v>
      </c>
      <c r="B19" s="28" t="s">
        <v>37</v>
      </c>
      <c r="C19" s="28" t="s">
        <v>36</v>
      </c>
      <c r="D19" s="19" t="s">
        <v>9</v>
      </c>
      <c r="E19" s="30" t="s">
        <v>151</v>
      </c>
      <c r="F19" s="30">
        <v>4.0</v>
      </c>
      <c r="G19" s="30">
        <v>9.0</v>
      </c>
      <c r="H19" s="30">
        <v>11.0</v>
      </c>
      <c r="I19" s="30">
        <v>14.0</v>
      </c>
      <c r="J19" s="30">
        <v>22.0</v>
      </c>
      <c r="K19" s="31" t="s">
        <v>117</v>
      </c>
      <c r="L19" s="30" t="s">
        <v>153</v>
      </c>
      <c r="M19" s="26" t="s">
        <v>43</v>
      </c>
      <c r="N19" s="28"/>
      <c r="O19" s="28"/>
    </row>
    <row r="20" ht="57.75" customHeight="1">
      <c r="A20" s="15" t="s">
        <v>156</v>
      </c>
      <c r="B20" s="17" t="s">
        <v>37</v>
      </c>
      <c r="C20" s="17" t="s">
        <v>36</v>
      </c>
      <c r="D20" s="19" t="s">
        <v>9</v>
      </c>
      <c r="E20" s="21" t="s">
        <v>158</v>
      </c>
      <c r="F20" s="21">
        <v>-42.0</v>
      </c>
      <c r="G20" s="21">
        <v>-12.0</v>
      </c>
      <c r="H20" s="21">
        <v>12.0</v>
      </c>
      <c r="I20" s="21">
        <v>24.0</v>
      </c>
      <c r="J20" s="21">
        <v>42.0</v>
      </c>
      <c r="K20" s="23" t="s">
        <v>95</v>
      </c>
      <c r="L20" s="21" t="s">
        <v>162</v>
      </c>
      <c r="M20" s="26" t="s">
        <v>43</v>
      </c>
      <c r="N20" s="17"/>
      <c r="O20" s="17"/>
    </row>
    <row r="21" ht="19.5" customHeight="1">
      <c r="A21" s="46" t="s">
        <v>166</v>
      </c>
      <c r="B21" s="3"/>
      <c r="C21" s="3"/>
      <c r="D21" s="3"/>
      <c r="E21" s="3"/>
      <c r="F21" s="3"/>
      <c r="G21" s="3"/>
      <c r="H21" s="3"/>
      <c r="I21" s="3"/>
      <c r="J21" s="3"/>
      <c r="K21" s="3"/>
      <c r="L21" s="3"/>
      <c r="M21" s="3"/>
      <c r="N21" s="3"/>
      <c r="O21" s="4"/>
    </row>
    <row r="22" ht="57.75" customHeight="1">
      <c r="A22" s="15" t="s">
        <v>176</v>
      </c>
      <c r="B22" s="28" t="s">
        <v>37</v>
      </c>
      <c r="C22" s="28" t="s">
        <v>36</v>
      </c>
      <c r="D22" s="22" t="s">
        <v>11</v>
      </c>
      <c r="E22" s="30" t="s">
        <v>181</v>
      </c>
      <c r="F22" s="30">
        <v>-32.0</v>
      </c>
      <c r="G22" s="30">
        <v>-30.0</v>
      </c>
      <c r="H22" s="30">
        <v>-28.0</v>
      </c>
      <c r="I22" s="30">
        <v>32.0</v>
      </c>
      <c r="J22" s="30">
        <v>34.0</v>
      </c>
      <c r="K22" s="31" t="s">
        <v>64</v>
      </c>
      <c r="L22" s="30" t="s">
        <v>182</v>
      </c>
      <c r="M22" s="26" t="s">
        <v>43</v>
      </c>
      <c r="N22" s="28"/>
      <c r="O22" s="28"/>
    </row>
    <row r="23" ht="57.75" customHeight="1">
      <c r="A23" s="15" t="s">
        <v>184</v>
      </c>
      <c r="B23" s="17" t="s">
        <v>37</v>
      </c>
      <c r="C23" s="17" t="s">
        <v>36</v>
      </c>
      <c r="D23" s="22" t="s">
        <v>11</v>
      </c>
      <c r="E23" s="21" t="s">
        <v>186</v>
      </c>
      <c r="F23" s="21">
        <v>-3.0</v>
      </c>
      <c r="G23" s="21">
        <v>-1.0</v>
      </c>
      <c r="H23" s="21">
        <v>1.0</v>
      </c>
      <c r="I23" s="21">
        <v>3.0</v>
      </c>
      <c r="J23" s="21">
        <v>5.0</v>
      </c>
      <c r="K23" s="23" t="s">
        <v>40</v>
      </c>
      <c r="L23" s="21" t="s">
        <v>191</v>
      </c>
      <c r="M23" s="26" t="s">
        <v>43</v>
      </c>
      <c r="N23" s="17"/>
      <c r="O23" s="17"/>
    </row>
    <row r="24" ht="57.75" customHeight="1">
      <c r="A24" s="15" t="s">
        <v>192</v>
      </c>
      <c r="B24" s="28" t="s">
        <v>37</v>
      </c>
      <c r="C24" s="28" t="s">
        <v>36</v>
      </c>
      <c r="D24" s="22" t="s">
        <v>11</v>
      </c>
      <c r="E24" s="30" t="s">
        <v>194</v>
      </c>
      <c r="F24" s="30" t="s">
        <v>195</v>
      </c>
      <c r="G24" s="30" t="s">
        <v>196</v>
      </c>
      <c r="H24" s="30" t="s">
        <v>198</v>
      </c>
      <c r="I24" s="30" t="s">
        <v>199</v>
      </c>
      <c r="J24" s="30" t="s">
        <v>200</v>
      </c>
      <c r="K24" s="31" t="s">
        <v>95</v>
      </c>
      <c r="L24" s="30" t="s">
        <v>201</v>
      </c>
      <c r="M24" s="26" t="s">
        <v>43</v>
      </c>
      <c r="N24" s="28"/>
      <c r="O24" s="28"/>
    </row>
    <row r="25" ht="57.75" customHeight="1">
      <c r="A25" s="15" t="s">
        <v>203</v>
      </c>
      <c r="B25" s="17" t="s">
        <v>37</v>
      </c>
      <c r="C25" s="17" t="s">
        <v>36</v>
      </c>
      <c r="D25" s="22" t="s">
        <v>11</v>
      </c>
      <c r="E25" s="21" t="s">
        <v>205</v>
      </c>
      <c r="F25" s="21">
        <v>49.0</v>
      </c>
      <c r="G25" s="21">
        <v>65.0</v>
      </c>
      <c r="H25" s="21">
        <v>73.0</v>
      </c>
      <c r="I25" s="21">
        <v>89.0</v>
      </c>
      <c r="J25" s="21">
        <v>97.0</v>
      </c>
      <c r="K25" s="23" t="s">
        <v>64</v>
      </c>
      <c r="L25" s="21" t="s">
        <v>206</v>
      </c>
      <c r="M25" s="26" t="s">
        <v>43</v>
      </c>
      <c r="N25" s="17"/>
      <c r="O25" s="17"/>
    </row>
    <row r="26" ht="57.75" customHeight="1">
      <c r="A26" s="15" t="s">
        <v>207</v>
      </c>
      <c r="B26" s="28" t="s">
        <v>37</v>
      </c>
      <c r="C26" s="28" t="s">
        <v>36</v>
      </c>
      <c r="D26" s="22" t="s">
        <v>11</v>
      </c>
      <c r="E26" s="30" t="s">
        <v>209</v>
      </c>
      <c r="F26" s="30">
        <v>8.0</v>
      </c>
      <c r="G26" s="30">
        <v>12.0</v>
      </c>
      <c r="H26" s="30">
        <v>16.0</v>
      </c>
      <c r="I26" s="30">
        <v>20.0</v>
      </c>
      <c r="J26" s="30">
        <v>24.0</v>
      </c>
      <c r="K26" s="31" t="s">
        <v>40</v>
      </c>
      <c r="L26" s="30" t="s">
        <v>212</v>
      </c>
      <c r="M26" s="26" t="s">
        <v>43</v>
      </c>
      <c r="N26" s="28"/>
      <c r="O26" s="28"/>
    </row>
    <row r="27" ht="57.75" customHeight="1">
      <c r="A27" s="15" t="s">
        <v>214</v>
      </c>
      <c r="B27" s="17" t="s">
        <v>37</v>
      </c>
      <c r="C27" s="17" t="s">
        <v>36</v>
      </c>
      <c r="D27" s="22" t="s">
        <v>11</v>
      </c>
      <c r="E27" s="21" t="s">
        <v>215</v>
      </c>
      <c r="F27" s="21">
        <v>2.0</v>
      </c>
      <c r="G27" s="21">
        <v>4.0</v>
      </c>
      <c r="H27" s="21">
        <v>6.0</v>
      </c>
      <c r="I27" s="21">
        <v>8.0</v>
      </c>
      <c r="J27" s="21">
        <v>10.0</v>
      </c>
      <c r="K27" s="23" t="s">
        <v>64</v>
      </c>
      <c r="L27" s="21" t="s">
        <v>217</v>
      </c>
      <c r="M27" s="26" t="s">
        <v>43</v>
      </c>
      <c r="N27" s="17"/>
      <c r="O27" s="17"/>
    </row>
    <row r="28" ht="57.75" customHeight="1">
      <c r="A28" s="15" t="s">
        <v>218</v>
      </c>
      <c r="B28" s="28" t="s">
        <v>37</v>
      </c>
      <c r="C28" s="28" t="s">
        <v>36</v>
      </c>
      <c r="D28" s="22" t="s">
        <v>11</v>
      </c>
      <c r="E28" s="30" t="s">
        <v>219</v>
      </c>
      <c r="F28" s="30">
        <v>24.0</v>
      </c>
      <c r="G28" s="30">
        <v>30.0</v>
      </c>
      <c r="H28" s="30">
        <v>32.0</v>
      </c>
      <c r="I28" s="30">
        <v>36.0</v>
      </c>
      <c r="J28" s="30">
        <v>40.0</v>
      </c>
      <c r="K28" s="31" t="s">
        <v>95</v>
      </c>
      <c r="L28" s="30" t="s">
        <v>221</v>
      </c>
      <c r="M28" s="26" t="s">
        <v>43</v>
      </c>
      <c r="N28" s="28"/>
      <c r="O28" s="28"/>
    </row>
    <row r="29" ht="57.75" customHeight="1">
      <c r="A29" s="15" t="s">
        <v>222</v>
      </c>
      <c r="B29" s="17" t="s">
        <v>37</v>
      </c>
      <c r="C29" s="17" t="s">
        <v>36</v>
      </c>
      <c r="D29" s="22" t="s">
        <v>11</v>
      </c>
      <c r="E29" s="21" t="s">
        <v>224</v>
      </c>
      <c r="F29" s="21">
        <v>10.0</v>
      </c>
      <c r="G29" s="21">
        <v>20.0</v>
      </c>
      <c r="H29" s="21">
        <v>50.0</v>
      </c>
      <c r="I29" s="21">
        <v>100.0</v>
      </c>
      <c r="J29" s="21">
        <v>200.0</v>
      </c>
      <c r="K29" s="23" t="s">
        <v>95</v>
      </c>
      <c r="L29" s="21" t="s">
        <v>225</v>
      </c>
      <c r="M29" s="26" t="s">
        <v>43</v>
      </c>
      <c r="N29" s="17"/>
      <c r="O29" s="17"/>
    </row>
    <row r="30" ht="57.75" customHeight="1">
      <c r="A30" s="15" t="s">
        <v>229</v>
      </c>
      <c r="B30" s="28" t="s">
        <v>37</v>
      </c>
      <c r="C30" s="28" t="s">
        <v>36</v>
      </c>
      <c r="D30" s="22" t="s">
        <v>11</v>
      </c>
      <c r="E30" s="30" t="s">
        <v>231</v>
      </c>
      <c r="F30" s="30">
        <v>-31.0</v>
      </c>
      <c r="G30" s="30">
        <v>-23.0</v>
      </c>
      <c r="H30" s="30">
        <v>-13.0</v>
      </c>
      <c r="I30" s="30">
        <v>13.0</v>
      </c>
      <c r="J30" s="30">
        <v>31.0</v>
      </c>
      <c r="K30" s="31" t="s">
        <v>40</v>
      </c>
      <c r="L30" s="30" t="s">
        <v>235</v>
      </c>
      <c r="M30" s="26" t="s">
        <v>43</v>
      </c>
      <c r="N30" s="28"/>
      <c r="O30" s="28"/>
    </row>
    <row r="31" ht="57.75" customHeight="1">
      <c r="A31" s="15" t="s">
        <v>236</v>
      </c>
      <c r="B31" s="17" t="s">
        <v>37</v>
      </c>
      <c r="C31" s="17" t="s">
        <v>36</v>
      </c>
      <c r="D31" s="22" t="s">
        <v>11</v>
      </c>
      <c r="E31" s="21" t="s">
        <v>238</v>
      </c>
      <c r="F31" s="21" t="s">
        <v>239</v>
      </c>
      <c r="G31" s="21" t="s">
        <v>240</v>
      </c>
      <c r="H31" s="21" t="s">
        <v>241</v>
      </c>
      <c r="I31" s="21" t="s">
        <v>242</v>
      </c>
      <c r="J31" s="21" t="s">
        <v>243</v>
      </c>
      <c r="K31" s="23" t="s">
        <v>95</v>
      </c>
      <c r="L31" s="21" t="s">
        <v>245</v>
      </c>
      <c r="M31" s="26" t="s">
        <v>43</v>
      </c>
      <c r="N31" s="17"/>
      <c r="O31" s="17"/>
    </row>
    <row r="32" ht="57.75" customHeight="1">
      <c r="A32" s="15" t="s">
        <v>246</v>
      </c>
      <c r="B32" s="28" t="s">
        <v>37</v>
      </c>
      <c r="C32" s="28" t="s">
        <v>36</v>
      </c>
      <c r="D32" s="22" t="s">
        <v>11</v>
      </c>
      <c r="E32" s="30" t="s">
        <v>247</v>
      </c>
      <c r="F32" s="30">
        <v>-15.0</v>
      </c>
      <c r="G32" s="30">
        <v>-13.0</v>
      </c>
      <c r="H32" s="30">
        <v>-3.0</v>
      </c>
      <c r="I32" s="30">
        <v>5.0</v>
      </c>
      <c r="J32" s="30">
        <v>15.0</v>
      </c>
      <c r="K32" s="31" t="s">
        <v>64</v>
      </c>
      <c r="L32" s="30" t="s">
        <v>251</v>
      </c>
      <c r="M32" s="26" t="s">
        <v>43</v>
      </c>
      <c r="N32" s="28"/>
      <c r="O32" s="28"/>
    </row>
    <row r="33" ht="57.75" customHeight="1">
      <c r="A33" s="15" t="s">
        <v>252</v>
      </c>
      <c r="B33" s="17" t="s">
        <v>37</v>
      </c>
      <c r="C33" s="17" t="s">
        <v>36</v>
      </c>
      <c r="D33" s="22" t="s">
        <v>11</v>
      </c>
      <c r="E33" s="21" t="s">
        <v>254</v>
      </c>
      <c r="F33" s="21">
        <v>16.0</v>
      </c>
      <c r="G33" s="21">
        <v>24.0</v>
      </c>
      <c r="H33" s="21">
        <v>36.0</v>
      </c>
      <c r="I33" s="21">
        <v>48.0</v>
      </c>
      <c r="J33" s="21">
        <v>64.0</v>
      </c>
      <c r="K33" s="23" t="s">
        <v>95</v>
      </c>
      <c r="L33" s="21" t="s">
        <v>256</v>
      </c>
      <c r="M33" s="26" t="s">
        <v>43</v>
      </c>
      <c r="N33" s="17"/>
      <c r="O33" s="17"/>
    </row>
    <row r="34" ht="57.75" customHeight="1">
      <c r="A34" s="15" t="s">
        <v>257</v>
      </c>
      <c r="B34" s="28" t="s">
        <v>37</v>
      </c>
      <c r="C34" s="28" t="s">
        <v>36</v>
      </c>
      <c r="D34" s="22" t="s">
        <v>11</v>
      </c>
      <c r="E34" s="30" t="s">
        <v>258</v>
      </c>
      <c r="F34" s="30">
        <v>8.0</v>
      </c>
      <c r="G34" s="30">
        <v>12.0</v>
      </c>
      <c r="H34" s="30">
        <v>16.0</v>
      </c>
      <c r="I34" s="30">
        <v>24.0</v>
      </c>
      <c r="J34" s="30">
        <v>32.0</v>
      </c>
      <c r="K34" s="31" t="s">
        <v>95</v>
      </c>
      <c r="L34" s="30" t="s">
        <v>260</v>
      </c>
      <c r="M34" s="26" t="s">
        <v>43</v>
      </c>
      <c r="N34" s="28"/>
      <c r="O34" s="28"/>
    </row>
    <row r="35" ht="57.75" customHeight="1">
      <c r="A35" s="15" t="s">
        <v>262</v>
      </c>
      <c r="B35" s="17" t="s">
        <v>37</v>
      </c>
      <c r="C35" s="17" t="s">
        <v>36</v>
      </c>
      <c r="D35" s="22" t="s">
        <v>11</v>
      </c>
      <c r="E35" s="21" t="s">
        <v>265</v>
      </c>
      <c r="F35" s="21">
        <v>-124.0</v>
      </c>
      <c r="G35" s="21">
        <v>-122.0</v>
      </c>
      <c r="H35" s="21">
        <v>-120.0</v>
      </c>
      <c r="I35" s="21">
        <v>122.0</v>
      </c>
      <c r="J35" s="21">
        <v>124.0</v>
      </c>
      <c r="K35" s="23" t="s">
        <v>40</v>
      </c>
      <c r="L35" s="21" t="s">
        <v>267</v>
      </c>
      <c r="M35" s="26" t="s">
        <v>43</v>
      </c>
      <c r="N35" s="17"/>
      <c r="O35" s="17"/>
    </row>
    <row r="36" ht="57.75" customHeight="1">
      <c r="A36" s="15" t="s">
        <v>268</v>
      </c>
      <c r="B36" s="28" t="s">
        <v>37</v>
      </c>
      <c r="C36" s="28" t="s">
        <v>36</v>
      </c>
      <c r="D36" s="22" t="s">
        <v>11</v>
      </c>
      <c r="E36" s="30" t="s">
        <v>270</v>
      </c>
      <c r="F36" s="30" t="s">
        <v>271</v>
      </c>
      <c r="G36" s="30" t="s">
        <v>272</v>
      </c>
      <c r="H36" s="30" t="s">
        <v>273</v>
      </c>
      <c r="I36" s="30" t="s">
        <v>274</v>
      </c>
      <c r="J36" s="30" t="s">
        <v>275</v>
      </c>
      <c r="K36" s="31" t="s">
        <v>40</v>
      </c>
      <c r="L36" s="30" t="s">
        <v>277</v>
      </c>
      <c r="M36" s="26" t="s">
        <v>43</v>
      </c>
      <c r="N36" s="28"/>
      <c r="O36" s="28"/>
    </row>
    <row r="37" ht="19.5" customHeight="1">
      <c r="A37" s="63" t="s">
        <v>279</v>
      </c>
      <c r="B37" s="3"/>
      <c r="C37" s="3"/>
      <c r="D37" s="3"/>
      <c r="E37" s="3"/>
      <c r="F37" s="3"/>
      <c r="G37" s="3"/>
      <c r="H37" s="3"/>
      <c r="I37" s="3"/>
      <c r="J37" s="3"/>
      <c r="K37" s="3"/>
      <c r="L37" s="3"/>
      <c r="M37" s="3"/>
      <c r="N37" s="3"/>
      <c r="O37" s="4"/>
    </row>
    <row r="38" ht="57.75" customHeight="1">
      <c r="A38" s="15" t="s">
        <v>287</v>
      </c>
      <c r="B38" s="17" t="s">
        <v>37</v>
      </c>
      <c r="C38" s="17" t="s">
        <v>36</v>
      </c>
      <c r="D38" s="24" t="s">
        <v>12</v>
      </c>
      <c r="E38" s="21" t="s">
        <v>290</v>
      </c>
      <c r="F38" s="21">
        <v>48.0</v>
      </c>
      <c r="G38" s="21">
        <v>64.0</v>
      </c>
      <c r="H38" s="21">
        <v>76.0</v>
      </c>
      <c r="I38" s="21">
        <v>82.0</v>
      </c>
      <c r="J38" s="21">
        <v>96.0</v>
      </c>
      <c r="K38" s="23" t="s">
        <v>95</v>
      </c>
      <c r="L38" s="21" t="s">
        <v>293</v>
      </c>
      <c r="M38" s="26" t="s">
        <v>43</v>
      </c>
      <c r="N38" s="17"/>
      <c r="O38" s="17"/>
    </row>
    <row r="39" ht="57.75" customHeight="1">
      <c r="A39" s="15" t="s">
        <v>295</v>
      </c>
      <c r="B39" s="28" t="s">
        <v>37</v>
      </c>
      <c r="C39" s="28" t="s">
        <v>36</v>
      </c>
      <c r="D39" s="24" t="s">
        <v>12</v>
      </c>
      <c r="E39" s="30" t="s">
        <v>296</v>
      </c>
      <c r="F39" s="30" t="s">
        <v>297</v>
      </c>
      <c r="G39" s="30" t="s">
        <v>298</v>
      </c>
      <c r="H39" s="30" t="s">
        <v>299</v>
      </c>
      <c r="I39" s="30" t="s">
        <v>301</v>
      </c>
      <c r="J39" s="30" t="s">
        <v>302</v>
      </c>
      <c r="K39" s="31" t="s">
        <v>40</v>
      </c>
      <c r="L39" s="30" t="s">
        <v>304</v>
      </c>
      <c r="M39" s="26" t="s">
        <v>43</v>
      </c>
      <c r="N39" s="28"/>
      <c r="O39" s="28"/>
    </row>
    <row r="40" ht="57.75" customHeight="1">
      <c r="A40" s="15" t="s">
        <v>305</v>
      </c>
      <c r="B40" s="17" t="s">
        <v>37</v>
      </c>
      <c r="C40" s="17" t="s">
        <v>36</v>
      </c>
      <c r="D40" s="24" t="s">
        <v>12</v>
      </c>
      <c r="E40" s="21" t="s">
        <v>307</v>
      </c>
      <c r="F40" s="21">
        <v>4.0</v>
      </c>
      <c r="G40" s="21">
        <v>6.0</v>
      </c>
      <c r="H40" s="21">
        <v>8.0</v>
      </c>
      <c r="I40" s="21">
        <v>12.0</v>
      </c>
      <c r="J40" s="21">
        <v>16.0</v>
      </c>
      <c r="K40" s="23" t="s">
        <v>95</v>
      </c>
      <c r="L40" s="21" t="s">
        <v>309</v>
      </c>
      <c r="M40" s="26" t="s">
        <v>43</v>
      </c>
      <c r="N40" s="17"/>
      <c r="O40" s="17"/>
    </row>
    <row r="41" ht="57.75" customHeight="1">
      <c r="A41" s="15" t="s">
        <v>310</v>
      </c>
      <c r="B41" s="28" t="s">
        <v>37</v>
      </c>
      <c r="C41" s="28" t="s">
        <v>36</v>
      </c>
      <c r="D41" s="24" t="s">
        <v>12</v>
      </c>
      <c r="E41" s="30" t="s">
        <v>313</v>
      </c>
      <c r="F41" s="30" t="s">
        <v>315</v>
      </c>
      <c r="G41" s="30" t="s">
        <v>316</v>
      </c>
      <c r="H41" s="30" t="s">
        <v>318</v>
      </c>
      <c r="I41" s="30" t="s">
        <v>320</v>
      </c>
      <c r="J41" s="30" t="s">
        <v>321</v>
      </c>
      <c r="K41" s="31" t="s">
        <v>117</v>
      </c>
      <c r="L41" s="30" t="s">
        <v>323</v>
      </c>
      <c r="M41" s="26" t="s">
        <v>43</v>
      </c>
      <c r="N41" s="28"/>
      <c r="O41" s="28"/>
    </row>
    <row r="42" ht="57.75" customHeight="1">
      <c r="A42" s="15" t="s">
        <v>325</v>
      </c>
      <c r="B42" s="17" t="s">
        <v>37</v>
      </c>
      <c r="C42" s="17" t="s">
        <v>36</v>
      </c>
      <c r="D42" s="24" t="s">
        <v>12</v>
      </c>
      <c r="E42" s="21" t="s">
        <v>326</v>
      </c>
      <c r="F42" s="21">
        <v>64.0</v>
      </c>
      <c r="G42" s="21">
        <v>68.0</v>
      </c>
      <c r="H42" s="21">
        <v>72.0</v>
      </c>
      <c r="I42" s="21">
        <v>80.0</v>
      </c>
      <c r="J42" s="21">
        <v>88.0</v>
      </c>
      <c r="K42" s="23" t="s">
        <v>95</v>
      </c>
      <c r="L42" s="21" t="s">
        <v>328</v>
      </c>
      <c r="M42" s="26" t="s">
        <v>43</v>
      </c>
      <c r="N42" s="17"/>
      <c r="O42" s="17"/>
    </row>
    <row r="43" ht="57.75" customHeight="1">
      <c r="A43" s="15" t="s">
        <v>331</v>
      </c>
      <c r="B43" s="28" t="s">
        <v>37</v>
      </c>
      <c r="C43" s="28" t="s">
        <v>36</v>
      </c>
      <c r="D43" s="24" t="s">
        <v>12</v>
      </c>
      <c r="E43" s="30" t="s">
        <v>334</v>
      </c>
      <c r="F43" s="30">
        <v>2.0</v>
      </c>
      <c r="G43" s="30">
        <v>4.0</v>
      </c>
      <c r="H43" s="30">
        <v>6.0</v>
      </c>
      <c r="I43" s="30">
        <v>8.0</v>
      </c>
      <c r="J43" s="30">
        <v>10.0</v>
      </c>
      <c r="K43" s="31" t="s">
        <v>40</v>
      </c>
      <c r="L43" s="30" t="s">
        <v>338</v>
      </c>
      <c r="M43" s="26" t="s">
        <v>43</v>
      </c>
      <c r="N43" s="28"/>
      <c r="O43" s="28"/>
    </row>
    <row r="44" ht="57.75" customHeight="1">
      <c r="A44" s="15" t="s">
        <v>339</v>
      </c>
      <c r="B44" s="17" t="s">
        <v>37</v>
      </c>
      <c r="C44" s="17" t="s">
        <v>36</v>
      </c>
      <c r="D44" s="24" t="s">
        <v>12</v>
      </c>
      <c r="E44" s="21" t="s">
        <v>340</v>
      </c>
      <c r="F44" s="21" t="s">
        <v>297</v>
      </c>
      <c r="G44" s="21" t="s">
        <v>342</v>
      </c>
      <c r="H44" s="21" t="s">
        <v>299</v>
      </c>
      <c r="I44" s="21" t="s">
        <v>301</v>
      </c>
      <c r="J44" s="21" t="s">
        <v>302</v>
      </c>
      <c r="K44" s="23" t="s">
        <v>95</v>
      </c>
      <c r="L44" s="21" t="s">
        <v>343</v>
      </c>
      <c r="M44" s="26" t="s">
        <v>43</v>
      </c>
      <c r="N44" s="17"/>
      <c r="O44" s="17"/>
    </row>
    <row r="45" ht="57.75" customHeight="1">
      <c r="A45" s="15" t="s">
        <v>344</v>
      </c>
      <c r="B45" s="28" t="s">
        <v>37</v>
      </c>
      <c r="C45" s="28" t="s">
        <v>36</v>
      </c>
      <c r="D45" s="24" t="s">
        <v>12</v>
      </c>
      <c r="E45" s="30" t="s">
        <v>345</v>
      </c>
      <c r="F45" s="30">
        <v>8.0</v>
      </c>
      <c r="G45" s="30">
        <v>12.0</v>
      </c>
      <c r="H45" s="30">
        <v>16.0</v>
      </c>
      <c r="I45" s="30">
        <v>24.0</v>
      </c>
      <c r="J45" s="30">
        <v>32.0</v>
      </c>
      <c r="K45" s="31" t="s">
        <v>95</v>
      </c>
      <c r="L45" s="30" t="s">
        <v>347</v>
      </c>
      <c r="M45" s="26" t="s">
        <v>43</v>
      </c>
      <c r="N45" s="28"/>
      <c r="O45" s="28"/>
    </row>
    <row r="46" ht="57.75" customHeight="1">
      <c r="A46" s="15" t="s">
        <v>348</v>
      </c>
      <c r="B46" s="17" t="s">
        <v>37</v>
      </c>
      <c r="C46" s="17" t="s">
        <v>36</v>
      </c>
      <c r="D46" s="24" t="s">
        <v>12</v>
      </c>
      <c r="E46" s="21" t="s">
        <v>349</v>
      </c>
      <c r="F46" s="21" t="s">
        <v>315</v>
      </c>
      <c r="G46" s="21" t="s">
        <v>316</v>
      </c>
      <c r="H46" s="21" t="s">
        <v>318</v>
      </c>
      <c r="I46" s="21" t="s">
        <v>320</v>
      </c>
      <c r="J46" s="21" t="s">
        <v>321</v>
      </c>
      <c r="K46" s="23" t="s">
        <v>117</v>
      </c>
      <c r="L46" s="21" t="s">
        <v>350</v>
      </c>
      <c r="M46" s="26" t="s">
        <v>43</v>
      </c>
      <c r="N46" s="17"/>
      <c r="O46" s="17"/>
    </row>
    <row r="47" ht="57.75" customHeight="1">
      <c r="A47" s="15" t="s">
        <v>352</v>
      </c>
      <c r="B47" s="28" t="s">
        <v>37</v>
      </c>
      <c r="C47" s="28" t="s">
        <v>36</v>
      </c>
      <c r="D47" s="24" t="s">
        <v>12</v>
      </c>
      <c r="E47" s="30" t="s">
        <v>353</v>
      </c>
      <c r="F47" s="30">
        <v>520.0</v>
      </c>
      <c r="G47" s="30">
        <v>550.0</v>
      </c>
      <c r="H47" s="30">
        <v>590.0</v>
      </c>
      <c r="I47" s="30">
        <v>630.0</v>
      </c>
      <c r="J47" s="30">
        <v>670.0</v>
      </c>
      <c r="K47" s="31" t="s">
        <v>95</v>
      </c>
      <c r="L47" s="30" t="s">
        <v>355</v>
      </c>
      <c r="M47" s="26" t="s">
        <v>43</v>
      </c>
      <c r="N47" s="28"/>
      <c r="O47" s="28"/>
    </row>
    <row r="48" ht="57.75" customHeight="1">
      <c r="A48" s="15" t="s">
        <v>356</v>
      </c>
      <c r="B48" s="17" t="s">
        <v>37</v>
      </c>
      <c r="C48" s="17" t="s">
        <v>36</v>
      </c>
      <c r="D48" s="24" t="s">
        <v>12</v>
      </c>
      <c r="E48" s="21" t="s">
        <v>357</v>
      </c>
      <c r="F48" s="21">
        <v>19.0</v>
      </c>
      <c r="G48" s="21">
        <v>22.0</v>
      </c>
      <c r="H48" s="21">
        <v>25.0</v>
      </c>
      <c r="I48" s="21">
        <v>28.0</v>
      </c>
      <c r="J48" s="21">
        <v>31.0</v>
      </c>
      <c r="K48" s="23" t="s">
        <v>95</v>
      </c>
      <c r="L48" s="21" t="s">
        <v>359</v>
      </c>
      <c r="M48" s="26" t="s">
        <v>43</v>
      </c>
      <c r="N48" s="17"/>
      <c r="O48" s="17"/>
    </row>
    <row r="49" ht="57.75" customHeight="1">
      <c r="A49" s="15" t="s">
        <v>360</v>
      </c>
      <c r="B49" s="28" t="s">
        <v>37</v>
      </c>
      <c r="C49" s="28" t="s">
        <v>36</v>
      </c>
      <c r="D49" s="24" t="s">
        <v>12</v>
      </c>
      <c r="E49" s="30" t="s">
        <v>361</v>
      </c>
      <c r="F49" s="30" t="s">
        <v>297</v>
      </c>
      <c r="G49" s="30" t="s">
        <v>342</v>
      </c>
      <c r="H49" s="30" t="s">
        <v>299</v>
      </c>
      <c r="I49" s="30" t="s">
        <v>301</v>
      </c>
      <c r="J49" s="30" t="s">
        <v>302</v>
      </c>
      <c r="K49" s="31" t="s">
        <v>40</v>
      </c>
      <c r="L49" s="30" t="s">
        <v>364</v>
      </c>
      <c r="M49" s="26" t="s">
        <v>43</v>
      </c>
      <c r="N49" s="28"/>
      <c r="O49" s="28"/>
    </row>
    <row r="50" ht="57.75" customHeight="1">
      <c r="A50" s="15" t="s">
        <v>366</v>
      </c>
      <c r="B50" s="17" t="s">
        <v>37</v>
      </c>
      <c r="C50" s="17" t="s">
        <v>36</v>
      </c>
      <c r="D50" s="24" t="s">
        <v>12</v>
      </c>
      <c r="E50" s="21" t="s">
        <v>370</v>
      </c>
      <c r="F50" s="21">
        <v>15.0</v>
      </c>
      <c r="G50" s="21">
        <v>20.0</v>
      </c>
      <c r="H50" s="21">
        <v>25.0</v>
      </c>
      <c r="I50" s="21">
        <v>30.0</v>
      </c>
      <c r="J50" s="21">
        <v>35.0</v>
      </c>
      <c r="K50" s="23" t="s">
        <v>95</v>
      </c>
      <c r="L50" s="21" t="s">
        <v>373</v>
      </c>
      <c r="M50" s="26" t="s">
        <v>43</v>
      </c>
      <c r="N50" s="17"/>
      <c r="O50" s="17"/>
    </row>
    <row r="51" ht="57.75" customHeight="1">
      <c r="A51" s="15" t="s">
        <v>374</v>
      </c>
      <c r="B51" s="28" t="s">
        <v>37</v>
      </c>
      <c r="C51" s="28" t="s">
        <v>36</v>
      </c>
      <c r="D51" s="24" t="s">
        <v>12</v>
      </c>
      <c r="E51" s="30" t="s">
        <v>376</v>
      </c>
      <c r="F51" s="30" t="s">
        <v>315</v>
      </c>
      <c r="G51" s="30" t="s">
        <v>316</v>
      </c>
      <c r="H51" s="30" t="s">
        <v>318</v>
      </c>
      <c r="I51" s="30" t="s">
        <v>320</v>
      </c>
      <c r="J51" s="30" t="s">
        <v>321</v>
      </c>
      <c r="K51" s="31" t="s">
        <v>117</v>
      </c>
      <c r="L51" s="30" t="s">
        <v>379</v>
      </c>
      <c r="M51" s="26" t="s">
        <v>43</v>
      </c>
      <c r="N51" s="28"/>
      <c r="O51" s="28"/>
    </row>
    <row r="52" ht="57.75" customHeight="1">
      <c r="A52" s="15" t="s">
        <v>380</v>
      </c>
      <c r="B52" s="17" t="s">
        <v>37</v>
      </c>
      <c r="C52" s="17" t="s">
        <v>36</v>
      </c>
      <c r="D52" s="24" t="s">
        <v>12</v>
      </c>
      <c r="E52" s="21" t="s">
        <v>381</v>
      </c>
      <c r="F52" s="21">
        <v>140.0</v>
      </c>
      <c r="G52" s="21">
        <v>150.0</v>
      </c>
      <c r="H52" s="21">
        <v>160.0</v>
      </c>
      <c r="I52" s="21">
        <v>170.0</v>
      </c>
      <c r="J52" s="21">
        <v>180.0</v>
      </c>
      <c r="K52" s="23" t="s">
        <v>95</v>
      </c>
      <c r="L52" s="21" t="s">
        <v>383</v>
      </c>
      <c r="M52" s="26" t="s">
        <v>43</v>
      </c>
      <c r="N52" s="17"/>
      <c r="O52" s="17"/>
    </row>
    <row r="53" ht="25.5" customHeight="1">
      <c r="A53" s="55" t="s">
        <v>390</v>
      </c>
      <c r="B53" s="57"/>
      <c r="C53" s="57"/>
      <c r="D53" s="57"/>
      <c r="E53" s="57"/>
      <c r="F53" s="57"/>
      <c r="G53" s="57"/>
      <c r="H53" s="57"/>
      <c r="I53" s="57"/>
      <c r="J53" s="58"/>
      <c r="M53" s="71">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2" t="s">
        <v>2</v>
      </c>
      <c r="B1" s="3"/>
      <c r="C1" s="3"/>
      <c r="D1" s="3"/>
      <c r="E1" s="3"/>
      <c r="F1" s="3"/>
      <c r="G1" s="3"/>
      <c r="H1" s="3"/>
      <c r="I1" s="3"/>
      <c r="J1" s="3"/>
      <c r="K1" s="3"/>
      <c r="L1" s="3"/>
      <c r="M1" s="3"/>
      <c r="N1" s="3"/>
      <c r="O1" s="4"/>
    </row>
    <row r="2" ht="30.0" customHeight="1">
      <c r="A2" s="5" t="s">
        <v>10</v>
      </c>
      <c r="B2" s="3"/>
      <c r="C2" s="3"/>
      <c r="D2" s="3"/>
      <c r="E2" s="3"/>
      <c r="F2" s="3"/>
      <c r="G2" s="3"/>
      <c r="H2" s="3"/>
      <c r="I2" s="3"/>
      <c r="J2" s="3"/>
      <c r="K2" s="3"/>
      <c r="L2" s="3"/>
      <c r="M2" s="3"/>
      <c r="N2" s="3"/>
      <c r="O2" s="4"/>
    </row>
    <row r="3" ht="19.5" customHeight="1">
      <c r="A3" s="7" t="s">
        <v>6</v>
      </c>
      <c r="B3" s="3"/>
      <c r="C3" s="3"/>
      <c r="D3" s="3"/>
      <c r="E3" s="3"/>
      <c r="F3" s="3"/>
      <c r="G3" s="3"/>
      <c r="H3" s="3"/>
      <c r="I3" s="3"/>
      <c r="J3" s="3"/>
      <c r="K3" s="3"/>
      <c r="L3" s="3"/>
      <c r="M3" s="3"/>
      <c r="N3" s="3"/>
      <c r="O3" s="4"/>
    </row>
    <row r="4" ht="24.75" customHeight="1">
      <c r="A4" s="9" t="s">
        <v>8</v>
      </c>
      <c r="B4" s="9" t="s">
        <v>7</v>
      </c>
      <c r="C4" s="9" t="s">
        <v>13</v>
      </c>
      <c r="D4" s="9" t="s">
        <v>15</v>
      </c>
      <c r="E4" s="9" t="s">
        <v>17</v>
      </c>
      <c r="F4" s="9" t="s">
        <v>18</v>
      </c>
      <c r="G4" s="9" t="s">
        <v>20</v>
      </c>
      <c r="H4" s="9" t="s">
        <v>21</v>
      </c>
      <c r="I4" s="9" t="s">
        <v>22</v>
      </c>
      <c r="J4" s="9" t="s">
        <v>23</v>
      </c>
      <c r="K4" s="9" t="s">
        <v>25</v>
      </c>
      <c r="L4" s="9" t="s">
        <v>26</v>
      </c>
      <c r="M4" s="9" t="s">
        <v>19</v>
      </c>
      <c r="N4" s="9" t="s">
        <v>27</v>
      </c>
      <c r="O4" s="9" t="s">
        <v>28</v>
      </c>
    </row>
    <row r="5" ht="19.5" customHeight="1">
      <c r="A5" s="13" t="s">
        <v>29</v>
      </c>
      <c r="B5" s="3"/>
      <c r="C5" s="3"/>
      <c r="D5" s="3"/>
      <c r="E5" s="3"/>
      <c r="F5" s="3"/>
      <c r="G5" s="3"/>
      <c r="H5" s="3"/>
      <c r="I5" s="3"/>
      <c r="J5" s="3"/>
      <c r="K5" s="3"/>
      <c r="L5" s="3"/>
      <c r="M5" s="3"/>
      <c r="N5" s="3"/>
      <c r="O5" s="4"/>
    </row>
    <row r="6" ht="57.75" customHeight="1">
      <c r="A6" s="15" t="s">
        <v>48</v>
      </c>
      <c r="B6" s="17" t="s">
        <v>46</v>
      </c>
      <c r="C6" s="17" t="s">
        <v>36</v>
      </c>
      <c r="D6" s="19" t="s">
        <v>9</v>
      </c>
      <c r="E6" s="21" t="s">
        <v>60</v>
      </c>
      <c r="F6" s="35">
        <v>46024.0</v>
      </c>
      <c r="G6" s="35">
        <v>46056.0</v>
      </c>
      <c r="H6" s="35">
        <v>46085.0</v>
      </c>
      <c r="I6" s="35">
        <v>46117.0</v>
      </c>
      <c r="J6" s="35">
        <v>46148.0</v>
      </c>
      <c r="K6" s="23" t="s">
        <v>95</v>
      </c>
      <c r="L6" s="21" t="s">
        <v>98</v>
      </c>
      <c r="M6" s="26" t="s">
        <v>43</v>
      </c>
      <c r="N6" s="17"/>
      <c r="O6" s="17"/>
    </row>
    <row r="7" ht="57.75" customHeight="1">
      <c r="A7" s="15" t="s">
        <v>110</v>
      </c>
      <c r="B7" s="28" t="s">
        <v>46</v>
      </c>
      <c r="C7" s="28" t="s">
        <v>36</v>
      </c>
      <c r="D7" s="19" t="s">
        <v>9</v>
      </c>
      <c r="E7" s="30" t="s">
        <v>119</v>
      </c>
      <c r="F7" s="40">
        <v>46121.0</v>
      </c>
      <c r="G7" s="30" t="s">
        <v>125</v>
      </c>
      <c r="H7" s="30" t="s">
        <v>127</v>
      </c>
      <c r="I7" s="40">
        <v>46213.0</v>
      </c>
      <c r="J7" s="40">
        <v>46132.0</v>
      </c>
      <c r="K7" s="31" t="s">
        <v>64</v>
      </c>
      <c r="L7" s="30" t="s">
        <v>140</v>
      </c>
      <c r="M7" s="26" t="s">
        <v>43</v>
      </c>
      <c r="N7" s="28"/>
      <c r="O7" s="28"/>
    </row>
    <row r="8" ht="57.75" customHeight="1">
      <c r="A8" s="15" t="s">
        <v>150</v>
      </c>
      <c r="B8" s="17" t="s">
        <v>46</v>
      </c>
      <c r="C8" s="17" t="s">
        <v>36</v>
      </c>
      <c r="D8" s="19" t="s">
        <v>9</v>
      </c>
      <c r="E8" s="21" t="s">
        <v>154</v>
      </c>
      <c r="F8" s="21" t="s">
        <v>155</v>
      </c>
      <c r="G8" s="35">
        <v>46316.0</v>
      </c>
      <c r="H8" s="35">
        <v>46278.0</v>
      </c>
      <c r="I8" s="21" t="s">
        <v>157</v>
      </c>
      <c r="J8" s="21" t="s">
        <v>159</v>
      </c>
      <c r="K8" s="23" t="s">
        <v>64</v>
      </c>
      <c r="L8" s="21" t="s">
        <v>163</v>
      </c>
      <c r="M8" s="26" t="s">
        <v>43</v>
      </c>
      <c r="N8" s="17"/>
      <c r="O8" s="17"/>
    </row>
    <row r="9" ht="57.75" customHeight="1">
      <c r="A9" s="15" t="s">
        <v>165</v>
      </c>
      <c r="B9" s="28" t="s">
        <v>46</v>
      </c>
      <c r="C9" s="28" t="s">
        <v>36</v>
      </c>
      <c r="D9" s="19" t="s">
        <v>9</v>
      </c>
      <c r="E9" s="30" t="s">
        <v>167</v>
      </c>
      <c r="F9" s="40">
        <v>46261.0</v>
      </c>
      <c r="G9" s="40">
        <v>46083.0</v>
      </c>
      <c r="H9" s="40">
        <v>46056.0</v>
      </c>
      <c r="I9" s="40">
        <v>46182.0</v>
      </c>
      <c r="J9" s="40">
        <v>46243.0</v>
      </c>
      <c r="K9" s="31" t="s">
        <v>64</v>
      </c>
      <c r="L9" s="30" t="s">
        <v>170</v>
      </c>
      <c r="M9" s="26" t="s">
        <v>43</v>
      </c>
      <c r="N9" s="28"/>
      <c r="O9" s="28"/>
    </row>
    <row r="10" ht="57.75" customHeight="1">
      <c r="A10" s="15" t="s">
        <v>172</v>
      </c>
      <c r="B10" s="17" t="s">
        <v>46</v>
      </c>
      <c r="C10" s="17" t="s">
        <v>36</v>
      </c>
      <c r="D10" s="19" t="s">
        <v>9</v>
      </c>
      <c r="E10" s="21" t="s">
        <v>177</v>
      </c>
      <c r="F10" s="21" t="s">
        <v>178</v>
      </c>
      <c r="G10" s="49">
        <v>825.0</v>
      </c>
      <c r="H10" s="21" t="s">
        <v>185</v>
      </c>
      <c r="I10" s="49">
        <v>875.0</v>
      </c>
      <c r="J10" s="21" t="s">
        <v>187</v>
      </c>
      <c r="K10" s="23" t="s">
        <v>117</v>
      </c>
      <c r="L10" s="21" t="s">
        <v>190</v>
      </c>
      <c r="M10" s="26" t="s">
        <v>43</v>
      </c>
      <c r="N10" s="17"/>
      <c r="O10" s="17"/>
    </row>
    <row r="11" ht="57.75" customHeight="1">
      <c r="A11" s="15" t="s">
        <v>193</v>
      </c>
      <c r="B11" s="28" t="s">
        <v>46</v>
      </c>
      <c r="C11" s="28" t="s">
        <v>36</v>
      </c>
      <c r="D11" s="19" t="s">
        <v>9</v>
      </c>
      <c r="E11" s="30" t="s">
        <v>197</v>
      </c>
      <c r="F11" s="53">
        <v>0.15</v>
      </c>
      <c r="G11" s="53">
        <v>0.2</v>
      </c>
      <c r="H11" s="53">
        <v>0.25</v>
      </c>
      <c r="I11" s="53">
        <v>0.3</v>
      </c>
      <c r="J11" s="53">
        <v>0.35</v>
      </c>
      <c r="K11" s="31" t="s">
        <v>40</v>
      </c>
      <c r="L11" s="30" t="s">
        <v>208</v>
      </c>
      <c r="M11" s="26" t="s">
        <v>43</v>
      </c>
      <c r="N11" s="28"/>
      <c r="O11" s="28"/>
    </row>
    <row r="12" ht="57.75" customHeight="1">
      <c r="A12" s="15" t="s">
        <v>211</v>
      </c>
      <c r="B12" s="17" t="s">
        <v>46</v>
      </c>
      <c r="C12" s="17" t="s">
        <v>36</v>
      </c>
      <c r="D12" s="19" t="s">
        <v>9</v>
      </c>
      <c r="E12" s="21" t="s">
        <v>216</v>
      </c>
      <c r="F12" s="35">
        <v>46056.0</v>
      </c>
      <c r="G12" s="35">
        <v>46086.0</v>
      </c>
      <c r="H12" s="35">
        <v>46150.0</v>
      </c>
      <c r="I12" s="35">
        <v>46024.0</v>
      </c>
      <c r="J12" s="35">
        <v>46215.0</v>
      </c>
      <c r="K12" s="23" t="s">
        <v>40</v>
      </c>
      <c r="L12" s="21" t="s">
        <v>220</v>
      </c>
      <c r="M12" s="26" t="s">
        <v>43</v>
      </c>
      <c r="N12" s="17"/>
      <c r="O12" s="17"/>
    </row>
    <row r="13" ht="57.75" customHeight="1">
      <c r="A13" s="15" t="s">
        <v>223</v>
      </c>
      <c r="B13" s="28" t="s">
        <v>46</v>
      </c>
      <c r="C13" s="28" t="s">
        <v>36</v>
      </c>
      <c r="D13" s="19" t="s">
        <v>9</v>
      </c>
      <c r="E13" s="30" t="s">
        <v>226</v>
      </c>
      <c r="F13" s="30" t="s">
        <v>228</v>
      </c>
      <c r="G13" s="30" t="s">
        <v>230</v>
      </c>
      <c r="H13" s="30" t="s">
        <v>232</v>
      </c>
      <c r="I13" s="30" t="s">
        <v>233</v>
      </c>
      <c r="J13" s="30" t="s">
        <v>234</v>
      </c>
      <c r="K13" s="31" t="s">
        <v>95</v>
      </c>
      <c r="L13" s="30" t="s">
        <v>237</v>
      </c>
      <c r="M13" s="26" t="s">
        <v>43</v>
      </c>
      <c r="N13" s="28"/>
      <c r="O13" s="28"/>
    </row>
    <row r="14" ht="57.75" customHeight="1">
      <c r="A14" s="15" t="s">
        <v>244</v>
      </c>
      <c r="B14" s="17" t="s">
        <v>46</v>
      </c>
      <c r="C14" s="17" t="s">
        <v>36</v>
      </c>
      <c r="D14" s="19" t="s">
        <v>9</v>
      </c>
      <c r="E14" s="21" t="s">
        <v>248</v>
      </c>
      <c r="F14" s="21" t="s">
        <v>249</v>
      </c>
      <c r="G14" s="21" t="s">
        <v>250</v>
      </c>
      <c r="H14" s="49">
        <v>9.0</v>
      </c>
      <c r="I14" s="21" t="s">
        <v>253</v>
      </c>
      <c r="J14" s="49">
        <v>95.0</v>
      </c>
      <c r="K14" s="23" t="s">
        <v>40</v>
      </c>
      <c r="L14" s="21" t="s">
        <v>255</v>
      </c>
      <c r="M14" s="26" t="s">
        <v>43</v>
      </c>
      <c r="N14" s="17"/>
      <c r="O14" s="17"/>
    </row>
    <row r="15" ht="57.75" customHeight="1">
      <c r="A15" s="15" t="s">
        <v>259</v>
      </c>
      <c r="B15" s="28" t="s">
        <v>46</v>
      </c>
      <c r="C15" s="28" t="s">
        <v>36</v>
      </c>
      <c r="D15" s="19" t="s">
        <v>9</v>
      </c>
      <c r="E15" s="30" t="s">
        <v>263</v>
      </c>
      <c r="F15" s="30" t="s">
        <v>264</v>
      </c>
      <c r="G15" s="30">
        <v>8.0</v>
      </c>
      <c r="H15" s="30">
        <v>80.0</v>
      </c>
      <c r="I15" s="30" t="s">
        <v>266</v>
      </c>
      <c r="J15" s="30">
        <v>800.0</v>
      </c>
      <c r="K15" s="31" t="s">
        <v>64</v>
      </c>
      <c r="L15" s="30" t="s">
        <v>269</v>
      </c>
      <c r="M15" s="26" t="s">
        <v>43</v>
      </c>
      <c r="N15" s="28"/>
      <c r="O15" s="28"/>
    </row>
    <row r="16" ht="57.75" customHeight="1">
      <c r="A16" s="15" t="s">
        <v>276</v>
      </c>
      <c r="B16" s="17" t="s">
        <v>46</v>
      </c>
      <c r="C16" s="17" t="s">
        <v>36</v>
      </c>
      <c r="D16" s="19" t="s">
        <v>9</v>
      </c>
      <c r="E16" s="21" t="s">
        <v>280</v>
      </c>
      <c r="F16" s="35">
        <v>46331.0</v>
      </c>
      <c r="G16" s="21" t="s">
        <v>281</v>
      </c>
      <c r="H16" s="21" t="s">
        <v>282</v>
      </c>
      <c r="I16" s="21" t="s">
        <v>283</v>
      </c>
      <c r="J16" s="21" t="s">
        <v>285</v>
      </c>
      <c r="K16" s="23" t="s">
        <v>95</v>
      </c>
      <c r="L16" s="21" t="s">
        <v>286</v>
      </c>
      <c r="M16" s="26" t="s">
        <v>43</v>
      </c>
      <c r="N16" s="17"/>
      <c r="O16" s="17"/>
    </row>
    <row r="17" ht="57.75" customHeight="1">
      <c r="A17" s="15" t="s">
        <v>288</v>
      </c>
      <c r="B17" s="28" t="s">
        <v>46</v>
      </c>
      <c r="C17" s="28" t="s">
        <v>36</v>
      </c>
      <c r="D17" s="19" t="s">
        <v>9</v>
      </c>
      <c r="E17" s="30" t="s">
        <v>289</v>
      </c>
      <c r="F17" s="40">
        <v>46060.0</v>
      </c>
      <c r="G17" s="40">
        <v>46088.0</v>
      </c>
      <c r="H17" s="40">
        <v>46119.0</v>
      </c>
      <c r="I17" s="40">
        <v>46149.0</v>
      </c>
      <c r="J17" s="40">
        <v>46180.0</v>
      </c>
      <c r="K17" s="31" t="s">
        <v>95</v>
      </c>
      <c r="L17" s="30" t="s">
        <v>292</v>
      </c>
      <c r="M17" s="26" t="s">
        <v>43</v>
      </c>
      <c r="N17" s="28"/>
      <c r="O17" s="28"/>
    </row>
    <row r="18" ht="57.75" customHeight="1">
      <c r="A18" s="15" t="s">
        <v>294</v>
      </c>
      <c r="B18" s="17" t="s">
        <v>46</v>
      </c>
      <c r="C18" s="17" t="s">
        <v>36</v>
      </c>
      <c r="D18" s="19" t="s">
        <v>9</v>
      </c>
      <c r="E18" s="21" t="s">
        <v>300</v>
      </c>
      <c r="F18" s="35">
        <v>46122.0</v>
      </c>
      <c r="G18" s="35">
        <v>46121.0</v>
      </c>
      <c r="H18" s="35">
        <v>46117.0</v>
      </c>
      <c r="I18" s="35">
        <v>46058.0</v>
      </c>
      <c r="J18" s="35">
        <v>46123.0</v>
      </c>
      <c r="K18" s="23" t="s">
        <v>64</v>
      </c>
      <c r="L18" s="21" t="s">
        <v>306</v>
      </c>
      <c r="M18" s="26" t="s">
        <v>43</v>
      </c>
      <c r="N18" s="17"/>
      <c r="O18" s="17"/>
    </row>
    <row r="19" ht="57.75" customHeight="1">
      <c r="A19" s="15" t="s">
        <v>308</v>
      </c>
      <c r="B19" s="28" t="s">
        <v>46</v>
      </c>
      <c r="C19" s="28" t="s">
        <v>36</v>
      </c>
      <c r="D19" s="19" t="s">
        <v>9</v>
      </c>
      <c r="E19" s="30" t="s">
        <v>311</v>
      </c>
      <c r="F19" s="30" t="s">
        <v>312</v>
      </c>
      <c r="G19" s="30" t="s">
        <v>314</v>
      </c>
      <c r="H19" s="30" t="s">
        <v>317</v>
      </c>
      <c r="I19" s="30" t="s">
        <v>319</v>
      </c>
      <c r="J19" s="30" t="s">
        <v>322</v>
      </c>
      <c r="K19" s="31" t="s">
        <v>64</v>
      </c>
      <c r="L19" s="30" t="s">
        <v>324</v>
      </c>
      <c r="M19" s="26" t="s">
        <v>43</v>
      </c>
      <c r="N19" s="28"/>
      <c r="O19" s="28"/>
    </row>
    <row r="20" ht="57.75" customHeight="1">
      <c r="A20" s="15" t="s">
        <v>327</v>
      </c>
      <c r="B20" s="17" t="s">
        <v>46</v>
      </c>
      <c r="C20" s="17" t="s">
        <v>36</v>
      </c>
      <c r="D20" s="19" t="s">
        <v>9</v>
      </c>
      <c r="E20" s="21" t="s">
        <v>329</v>
      </c>
      <c r="F20" s="21" t="s">
        <v>330</v>
      </c>
      <c r="G20" s="21" t="s">
        <v>332</v>
      </c>
      <c r="H20" s="21" t="s">
        <v>333</v>
      </c>
      <c r="I20" s="21" t="s">
        <v>335</v>
      </c>
      <c r="J20" s="21" t="s">
        <v>336</v>
      </c>
      <c r="K20" s="23" t="s">
        <v>64</v>
      </c>
      <c r="L20" s="21" t="s">
        <v>337</v>
      </c>
      <c r="M20" s="26" t="s">
        <v>43</v>
      </c>
      <c r="N20" s="17"/>
      <c r="O20" s="17"/>
    </row>
    <row r="21" ht="19.5" customHeight="1">
      <c r="A21" s="46" t="s">
        <v>166</v>
      </c>
      <c r="B21" s="3"/>
      <c r="C21" s="3"/>
      <c r="D21" s="3"/>
      <c r="E21" s="3"/>
      <c r="F21" s="3"/>
      <c r="G21" s="3"/>
      <c r="H21" s="3"/>
      <c r="I21" s="3"/>
      <c r="J21" s="3"/>
      <c r="K21" s="3"/>
      <c r="L21" s="3"/>
      <c r="M21" s="3"/>
      <c r="N21" s="3"/>
      <c r="O21" s="4"/>
    </row>
    <row r="22" ht="57.75" customHeight="1">
      <c r="A22" s="15" t="s">
        <v>358</v>
      </c>
      <c r="B22" s="28" t="s">
        <v>46</v>
      </c>
      <c r="C22" s="28" t="s">
        <v>36</v>
      </c>
      <c r="D22" s="22" t="s">
        <v>11</v>
      </c>
      <c r="E22" s="30" t="s">
        <v>362</v>
      </c>
      <c r="F22" s="30" t="s">
        <v>363</v>
      </c>
      <c r="G22" s="30" t="s">
        <v>365</v>
      </c>
      <c r="H22" s="30" t="s">
        <v>367</v>
      </c>
      <c r="I22" s="30" t="s">
        <v>368</v>
      </c>
      <c r="J22" s="30" t="s">
        <v>369</v>
      </c>
      <c r="K22" s="31" t="s">
        <v>64</v>
      </c>
      <c r="L22" s="30" t="s">
        <v>371</v>
      </c>
      <c r="M22" s="26" t="s">
        <v>43</v>
      </c>
      <c r="N22" s="28"/>
      <c r="O22" s="28"/>
    </row>
    <row r="23" ht="57.75" customHeight="1">
      <c r="A23" s="15" t="s">
        <v>375</v>
      </c>
      <c r="B23" s="17" t="s">
        <v>46</v>
      </c>
      <c r="C23" s="17" t="s">
        <v>36</v>
      </c>
      <c r="D23" s="22" t="s">
        <v>11</v>
      </c>
      <c r="E23" s="21" t="s">
        <v>378</v>
      </c>
      <c r="F23" s="35">
        <v>46024.0</v>
      </c>
      <c r="G23" s="35">
        <v>46149.0</v>
      </c>
      <c r="H23" s="21">
        <v>1.0</v>
      </c>
      <c r="I23" s="35">
        <v>46209.0</v>
      </c>
      <c r="J23" s="35">
        <v>46115.0</v>
      </c>
      <c r="K23" s="23" t="s">
        <v>95</v>
      </c>
      <c r="L23" s="21" t="s">
        <v>382</v>
      </c>
      <c r="M23" s="26" t="s">
        <v>43</v>
      </c>
      <c r="N23" s="17"/>
      <c r="O23" s="17"/>
    </row>
    <row r="24" ht="57.75" customHeight="1">
      <c r="A24" s="15" t="s">
        <v>384</v>
      </c>
      <c r="B24" s="28" t="s">
        <v>46</v>
      </c>
      <c r="C24" s="28" t="s">
        <v>36</v>
      </c>
      <c r="D24" s="22" t="s">
        <v>11</v>
      </c>
      <c r="E24" s="30" t="s">
        <v>385</v>
      </c>
      <c r="F24" s="30">
        <v>35.0</v>
      </c>
      <c r="G24" s="30">
        <v>40.0</v>
      </c>
      <c r="H24" s="30">
        <v>45.0</v>
      </c>
      <c r="I24" s="30">
        <v>50.0</v>
      </c>
      <c r="J24" s="30">
        <v>55.0</v>
      </c>
      <c r="K24" s="31" t="s">
        <v>95</v>
      </c>
      <c r="L24" s="30" t="s">
        <v>386</v>
      </c>
      <c r="M24" s="26" t="s">
        <v>43</v>
      </c>
      <c r="N24" s="28"/>
      <c r="O24" s="28"/>
    </row>
    <row r="25" ht="57.75" customHeight="1">
      <c r="A25" s="15" t="s">
        <v>387</v>
      </c>
      <c r="B25" s="17" t="s">
        <v>46</v>
      </c>
      <c r="C25" s="17" t="s">
        <v>36</v>
      </c>
      <c r="D25" s="22" t="s">
        <v>11</v>
      </c>
      <c r="E25" s="21" t="s">
        <v>388</v>
      </c>
      <c r="F25" s="21">
        <v>5.0</v>
      </c>
      <c r="G25" s="21">
        <v>6.0</v>
      </c>
      <c r="H25" s="21">
        <v>7.0</v>
      </c>
      <c r="I25" s="21">
        <v>8.0</v>
      </c>
      <c r="J25" s="21">
        <v>9.0</v>
      </c>
      <c r="K25" s="23" t="s">
        <v>95</v>
      </c>
      <c r="L25" s="21" t="s">
        <v>389</v>
      </c>
      <c r="M25" s="26" t="s">
        <v>43</v>
      </c>
      <c r="N25" s="17"/>
      <c r="O25" s="17"/>
    </row>
    <row r="26" ht="57.75" customHeight="1">
      <c r="A26" s="15" t="s">
        <v>391</v>
      </c>
      <c r="B26" s="28" t="s">
        <v>46</v>
      </c>
      <c r="C26" s="28" t="s">
        <v>36</v>
      </c>
      <c r="D26" s="22" t="s">
        <v>11</v>
      </c>
      <c r="E26" s="30" t="s">
        <v>392</v>
      </c>
      <c r="F26" s="30" t="s">
        <v>393</v>
      </c>
      <c r="G26" s="30" t="s">
        <v>394</v>
      </c>
      <c r="H26" s="69">
        <v>2006.0</v>
      </c>
      <c r="I26" s="30" t="s">
        <v>395</v>
      </c>
      <c r="J26" s="30" t="s">
        <v>396</v>
      </c>
      <c r="K26" s="31" t="s">
        <v>40</v>
      </c>
      <c r="L26" s="30" t="s">
        <v>397</v>
      </c>
      <c r="M26" s="26" t="s">
        <v>43</v>
      </c>
      <c r="N26" s="28"/>
      <c r="O26" s="28"/>
    </row>
    <row r="27" ht="57.75" customHeight="1">
      <c r="A27" s="15" t="s">
        <v>398</v>
      </c>
      <c r="B27" s="17" t="s">
        <v>46</v>
      </c>
      <c r="C27" s="17" t="s">
        <v>36</v>
      </c>
      <c r="D27" s="22" t="s">
        <v>11</v>
      </c>
      <c r="E27" s="21" t="s">
        <v>399</v>
      </c>
      <c r="F27" s="70">
        <v>0.28</v>
      </c>
      <c r="G27" s="70">
        <v>0.3</v>
      </c>
      <c r="H27" s="70">
        <v>0.32</v>
      </c>
      <c r="I27" s="70">
        <v>0.35</v>
      </c>
      <c r="J27" s="70">
        <v>0.38</v>
      </c>
      <c r="K27" s="23" t="s">
        <v>40</v>
      </c>
      <c r="L27" s="21" t="s">
        <v>400</v>
      </c>
      <c r="M27" s="26" t="s">
        <v>43</v>
      </c>
      <c r="N27" s="17"/>
      <c r="O27" s="17"/>
    </row>
    <row r="28" ht="57.75" customHeight="1">
      <c r="A28" s="15" t="s">
        <v>401</v>
      </c>
      <c r="B28" s="28" t="s">
        <v>46</v>
      </c>
      <c r="C28" s="28" t="s">
        <v>36</v>
      </c>
      <c r="D28" s="22" t="s">
        <v>11</v>
      </c>
      <c r="E28" s="30" t="s">
        <v>402</v>
      </c>
      <c r="F28" s="30" t="s">
        <v>403</v>
      </c>
      <c r="G28" s="30" t="s">
        <v>404</v>
      </c>
      <c r="H28" s="30" t="s">
        <v>405</v>
      </c>
      <c r="I28" s="30">
        <v>3.0</v>
      </c>
      <c r="J28" s="30" t="s">
        <v>406</v>
      </c>
      <c r="K28" s="31" t="s">
        <v>95</v>
      </c>
      <c r="L28" s="30" t="s">
        <v>407</v>
      </c>
      <c r="M28" s="26" t="s">
        <v>43</v>
      </c>
      <c r="N28" s="28"/>
      <c r="O28" s="28"/>
    </row>
    <row r="29" ht="57.75" customHeight="1">
      <c r="A29" s="15" t="s">
        <v>408</v>
      </c>
      <c r="B29" s="17" t="s">
        <v>46</v>
      </c>
      <c r="C29" s="17" t="s">
        <v>36</v>
      </c>
      <c r="D29" s="22" t="s">
        <v>11</v>
      </c>
      <c r="E29" s="21" t="s">
        <v>409</v>
      </c>
      <c r="F29" s="21" t="s">
        <v>410</v>
      </c>
      <c r="G29" s="21" t="s">
        <v>411</v>
      </c>
      <c r="H29" s="21" t="s">
        <v>412</v>
      </c>
      <c r="I29" s="21" t="s">
        <v>413</v>
      </c>
      <c r="J29" s="21" t="s">
        <v>414</v>
      </c>
      <c r="K29" s="23" t="s">
        <v>64</v>
      </c>
      <c r="L29" s="21" t="s">
        <v>415</v>
      </c>
      <c r="M29" s="26" t="s">
        <v>43</v>
      </c>
      <c r="N29" s="17"/>
      <c r="O29" s="17"/>
    </row>
    <row r="30" ht="57.75" customHeight="1">
      <c r="A30" s="15" t="s">
        <v>416</v>
      </c>
      <c r="B30" s="28" t="s">
        <v>46</v>
      </c>
      <c r="C30" s="28" t="s">
        <v>36</v>
      </c>
      <c r="D30" s="22" t="s">
        <v>11</v>
      </c>
      <c r="E30" s="30" t="s">
        <v>417</v>
      </c>
      <c r="F30" s="30">
        <v>0.0</v>
      </c>
      <c r="G30" s="30">
        <v>2.0</v>
      </c>
      <c r="H30" s="30">
        <v>4.0</v>
      </c>
      <c r="I30" s="30">
        <v>6.0</v>
      </c>
      <c r="J30" s="30">
        <v>8.0</v>
      </c>
      <c r="K30" s="31" t="s">
        <v>40</v>
      </c>
      <c r="L30" s="30" t="s">
        <v>418</v>
      </c>
      <c r="M30" s="26" t="s">
        <v>43</v>
      </c>
      <c r="N30" s="28"/>
      <c r="O30" s="28"/>
    </row>
    <row r="31" ht="57.75" customHeight="1">
      <c r="A31" s="15" t="s">
        <v>419</v>
      </c>
      <c r="B31" s="17" t="s">
        <v>46</v>
      </c>
      <c r="C31" s="17" t="s">
        <v>36</v>
      </c>
      <c r="D31" s="22" t="s">
        <v>11</v>
      </c>
      <c r="E31" s="21" t="s">
        <v>420</v>
      </c>
      <c r="F31" s="21">
        <v>1.0</v>
      </c>
      <c r="G31" s="21">
        <v>2.0</v>
      </c>
      <c r="H31" s="21">
        <v>4.0</v>
      </c>
      <c r="I31" s="21">
        <v>8.0</v>
      </c>
      <c r="J31" s="21">
        <v>16.0</v>
      </c>
      <c r="K31" s="23" t="s">
        <v>95</v>
      </c>
      <c r="L31" s="21" t="s">
        <v>421</v>
      </c>
      <c r="M31" s="26" t="s">
        <v>43</v>
      </c>
      <c r="N31" s="17"/>
      <c r="O31" s="17"/>
    </row>
    <row r="32" ht="57.75" customHeight="1">
      <c r="A32" s="15" t="s">
        <v>422</v>
      </c>
      <c r="B32" s="28" t="s">
        <v>46</v>
      </c>
      <c r="C32" s="28" t="s">
        <v>36</v>
      </c>
      <c r="D32" s="22" t="s">
        <v>11</v>
      </c>
      <c r="E32" s="30" t="s">
        <v>423</v>
      </c>
      <c r="F32" s="40">
        <v>46062.0</v>
      </c>
      <c r="G32" s="40">
        <v>46121.0</v>
      </c>
      <c r="H32" s="40">
        <v>46151.0</v>
      </c>
      <c r="I32" s="40">
        <v>46056.0</v>
      </c>
      <c r="J32" s="40">
        <v>46115.0</v>
      </c>
      <c r="K32" s="31" t="s">
        <v>64</v>
      </c>
      <c r="L32" s="30" t="s">
        <v>424</v>
      </c>
      <c r="M32" s="26" t="s">
        <v>43</v>
      </c>
      <c r="N32" s="28"/>
      <c r="O32" s="28"/>
    </row>
    <row r="33" ht="57.75" customHeight="1">
      <c r="A33" s="15" t="s">
        <v>425</v>
      </c>
      <c r="B33" s="17" t="s">
        <v>46</v>
      </c>
      <c r="C33" s="17" t="s">
        <v>36</v>
      </c>
      <c r="D33" s="22" t="s">
        <v>11</v>
      </c>
      <c r="E33" s="21" t="s">
        <v>426</v>
      </c>
      <c r="F33" s="21" t="s">
        <v>427</v>
      </c>
      <c r="G33" s="21" t="s">
        <v>428</v>
      </c>
      <c r="H33" s="21">
        <v>7.0</v>
      </c>
      <c r="I33" s="21">
        <v>70.0</v>
      </c>
      <c r="J33" s="21">
        <v>700.0</v>
      </c>
      <c r="K33" s="23" t="s">
        <v>95</v>
      </c>
      <c r="L33" s="21" t="s">
        <v>429</v>
      </c>
      <c r="M33" s="26" t="s">
        <v>43</v>
      </c>
      <c r="N33" s="17"/>
      <c r="O33" s="17"/>
    </row>
    <row r="34" ht="57.75" customHeight="1">
      <c r="A34" s="15" t="s">
        <v>430</v>
      </c>
      <c r="B34" s="28" t="s">
        <v>46</v>
      </c>
      <c r="C34" s="28" t="s">
        <v>36</v>
      </c>
      <c r="D34" s="22" t="s">
        <v>11</v>
      </c>
      <c r="E34" s="30" t="s">
        <v>431</v>
      </c>
      <c r="F34" s="30">
        <v>3.0</v>
      </c>
      <c r="G34" s="30" t="s">
        <v>432</v>
      </c>
      <c r="H34" s="30">
        <v>5.0</v>
      </c>
      <c r="I34" s="30">
        <v>6.0</v>
      </c>
      <c r="J34" s="30" t="s">
        <v>433</v>
      </c>
      <c r="K34" s="31" t="s">
        <v>64</v>
      </c>
      <c r="L34" s="30" t="s">
        <v>434</v>
      </c>
      <c r="M34" s="26" t="s">
        <v>43</v>
      </c>
      <c r="N34" s="28"/>
      <c r="O34" s="28"/>
    </row>
    <row r="35" ht="57.75" customHeight="1">
      <c r="A35" s="15" t="s">
        <v>435</v>
      </c>
      <c r="B35" s="17" t="s">
        <v>46</v>
      </c>
      <c r="C35" s="17" t="s">
        <v>36</v>
      </c>
      <c r="D35" s="22" t="s">
        <v>11</v>
      </c>
      <c r="E35" s="21" t="s">
        <v>436</v>
      </c>
      <c r="F35" s="35">
        <v>46212.0</v>
      </c>
      <c r="G35" s="35">
        <v>46213.0</v>
      </c>
      <c r="H35" s="35">
        <v>46056.0</v>
      </c>
      <c r="I35" s="35">
        <v>46085.0</v>
      </c>
      <c r="J35" s="35">
        <v>46243.0</v>
      </c>
      <c r="K35" s="23" t="s">
        <v>40</v>
      </c>
      <c r="L35" s="21" t="s">
        <v>437</v>
      </c>
      <c r="M35" s="26" t="s">
        <v>43</v>
      </c>
      <c r="N35" s="17"/>
      <c r="O35" s="17"/>
    </row>
    <row r="36" ht="57.75" customHeight="1">
      <c r="A36" s="15" t="s">
        <v>438</v>
      </c>
      <c r="B36" s="28" t="s">
        <v>46</v>
      </c>
      <c r="C36" s="28" t="s">
        <v>36</v>
      </c>
      <c r="D36" s="22" t="s">
        <v>11</v>
      </c>
      <c r="E36" s="30" t="s">
        <v>439</v>
      </c>
      <c r="F36" s="30" t="s">
        <v>440</v>
      </c>
      <c r="G36" s="30" t="s">
        <v>441</v>
      </c>
      <c r="H36" s="30" t="s">
        <v>442</v>
      </c>
      <c r="I36" s="30" t="s">
        <v>443</v>
      </c>
      <c r="J36" s="30" t="s">
        <v>444</v>
      </c>
      <c r="K36" s="31" t="s">
        <v>117</v>
      </c>
      <c r="L36" s="30" t="s">
        <v>445</v>
      </c>
      <c r="M36" s="26" t="s">
        <v>43</v>
      </c>
      <c r="N36" s="28"/>
      <c r="O36" s="28"/>
    </row>
    <row r="37" ht="19.5" customHeight="1">
      <c r="A37" s="63" t="s">
        <v>279</v>
      </c>
      <c r="B37" s="3"/>
      <c r="C37" s="3"/>
      <c r="D37" s="3"/>
      <c r="E37" s="3"/>
      <c r="F37" s="3"/>
      <c r="G37" s="3"/>
      <c r="H37" s="3"/>
      <c r="I37" s="3"/>
      <c r="J37" s="3"/>
      <c r="K37" s="3"/>
      <c r="L37" s="3"/>
      <c r="M37" s="3"/>
      <c r="N37" s="3"/>
      <c r="O37" s="4"/>
    </row>
    <row r="38" ht="57.75" customHeight="1">
      <c r="A38" s="15" t="s">
        <v>446</v>
      </c>
      <c r="B38" s="17" t="s">
        <v>46</v>
      </c>
      <c r="C38" s="17" t="s">
        <v>36</v>
      </c>
      <c r="D38" s="24" t="s">
        <v>12</v>
      </c>
      <c r="E38" s="21" t="s">
        <v>447</v>
      </c>
      <c r="F38" s="21">
        <v>1.0</v>
      </c>
      <c r="G38" s="21">
        <v>2.0</v>
      </c>
      <c r="H38" s="21">
        <v>4.0</v>
      </c>
      <c r="I38" s="21">
        <v>8.0</v>
      </c>
      <c r="J38" s="21">
        <v>16.0</v>
      </c>
      <c r="K38" s="23" t="s">
        <v>64</v>
      </c>
      <c r="L38" s="21" t="s">
        <v>448</v>
      </c>
      <c r="M38" s="26" t="s">
        <v>43</v>
      </c>
      <c r="N38" s="17"/>
      <c r="O38" s="17"/>
    </row>
    <row r="39" ht="57.75" customHeight="1">
      <c r="A39" s="15" t="s">
        <v>449</v>
      </c>
      <c r="B39" s="28" t="s">
        <v>46</v>
      </c>
      <c r="C39" s="28" t="s">
        <v>36</v>
      </c>
      <c r="D39" s="24" t="s">
        <v>12</v>
      </c>
      <c r="E39" s="30" t="s">
        <v>450</v>
      </c>
      <c r="F39" s="30" t="s">
        <v>363</v>
      </c>
      <c r="G39" s="30" t="s">
        <v>451</v>
      </c>
      <c r="H39" s="30" t="s">
        <v>365</v>
      </c>
      <c r="I39" s="30" t="s">
        <v>367</v>
      </c>
      <c r="J39" s="30" t="s">
        <v>452</v>
      </c>
      <c r="K39" s="31" t="s">
        <v>95</v>
      </c>
      <c r="L39" s="30" t="s">
        <v>453</v>
      </c>
      <c r="M39" s="26" t="s">
        <v>43</v>
      </c>
      <c r="N39" s="28"/>
      <c r="O39" s="28"/>
    </row>
    <row r="40" ht="57.75" customHeight="1">
      <c r="A40" s="15" t="s">
        <v>454</v>
      </c>
      <c r="B40" s="17" t="s">
        <v>46</v>
      </c>
      <c r="C40" s="17" t="s">
        <v>36</v>
      </c>
      <c r="D40" s="24" t="s">
        <v>12</v>
      </c>
      <c r="E40" s="21" t="s">
        <v>455</v>
      </c>
      <c r="F40" s="21">
        <v>18.0</v>
      </c>
      <c r="G40" s="21">
        <v>21.0</v>
      </c>
      <c r="H40" s="21">
        <v>24.0</v>
      </c>
      <c r="I40" s="21">
        <v>27.0</v>
      </c>
      <c r="J40" s="21">
        <v>36.0</v>
      </c>
      <c r="K40" s="23" t="s">
        <v>117</v>
      </c>
      <c r="L40" s="21" t="s">
        <v>456</v>
      </c>
      <c r="M40" s="26" t="s">
        <v>43</v>
      </c>
      <c r="N40" s="17"/>
      <c r="O40" s="17"/>
    </row>
    <row r="41" ht="57.75" customHeight="1">
      <c r="A41" s="15" t="s">
        <v>457</v>
      </c>
      <c r="B41" s="28" t="s">
        <v>46</v>
      </c>
      <c r="C41" s="28" t="s">
        <v>36</v>
      </c>
      <c r="D41" s="24" t="s">
        <v>12</v>
      </c>
      <c r="E41" s="30" t="s">
        <v>458</v>
      </c>
      <c r="F41" s="30">
        <v>7.0</v>
      </c>
      <c r="G41" s="30">
        <v>8.0</v>
      </c>
      <c r="H41" s="30">
        <v>9.0</v>
      </c>
      <c r="I41" s="30">
        <v>10.0</v>
      </c>
      <c r="J41" s="30">
        <v>11.0</v>
      </c>
      <c r="K41" s="31" t="s">
        <v>95</v>
      </c>
      <c r="L41" s="30" t="s">
        <v>459</v>
      </c>
      <c r="M41" s="26" t="s">
        <v>43</v>
      </c>
      <c r="N41" s="28"/>
      <c r="O41" s="28"/>
    </row>
    <row r="42" ht="57.75" customHeight="1">
      <c r="A42" s="15" t="s">
        <v>460</v>
      </c>
      <c r="B42" s="17" t="s">
        <v>46</v>
      </c>
      <c r="C42" s="17" t="s">
        <v>36</v>
      </c>
      <c r="D42" s="24" t="s">
        <v>12</v>
      </c>
      <c r="E42" s="21" t="s">
        <v>461</v>
      </c>
      <c r="F42" s="21" t="s">
        <v>462</v>
      </c>
      <c r="G42" s="21" t="s">
        <v>463</v>
      </c>
      <c r="H42" s="21" t="s">
        <v>464</v>
      </c>
      <c r="I42" s="21" t="s">
        <v>465</v>
      </c>
      <c r="J42" s="21" t="s">
        <v>466</v>
      </c>
      <c r="K42" s="23" t="s">
        <v>95</v>
      </c>
      <c r="L42" s="21" t="s">
        <v>467</v>
      </c>
      <c r="M42" s="26" t="s">
        <v>43</v>
      </c>
      <c r="N42" s="17"/>
      <c r="O42" s="17"/>
    </row>
    <row r="43" ht="57.75" customHeight="1">
      <c r="A43" s="15" t="s">
        <v>468</v>
      </c>
      <c r="B43" s="28" t="s">
        <v>46</v>
      </c>
      <c r="C43" s="28" t="s">
        <v>36</v>
      </c>
      <c r="D43" s="24" t="s">
        <v>12</v>
      </c>
      <c r="E43" s="30" t="s">
        <v>469</v>
      </c>
      <c r="F43" s="30">
        <v>2.0</v>
      </c>
      <c r="G43" s="30">
        <v>3.0</v>
      </c>
      <c r="H43" s="30">
        <v>4.0</v>
      </c>
      <c r="I43" s="30">
        <v>6.0</v>
      </c>
      <c r="J43" s="30">
        <v>8.0</v>
      </c>
      <c r="K43" s="31" t="s">
        <v>95</v>
      </c>
      <c r="L43" s="30" t="s">
        <v>470</v>
      </c>
      <c r="M43" s="26" t="s">
        <v>43</v>
      </c>
      <c r="N43" s="28"/>
      <c r="O43" s="28"/>
    </row>
    <row r="44" ht="57.75" customHeight="1">
      <c r="A44" s="15" t="s">
        <v>471</v>
      </c>
      <c r="B44" s="17" t="s">
        <v>46</v>
      </c>
      <c r="C44" s="17" t="s">
        <v>36</v>
      </c>
      <c r="D44" s="24" t="s">
        <v>12</v>
      </c>
      <c r="E44" s="21" t="s">
        <v>472</v>
      </c>
      <c r="F44" s="21" t="s">
        <v>363</v>
      </c>
      <c r="G44" s="21" t="s">
        <v>451</v>
      </c>
      <c r="H44" s="21" t="s">
        <v>365</v>
      </c>
      <c r="I44" s="21" t="s">
        <v>367</v>
      </c>
      <c r="J44" s="21" t="s">
        <v>452</v>
      </c>
      <c r="K44" s="23" t="s">
        <v>64</v>
      </c>
      <c r="L44" s="21" t="s">
        <v>473</v>
      </c>
      <c r="M44" s="26" t="s">
        <v>43</v>
      </c>
      <c r="N44" s="17"/>
      <c r="O44" s="17"/>
    </row>
    <row r="45" ht="57.75" customHeight="1">
      <c r="A45" s="15" t="s">
        <v>474</v>
      </c>
      <c r="B45" s="28" t="s">
        <v>46</v>
      </c>
      <c r="C45" s="28" t="s">
        <v>36</v>
      </c>
      <c r="D45" s="24" t="s">
        <v>12</v>
      </c>
      <c r="E45" s="30" t="s">
        <v>475</v>
      </c>
      <c r="F45" s="30">
        <v>18.0</v>
      </c>
      <c r="G45" s="30">
        <v>21.0</v>
      </c>
      <c r="H45" s="30">
        <v>24.0</v>
      </c>
      <c r="I45" s="30">
        <v>27.0</v>
      </c>
      <c r="J45" s="30">
        <v>36.0</v>
      </c>
      <c r="K45" s="31" t="s">
        <v>117</v>
      </c>
      <c r="L45" s="30" t="s">
        <v>476</v>
      </c>
      <c r="M45" s="26" t="s">
        <v>43</v>
      </c>
      <c r="N45" s="28"/>
      <c r="O45" s="28"/>
    </row>
    <row r="46" ht="57.75" customHeight="1">
      <c r="A46" s="15" t="s">
        <v>477</v>
      </c>
      <c r="B46" s="17" t="s">
        <v>46</v>
      </c>
      <c r="C46" s="17" t="s">
        <v>36</v>
      </c>
      <c r="D46" s="24" t="s">
        <v>12</v>
      </c>
      <c r="E46" s="21" t="s">
        <v>478</v>
      </c>
      <c r="F46" s="21">
        <v>9.0</v>
      </c>
      <c r="G46" s="21">
        <v>10.0</v>
      </c>
      <c r="H46" s="21">
        <v>11.0</v>
      </c>
      <c r="I46" s="21">
        <v>12.0</v>
      </c>
      <c r="J46" s="21">
        <v>13.0</v>
      </c>
      <c r="K46" s="23" t="s">
        <v>95</v>
      </c>
      <c r="L46" s="21" t="s">
        <v>479</v>
      </c>
      <c r="M46" s="26" t="s">
        <v>43</v>
      </c>
      <c r="N46" s="17"/>
      <c r="O46" s="17"/>
    </row>
    <row r="47" ht="57.75" customHeight="1">
      <c r="A47" s="15" t="s">
        <v>480</v>
      </c>
      <c r="B47" s="28" t="s">
        <v>46</v>
      </c>
      <c r="C47" s="28" t="s">
        <v>36</v>
      </c>
      <c r="D47" s="24" t="s">
        <v>12</v>
      </c>
      <c r="E47" s="30" t="s">
        <v>481</v>
      </c>
      <c r="F47" s="30" t="s">
        <v>482</v>
      </c>
      <c r="G47" s="30" t="s">
        <v>483</v>
      </c>
      <c r="H47" s="30" t="s">
        <v>462</v>
      </c>
      <c r="I47" s="30" t="s">
        <v>463</v>
      </c>
      <c r="J47" s="30" t="s">
        <v>464</v>
      </c>
      <c r="K47" s="31" t="s">
        <v>95</v>
      </c>
      <c r="L47" s="30" t="s">
        <v>484</v>
      </c>
      <c r="M47" s="26" t="s">
        <v>43</v>
      </c>
      <c r="N47" s="28"/>
      <c r="O47" s="28"/>
    </row>
    <row r="48" ht="57.75" customHeight="1">
      <c r="A48" s="15" t="s">
        <v>485</v>
      </c>
      <c r="B48" s="17" t="s">
        <v>46</v>
      </c>
      <c r="C48" s="17" t="s">
        <v>36</v>
      </c>
      <c r="D48" s="24" t="s">
        <v>12</v>
      </c>
      <c r="E48" s="21" t="s">
        <v>486</v>
      </c>
      <c r="F48" s="21">
        <v>2.0</v>
      </c>
      <c r="G48" s="21">
        <v>3.0</v>
      </c>
      <c r="H48" s="21">
        <v>4.0</v>
      </c>
      <c r="I48" s="21">
        <v>6.0</v>
      </c>
      <c r="J48" s="21">
        <v>8.0</v>
      </c>
      <c r="K48" s="23" t="s">
        <v>95</v>
      </c>
      <c r="L48" s="21" t="s">
        <v>487</v>
      </c>
      <c r="M48" s="26" t="s">
        <v>43</v>
      </c>
      <c r="N48" s="17"/>
      <c r="O48" s="17"/>
    </row>
    <row r="49" ht="57.75" customHeight="1">
      <c r="A49" s="15" t="s">
        <v>488</v>
      </c>
      <c r="B49" s="28" t="s">
        <v>46</v>
      </c>
      <c r="C49" s="28" t="s">
        <v>36</v>
      </c>
      <c r="D49" s="24" t="s">
        <v>12</v>
      </c>
      <c r="E49" s="30" t="s">
        <v>489</v>
      </c>
      <c r="F49" s="30" t="s">
        <v>363</v>
      </c>
      <c r="G49" s="30" t="s">
        <v>451</v>
      </c>
      <c r="H49" s="30" t="s">
        <v>365</v>
      </c>
      <c r="I49" s="30" t="s">
        <v>367</v>
      </c>
      <c r="J49" s="30" t="s">
        <v>452</v>
      </c>
      <c r="K49" s="31" t="s">
        <v>95</v>
      </c>
      <c r="L49" s="30" t="s">
        <v>490</v>
      </c>
      <c r="M49" s="26" t="s">
        <v>43</v>
      </c>
      <c r="N49" s="28"/>
      <c r="O49" s="28"/>
    </row>
    <row r="50" ht="57.75" customHeight="1">
      <c r="A50" s="15" t="s">
        <v>491</v>
      </c>
      <c r="B50" s="17" t="s">
        <v>46</v>
      </c>
      <c r="C50" s="17" t="s">
        <v>36</v>
      </c>
      <c r="D50" s="24" t="s">
        <v>12</v>
      </c>
      <c r="E50" s="21" t="s">
        <v>492</v>
      </c>
      <c r="F50" s="21">
        <v>6.0</v>
      </c>
      <c r="G50" s="21">
        <v>8.0</v>
      </c>
      <c r="H50" s="21">
        <v>9.0</v>
      </c>
      <c r="I50" s="21">
        <v>12.0</v>
      </c>
      <c r="J50" s="21">
        <v>15.0</v>
      </c>
      <c r="K50" s="23" t="s">
        <v>95</v>
      </c>
      <c r="L50" s="21" t="s">
        <v>493</v>
      </c>
      <c r="M50" s="26" t="s">
        <v>43</v>
      </c>
      <c r="N50" s="17"/>
      <c r="O50" s="17"/>
    </row>
    <row r="51" ht="57.75" customHeight="1">
      <c r="A51" s="15" t="s">
        <v>494</v>
      </c>
      <c r="B51" s="28" t="s">
        <v>46</v>
      </c>
      <c r="C51" s="28" t="s">
        <v>36</v>
      </c>
      <c r="D51" s="24" t="s">
        <v>12</v>
      </c>
      <c r="E51" s="30" t="s">
        <v>495</v>
      </c>
      <c r="F51" s="30">
        <v>7.0</v>
      </c>
      <c r="G51" s="30">
        <v>8.0</v>
      </c>
      <c r="H51" s="30">
        <v>9.0</v>
      </c>
      <c r="I51" s="30">
        <v>10.0</v>
      </c>
      <c r="J51" s="30">
        <v>11.0</v>
      </c>
      <c r="K51" s="31" t="s">
        <v>95</v>
      </c>
      <c r="L51" s="30" t="s">
        <v>496</v>
      </c>
      <c r="M51" s="26" t="s">
        <v>43</v>
      </c>
      <c r="N51" s="28"/>
      <c r="O51" s="28"/>
    </row>
    <row r="52" ht="57.75" customHeight="1">
      <c r="A52" s="15" t="s">
        <v>497</v>
      </c>
      <c r="B52" s="17" t="s">
        <v>46</v>
      </c>
      <c r="C52" s="17" t="s">
        <v>36</v>
      </c>
      <c r="D52" s="24" t="s">
        <v>12</v>
      </c>
      <c r="E52" s="21" t="s">
        <v>498</v>
      </c>
      <c r="F52" s="21" t="s">
        <v>499</v>
      </c>
      <c r="G52" s="21" t="s">
        <v>500</v>
      </c>
      <c r="H52" s="21" t="s">
        <v>501</v>
      </c>
      <c r="I52" s="21" t="s">
        <v>502</v>
      </c>
      <c r="J52" s="21" t="s">
        <v>503</v>
      </c>
      <c r="K52" s="23" t="s">
        <v>95</v>
      </c>
      <c r="L52" s="21" t="s">
        <v>504</v>
      </c>
      <c r="M52" s="26" t="s">
        <v>43</v>
      </c>
      <c r="N52" s="17"/>
      <c r="O52" s="17"/>
    </row>
    <row r="53" ht="25.5" customHeight="1">
      <c r="A53" s="55" t="s">
        <v>506</v>
      </c>
      <c r="B53" s="57"/>
      <c r="C53" s="57"/>
      <c r="D53" s="57"/>
      <c r="E53" s="57"/>
      <c r="F53" s="57"/>
      <c r="G53" s="57"/>
      <c r="H53" s="57"/>
      <c r="I53" s="57"/>
      <c r="J53" s="58"/>
      <c r="M53" s="71">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2" t="s">
        <v>505</v>
      </c>
      <c r="B1" s="3"/>
      <c r="C1" s="3"/>
      <c r="D1" s="3"/>
      <c r="E1" s="3"/>
      <c r="F1" s="3"/>
      <c r="G1" s="3"/>
      <c r="H1" s="3"/>
      <c r="I1" s="3"/>
      <c r="J1" s="3"/>
      <c r="K1" s="3"/>
      <c r="L1" s="3"/>
      <c r="M1" s="3"/>
      <c r="N1" s="3"/>
      <c r="O1" s="4"/>
    </row>
    <row r="2" ht="30.0" customHeight="1">
      <c r="A2" s="5" t="s">
        <v>507</v>
      </c>
      <c r="B2" s="3"/>
      <c r="C2" s="3"/>
      <c r="D2" s="3"/>
      <c r="E2" s="3"/>
      <c r="F2" s="3"/>
      <c r="G2" s="3"/>
      <c r="H2" s="3"/>
      <c r="I2" s="3"/>
      <c r="J2" s="3"/>
      <c r="K2" s="3"/>
      <c r="L2" s="3"/>
      <c r="M2" s="3"/>
      <c r="N2" s="3"/>
      <c r="O2" s="4"/>
    </row>
    <row r="3" ht="19.5" customHeight="1">
      <c r="A3" s="7" t="s">
        <v>6</v>
      </c>
      <c r="B3" s="3"/>
      <c r="C3" s="3"/>
      <c r="D3" s="3"/>
      <c r="E3" s="3"/>
      <c r="F3" s="3"/>
      <c r="G3" s="3"/>
      <c r="H3" s="3"/>
      <c r="I3" s="3"/>
      <c r="J3" s="3"/>
      <c r="K3" s="3"/>
      <c r="L3" s="3"/>
      <c r="M3" s="3"/>
      <c r="N3" s="3"/>
      <c r="O3" s="4"/>
    </row>
    <row r="4" ht="24.75" customHeight="1">
      <c r="A4" s="9" t="s">
        <v>8</v>
      </c>
      <c r="B4" s="9" t="s">
        <v>7</v>
      </c>
      <c r="C4" s="9" t="s">
        <v>13</v>
      </c>
      <c r="D4" s="9" t="s">
        <v>15</v>
      </c>
      <c r="E4" s="9" t="s">
        <v>17</v>
      </c>
      <c r="F4" s="9" t="s">
        <v>18</v>
      </c>
      <c r="G4" s="9" t="s">
        <v>20</v>
      </c>
      <c r="H4" s="9" t="s">
        <v>21</v>
      </c>
      <c r="I4" s="9" t="s">
        <v>22</v>
      </c>
      <c r="J4" s="9" t="s">
        <v>23</v>
      </c>
      <c r="K4" s="9" t="s">
        <v>25</v>
      </c>
      <c r="L4" s="9" t="s">
        <v>26</v>
      </c>
      <c r="M4" s="9" t="s">
        <v>19</v>
      </c>
      <c r="N4" s="9" t="s">
        <v>27</v>
      </c>
      <c r="O4" s="9" t="s">
        <v>28</v>
      </c>
    </row>
    <row r="5" ht="19.5" customHeight="1">
      <c r="A5" s="13" t="s">
        <v>29</v>
      </c>
      <c r="B5" s="3"/>
      <c r="C5" s="3"/>
      <c r="D5" s="3"/>
      <c r="E5" s="3"/>
      <c r="F5" s="3"/>
      <c r="G5" s="3"/>
      <c r="H5" s="3"/>
      <c r="I5" s="3"/>
      <c r="J5" s="3"/>
      <c r="K5" s="3"/>
      <c r="L5" s="3"/>
      <c r="M5" s="3"/>
      <c r="N5" s="3"/>
      <c r="O5" s="4"/>
    </row>
    <row r="6" ht="57.75" customHeight="1">
      <c r="A6" s="15" t="s">
        <v>509</v>
      </c>
      <c r="B6" s="17" t="s">
        <v>53</v>
      </c>
      <c r="C6" s="17" t="s">
        <v>36</v>
      </c>
      <c r="D6" s="19" t="s">
        <v>9</v>
      </c>
      <c r="E6" s="21" t="s">
        <v>510</v>
      </c>
      <c r="F6" s="21" t="s">
        <v>511</v>
      </c>
      <c r="G6" s="21" t="s">
        <v>512</v>
      </c>
      <c r="H6" s="21" t="s">
        <v>513</v>
      </c>
      <c r="I6" s="21" t="s">
        <v>514</v>
      </c>
      <c r="J6" s="21" t="s">
        <v>515</v>
      </c>
      <c r="K6" s="23" t="s">
        <v>95</v>
      </c>
      <c r="L6" s="21" t="s">
        <v>516</v>
      </c>
      <c r="M6" s="26" t="s">
        <v>43</v>
      </c>
      <c r="N6" s="17"/>
      <c r="O6" s="17"/>
    </row>
    <row r="7" ht="57.75" customHeight="1">
      <c r="A7" s="15" t="s">
        <v>517</v>
      </c>
      <c r="B7" s="28" t="s">
        <v>53</v>
      </c>
      <c r="C7" s="28" t="s">
        <v>36</v>
      </c>
      <c r="D7" s="19" t="s">
        <v>9</v>
      </c>
      <c r="E7" s="30" t="s">
        <v>518</v>
      </c>
      <c r="F7" s="30" t="s">
        <v>499</v>
      </c>
      <c r="G7" s="30" t="s">
        <v>519</v>
      </c>
      <c r="H7" s="30" t="s">
        <v>500</v>
      </c>
      <c r="I7" s="30" t="s">
        <v>501</v>
      </c>
      <c r="J7" s="30" t="s">
        <v>520</v>
      </c>
      <c r="K7" s="31" t="s">
        <v>64</v>
      </c>
      <c r="L7" s="30" t="s">
        <v>522</v>
      </c>
      <c r="M7" s="26" t="s">
        <v>43</v>
      </c>
      <c r="N7" s="28"/>
      <c r="O7" s="28"/>
    </row>
    <row r="8" ht="57.75" customHeight="1">
      <c r="A8" s="15" t="s">
        <v>523</v>
      </c>
      <c r="B8" s="17" t="s">
        <v>53</v>
      </c>
      <c r="C8" s="17" t="s">
        <v>36</v>
      </c>
      <c r="D8" s="19" t="s">
        <v>9</v>
      </c>
      <c r="E8" s="21" t="s">
        <v>524</v>
      </c>
      <c r="F8" s="21" t="s">
        <v>525</v>
      </c>
      <c r="G8" s="21" t="s">
        <v>511</v>
      </c>
      <c r="H8" s="21" t="s">
        <v>526</v>
      </c>
      <c r="I8" s="21" t="s">
        <v>527</v>
      </c>
      <c r="J8" s="21" t="s">
        <v>512</v>
      </c>
      <c r="K8" s="23" t="s">
        <v>95</v>
      </c>
      <c r="L8" s="21" t="s">
        <v>528</v>
      </c>
      <c r="M8" s="26" t="s">
        <v>43</v>
      </c>
      <c r="N8" s="17"/>
      <c r="O8" s="17"/>
    </row>
    <row r="9" ht="57.75" customHeight="1">
      <c r="A9" s="15" t="s">
        <v>529</v>
      </c>
      <c r="B9" s="28" t="s">
        <v>53</v>
      </c>
      <c r="C9" s="28" t="s">
        <v>36</v>
      </c>
      <c r="D9" s="19" t="s">
        <v>9</v>
      </c>
      <c r="E9" s="30" t="s">
        <v>530</v>
      </c>
      <c r="F9" s="30" t="s">
        <v>531</v>
      </c>
      <c r="G9" s="30" t="s">
        <v>532</v>
      </c>
      <c r="H9" s="30" t="s">
        <v>533</v>
      </c>
      <c r="I9" s="30" t="s">
        <v>534</v>
      </c>
      <c r="J9" s="30" t="s">
        <v>535</v>
      </c>
      <c r="K9" s="31" t="s">
        <v>40</v>
      </c>
      <c r="L9" s="30" t="s">
        <v>536</v>
      </c>
      <c r="M9" s="26" t="s">
        <v>43</v>
      </c>
      <c r="N9" s="28"/>
      <c r="O9" s="28"/>
    </row>
    <row r="10" ht="57.75" customHeight="1">
      <c r="A10" s="15" t="s">
        <v>537</v>
      </c>
      <c r="B10" s="17" t="s">
        <v>53</v>
      </c>
      <c r="C10" s="17" t="s">
        <v>36</v>
      </c>
      <c r="D10" s="19" t="s">
        <v>9</v>
      </c>
      <c r="E10" s="21" t="s">
        <v>538</v>
      </c>
      <c r="F10" s="21" t="s">
        <v>539</v>
      </c>
      <c r="G10" s="21" t="s">
        <v>540</v>
      </c>
      <c r="H10" s="21" t="s">
        <v>541</v>
      </c>
      <c r="I10" s="21" t="s">
        <v>542</v>
      </c>
      <c r="J10" s="21" t="s">
        <v>543</v>
      </c>
      <c r="K10" s="23" t="s">
        <v>95</v>
      </c>
      <c r="L10" s="21" t="s">
        <v>544</v>
      </c>
      <c r="M10" s="26" t="s">
        <v>43</v>
      </c>
      <c r="N10" s="17"/>
      <c r="O10" s="17"/>
    </row>
    <row r="11" ht="57.75" customHeight="1">
      <c r="A11" s="15" t="s">
        <v>545</v>
      </c>
      <c r="B11" s="28" t="s">
        <v>53</v>
      </c>
      <c r="C11" s="28" t="s">
        <v>36</v>
      </c>
      <c r="D11" s="19" t="s">
        <v>9</v>
      </c>
      <c r="E11" s="30" t="s">
        <v>546</v>
      </c>
      <c r="F11" s="30" t="s">
        <v>547</v>
      </c>
      <c r="G11" s="30" t="s">
        <v>548</v>
      </c>
      <c r="H11" s="30" t="s">
        <v>549</v>
      </c>
      <c r="I11" s="30" t="s">
        <v>550</v>
      </c>
      <c r="J11" s="30" t="s">
        <v>551</v>
      </c>
      <c r="K11" s="31" t="s">
        <v>40</v>
      </c>
      <c r="L11" s="30" t="s">
        <v>552</v>
      </c>
      <c r="M11" s="26" t="s">
        <v>43</v>
      </c>
      <c r="N11" s="28"/>
      <c r="O11" s="28"/>
    </row>
    <row r="12" ht="57.75" customHeight="1">
      <c r="A12" s="15" t="s">
        <v>553</v>
      </c>
      <c r="B12" s="17" t="s">
        <v>53</v>
      </c>
      <c r="C12" s="17" t="s">
        <v>36</v>
      </c>
      <c r="D12" s="19" t="s">
        <v>9</v>
      </c>
      <c r="E12" s="21" t="s">
        <v>554</v>
      </c>
      <c r="F12" s="21" t="s">
        <v>555</v>
      </c>
      <c r="G12" s="21" t="s">
        <v>556</v>
      </c>
      <c r="H12" s="21" t="s">
        <v>557</v>
      </c>
      <c r="I12" s="21" t="s">
        <v>558</v>
      </c>
      <c r="J12" s="21" t="s">
        <v>559</v>
      </c>
      <c r="K12" s="23" t="s">
        <v>64</v>
      </c>
      <c r="L12" s="21" t="s">
        <v>560</v>
      </c>
      <c r="M12" s="26" t="s">
        <v>43</v>
      </c>
      <c r="N12" s="17"/>
      <c r="O12" s="17"/>
    </row>
    <row r="13" ht="57.75" customHeight="1">
      <c r="A13" s="15" t="s">
        <v>561</v>
      </c>
      <c r="B13" s="28" t="s">
        <v>53</v>
      </c>
      <c r="C13" s="28" t="s">
        <v>36</v>
      </c>
      <c r="D13" s="19" t="s">
        <v>9</v>
      </c>
      <c r="E13" s="30" t="s">
        <v>562</v>
      </c>
      <c r="F13" s="30" t="s">
        <v>563</v>
      </c>
      <c r="G13" s="30" t="s">
        <v>564</v>
      </c>
      <c r="H13" s="30" t="s">
        <v>565</v>
      </c>
      <c r="I13" s="30" t="s">
        <v>566</v>
      </c>
      <c r="J13" s="30" t="s">
        <v>567</v>
      </c>
      <c r="K13" s="31" t="s">
        <v>64</v>
      </c>
      <c r="L13" s="30" t="s">
        <v>569</v>
      </c>
      <c r="M13" s="26" t="s">
        <v>43</v>
      </c>
      <c r="N13" s="28"/>
      <c r="O13" s="28"/>
    </row>
    <row r="14" ht="57.75" customHeight="1">
      <c r="A14" s="15" t="s">
        <v>570</v>
      </c>
      <c r="B14" s="17" t="s">
        <v>53</v>
      </c>
      <c r="C14" s="17" t="s">
        <v>36</v>
      </c>
      <c r="D14" s="19" t="s">
        <v>9</v>
      </c>
      <c r="E14" s="21" t="s">
        <v>571</v>
      </c>
      <c r="F14" s="21" t="s">
        <v>572</v>
      </c>
      <c r="G14" s="21" t="s">
        <v>573</v>
      </c>
      <c r="H14" s="21" t="s">
        <v>574</v>
      </c>
      <c r="I14" s="21" t="s">
        <v>575</v>
      </c>
      <c r="J14" s="21" t="s">
        <v>576</v>
      </c>
      <c r="K14" s="23" t="s">
        <v>64</v>
      </c>
      <c r="L14" s="21" t="s">
        <v>577</v>
      </c>
      <c r="M14" s="26" t="s">
        <v>43</v>
      </c>
      <c r="N14" s="17"/>
      <c r="O14" s="17"/>
    </row>
    <row r="15" ht="57.75" customHeight="1">
      <c r="A15" s="15" t="s">
        <v>578</v>
      </c>
      <c r="B15" s="28" t="s">
        <v>53</v>
      </c>
      <c r="C15" s="28" t="s">
        <v>36</v>
      </c>
      <c r="D15" s="19" t="s">
        <v>9</v>
      </c>
      <c r="E15" s="30" t="s">
        <v>579</v>
      </c>
      <c r="F15" s="30" t="s">
        <v>580</v>
      </c>
      <c r="G15" s="30" t="s">
        <v>581</v>
      </c>
      <c r="H15" s="30" t="s">
        <v>582</v>
      </c>
      <c r="I15" s="30" t="s">
        <v>584</v>
      </c>
      <c r="J15" s="30" t="s">
        <v>585</v>
      </c>
      <c r="K15" s="31" t="s">
        <v>95</v>
      </c>
      <c r="L15" s="30" t="s">
        <v>586</v>
      </c>
      <c r="M15" s="26" t="s">
        <v>43</v>
      </c>
      <c r="N15" s="28"/>
      <c r="O15" s="28"/>
    </row>
    <row r="16" ht="57.75" customHeight="1">
      <c r="A16" s="15" t="s">
        <v>587</v>
      </c>
      <c r="B16" s="17" t="s">
        <v>53</v>
      </c>
      <c r="C16" s="17" t="s">
        <v>36</v>
      </c>
      <c r="D16" s="19" t="s">
        <v>9</v>
      </c>
      <c r="E16" s="21" t="s">
        <v>590</v>
      </c>
      <c r="F16" s="21" t="s">
        <v>591</v>
      </c>
      <c r="G16" s="21" t="s">
        <v>593</v>
      </c>
      <c r="H16" s="21" t="s">
        <v>594</v>
      </c>
      <c r="I16" s="21" t="s">
        <v>595</v>
      </c>
      <c r="J16" s="21" t="s">
        <v>597</v>
      </c>
      <c r="K16" s="23" t="s">
        <v>95</v>
      </c>
      <c r="L16" s="21" t="s">
        <v>598</v>
      </c>
      <c r="M16" s="26" t="s">
        <v>43</v>
      </c>
      <c r="N16" s="17"/>
      <c r="O16" s="17"/>
    </row>
    <row r="17" ht="57.75" customHeight="1">
      <c r="A17" s="15" t="s">
        <v>599</v>
      </c>
      <c r="B17" s="28" t="s">
        <v>53</v>
      </c>
      <c r="C17" s="28" t="s">
        <v>36</v>
      </c>
      <c r="D17" s="19" t="s">
        <v>9</v>
      </c>
      <c r="E17" s="30" t="s">
        <v>600</v>
      </c>
      <c r="F17" s="30" t="s">
        <v>601</v>
      </c>
      <c r="G17" s="30" t="s">
        <v>602</v>
      </c>
      <c r="H17" s="30" t="s">
        <v>604</v>
      </c>
      <c r="I17" s="30" t="s">
        <v>605</v>
      </c>
      <c r="J17" s="30" t="s">
        <v>606</v>
      </c>
      <c r="K17" s="31" t="s">
        <v>64</v>
      </c>
      <c r="L17" s="30" t="s">
        <v>607</v>
      </c>
      <c r="M17" s="26" t="s">
        <v>43</v>
      </c>
      <c r="N17" s="28"/>
      <c r="O17" s="28"/>
    </row>
    <row r="18" ht="57.75" customHeight="1">
      <c r="A18" s="15" t="s">
        <v>608</v>
      </c>
      <c r="B18" s="17" t="s">
        <v>53</v>
      </c>
      <c r="C18" s="17" t="s">
        <v>36</v>
      </c>
      <c r="D18" s="19" t="s">
        <v>9</v>
      </c>
      <c r="E18" s="21" t="s">
        <v>609</v>
      </c>
      <c r="F18" s="21" t="s">
        <v>610</v>
      </c>
      <c r="G18" s="21" t="s">
        <v>611</v>
      </c>
      <c r="H18" s="21" t="s">
        <v>612</v>
      </c>
      <c r="I18" s="21" t="s">
        <v>613</v>
      </c>
      <c r="J18" s="21" t="s">
        <v>615</v>
      </c>
      <c r="K18" s="23" t="s">
        <v>95</v>
      </c>
      <c r="L18" s="21" t="s">
        <v>616</v>
      </c>
      <c r="M18" s="26" t="s">
        <v>43</v>
      </c>
      <c r="N18" s="17"/>
      <c r="O18" s="17"/>
    </row>
    <row r="19" ht="57.75" customHeight="1">
      <c r="A19" s="15" t="s">
        <v>617</v>
      </c>
      <c r="B19" s="28" t="s">
        <v>53</v>
      </c>
      <c r="C19" s="28" t="s">
        <v>36</v>
      </c>
      <c r="D19" s="19" t="s">
        <v>9</v>
      </c>
      <c r="E19" s="30" t="s">
        <v>618</v>
      </c>
      <c r="F19" s="30" t="s">
        <v>619</v>
      </c>
      <c r="G19" s="30" t="s">
        <v>549</v>
      </c>
      <c r="H19" s="30" t="s">
        <v>620</v>
      </c>
      <c r="I19" s="30" t="s">
        <v>621</v>
      </c>
      <c r="J19" s="30" t="s">
        <v>622</v>
      </c>
      <c r="K19" s="31" t="s">
        <v>95</v>
      </c>
      <c r="L19" s="30" t="s">
        <v>623</v>
      </c>
      <c r="M19" s="26" t="s">
        <v>43</v>
      </c>
      <c r="N19" s="28"/>
      <c r="O19" s="28"/>
    </row>
    <row r="20" ht="57.75" customHeight="1">
      <c r="A20" s="15" t="s">
        <v>624</v>
      </c>
      <c r="B20" s="17" t="s">
        <v>53</v>
      </c>
      <c r="C20" s="17" t="s">
        <v>36</v>
      </c>
      <c r="D20" s="19" t="s">
        <v>9</v>
      </c>
      <c r="E20" s="21" t="s">
        <v>626</v>
      </c>
      <c r="F20" s="21" t="s">
        <v>628</v>
      </c>
      <c r="G20" s="21" t="s">
        <v>629</v>
      </c>
      <c r="H20" s="21" t="s">
        <v>630</v>
      </c>
      <c r="I20" s="21" t="s">
        <v>631</v>
      </c>
      <c r="J20" s="21" t="s">
        <v>633</v>
      </c>
      <c r="K20" s="23" t="s">
        <v>95</v>
      </c>
      <c r="L20" s="21" t="s">
        <v>635</v>
      </c>
      <c r="M20" s="26" t="s">
        <v>43</v>
      </c>
      <c r="N20" s="17"/>
      <c r="O20" s="17"/>
    </row>
    <row r="21" ht="19.5" customHeight="1">
      <c r="A21" s="46" t="s">
        <v>166</v>
      </c>
      <c r="B21" s="3"/>
      <c r="C21" s="3"/>
      <c r="D21" s="3"/>
      <c r="E21" s="3"/>
      <c r="F21" s="3"/>
      <c r="G21" s="3"/>
      <c r="H21" s="3"/>
      <c r="I21" s="3"/>
      <c r="J21" s="3"/>
      <c r="K21" s="3"/>
      <c r="L21" s="3"/>
      <c r="M21" s="3"/>
      <c r="N21" s="3"/>
      <c r="O21" s="4"/>
    </row>
    <row r="22" ht="57.75" customHeight="1">
      <c r="A22" s="15" t="s">
        <v>639</v>
      </c>
      <c r="B22" s="28" t="s">
        <v>53</v>
      </c>
      <c r="C22" s="28" t="s">
        <v>36</v>
      </c>
      <c r="D22" s="22" t="s">
        <v>11</v>
      </c>
      <c r="E22" s="30" t="s">
        <v>641</v>
      </c>
      <c r="F22" s="30" t="s">
        <v>642</v>
      </c>
      <c r="G22" s="30" t="s">
        <v>643</v>
      </c>
      <c r="H22" s="30" t="s">
        <v>531</v>
      </c>
      <c r="I22" s="30" t="s">
        <v>644</v>
      </c>
      <c r="J22" s="30" t="s">
        <v>645</v>
      </c>
      <c r="K22" s="31" t="s">
        <v>40</v>
      </c>
      <c r="L22" s="30" t="s">
        <v>646</v>
      </c>
      <c r="M22" s="26" t="s">
        <v>43</v>
      </c>
      <c r="N22" s="28"/>
      <c r="O22" s="28"/>
    </row>
    <row r="23" ht="57.75" customHeight="1">
      <c r="A23" s="15" t="s">
        <v>647</v>
      </c>
      <c r="B23" s="17" t="s">
        <v>53</v>
      </c>
      <c r="C23" s="17" t="s">
        <v>36</v>
      </c>
      <c r="D23" s="22" t="s">
        <v>11</v>
      </c>
      <c r="E23" s="21" t="s">
        <v>648</v>
      </c>
      <c r="F23" s="21" t="s">
        <v>649</v>
      </c>
      <c r="G23" s="21" t="s">
        <v>651</v>
      </c>
      <c r="H23" s="21" t="s">
        <v>652</v>
      </c>
      <c r="I23" s="21" t="s">
        <v>653</v>
      </c>
      <c r="J23" s="21" t="s">
        <v>654</v>
      </c>
      <c r="K23" s="23" t="s">
        <v>64</v>
      </c>
      <c r="L23" s="21" t="s">
        <v>656</v>
      </c>
      <c r="M23" s="26" t="s">
        <v>43</v>
      </c>
      <c r="N23" s="17"/>
      <c r="O23" s="17"/>
    </row>
    <row r="24" ht="57.75" customHeight="1">
      <c r="A24" s="15" t="s">
        <v>658</v>
      </c>
      <c r="B24" s="28" t="s">
        <v>53</v>
      </c>
      <c r="C24" s="28" t="s">
        <v>36</v>
      </c>
      <c r="D24" s="22" t="s">
        <v>11</v>
      </c>
      <c r="E24" s="30" t="s">
        <v>664</v>
      </c>
      <c r="F24" s="30" t="s">
        <v>665</v>
      </c>
      <c r="G24" s="30" t="s">
        <v>666</v>
      </c>
      <c r="H24" s="30" t="s">
        <v>668</v>
      </c>
      <c r="I24" s="30" t="s">
        <v>669</v>
      </c>
      <c r="J24" s="30" t="s">
        <v>670</v>
      </c>
      <c r="K24" s="31" t="s">
        <v>95</v>
      </c>
      <c r="L24" s="30" t="s">
        <v>672</v>
      </c>
      <c r="M24" s="26" t="s">
        <v>43</v>
      </c>
      <c r="N24" s="28"/>
      <c r="O24" s="28"/>
    </row>
    <row r="25" ht="57.75" customHeight="1">
      <c r="A25" s="15" t="s">
        <v>674</v>
      </c>
      <c r="B25" s="17" t="s">
        <v>53</v>
      </c>
      <c r="C25" s="17" t="s">
        <v>36</v>
      </c>
      <c r="D25" s="22" t="s">
        <v>11</v>
      </c>
      <c r="E25" s="21" t="s">
        <v>677</v>
      </c>
      <c r="F25" s="21" t="s">
        <v>678</v>
      </c>
      <c r="G25" s="21" t="s">
        <v>679</v>
      </c>
      <c r="H25" s="21" t="s">
        <v>681</v>
      </c>
      <c r="I25" s="21" t="s">
        <v>683</v>
      </c>
      <c r="J25" s="21" t="s">
        <v>684</v>
      </c>
      <c r="K25" s="23" t="s">
        <v>64</v>
      </c>
      <c r="L25" s="21" t="s">
        <v>686</v>
      </c>
      <c r="M25" s="26" t="s">
        <v>43</v>
      </c>
      <c r="N25" s="17"/>
      <c r="O25" s="17"/>
    </row>
    <row r="26" ht="57.75" customHeight="1">
      <c r="A26" s="15" t="s">
        <v>688</v>
      </c>
      <c r="B26" s="28" t="s">
        <v>53</v>
      </c>
      <c r="C26" s="28" t="s">
        <v>36</v>
      </c>
      <c r="D26" s="22" t="s">
        <v>11</v>
      </c>
      <c r="E26" s="30" t="s">
        <v>689</v>
      </c>
      <c r="F26" s="30" t="s">
        <v>690</v>
      </c>
      <c r="G26" s="30" t="s">
        <v>691</v>
      </c>
      <c r="H26" s="30" t="s">
        <v>693</v>
      </c>
      <c r="I26" s="30" t="s">
        <v>694</v>
      </c>
      <c r="J26" s="30" t="s">
        <v>695</v>
      </c>
      <c r="K26" s="31" t="s">
        <v>95</v>
      </c>
      <c r="L26" s="30" t="s">
        <v>696</v>
      </c>
      <c r="M26" s="26" t="s">
        <v>43</v>
      </c>
      <c r="N26" s="28"/>
      <c r="O26" s="28"/>
    </row>
    <row r="27" ht="57.75" customHeight="1">
      <c r="A27" s="15" t="s">
        <v>699</v>
      </c>
      <c r="B27" s="17" t="s">
        <v>53</v>
      </c>
      <c r="C27" s="17" t="s">
        <v>36</v>
      </c>
      <c r="D27" s="22" t="s">
        <v>11</v>
      </c>
      <c r="E27" s="21" t="s">
        <v>702</v>
      </c>
      <c r="F27" s="21" t="s">
        <v>704</v>
      </c>
      <c r="G27" s="21" t="s">
        <v>705</v>
      </c>
      <c r="H27" s="21" t="s">
        <v>707</v>
      </c>
      <c r="I27" s="21" t="s">
        <v>708</v>
      </c>
      <c r="J27" s="21" t="s">
        <v>709</v>
      </c>
      <c r="K27" s="23" t="s">
        <v>64</v>
      </c>
      <c r="L27" s="21" t="s">
        <v>711</v>
      </c>
      <c r="M27" s="26" t="s">
        <v>43</v>
      </c>
      <c r="N27" s="17"/>
      <c r="O27" s="17"/>
    </row>
    <row r="28" ht="57.75" customHeight="1">
      <c r="A28" s="15" t="s">
        <v>712</v>
      </c>
      <c r="B28" s="28" t="s">
        <v>53</v>
      </c>
      <c r="C28" s="28" t="s">
        <v>36</v>
      </c>
      <c r="D28" s="22" t="s">
        <v>11</v>
      </c>
      <c r="E28" s="30" t="s">
        <v>715</v>
      </c>
      <c r="F28" s="30" t="s">
        <v>595</v>
      </c>
      <c r="G28" s="30" t="s">
        <v>716</v>
      </c>
      <c r="H28" s="30" t="s">
        <v>718</v>
      </c>
      <c r="I28" s="30" t="s">
        <v>719</v>
      </c>
      <c r="J28" s="30" t="s">
        <v>721</v>
      </c>
      <c r="K28" s="31" t="s">
        <v>95</v>
      </c>
      <c r="L28" s="30" t="s">
        <v>724</v>
      </c>
      <c r="M28" s="26" t="s">
        <v>43</v>
      </c>
      <c r="N28" s="28"/>
      <c r="O28" s="28"/>
    </row>
    <row r="29" ht="57.75" customHeight="1">
      <c r="A29" s="15" t="s">
        <v>727</v>
      </c>
      <c r="B29" s="17" t="s">
        <v>53</v>
      </c>
      <c r="C29" s="17" t="s">
        <v>36</v>
      </c>
      <c r="D29" s="22" t="s">
        <v>11</v>
      </c>
      <c r="E29" s="21" t="s">
        <v>729</v>
      </c>
      <c r="F29" s="21" t="s">
        <v>730</v>
      </c>
      <c r="G29" s="21" t="s">
        <v>731</v>
      </c>
      <c r="H29" s="21" t="s">
        <v>732</v>
      </c>
      <c r="I29" s="21" t="s">
        <v>733</v>
      </c>
      <c r="J29" s="21" t="s">
        <v>735</v>
      </c>
      <c r="K29" s="23" t="s">
        <v>117</v>
      </c>
      <c r="L29" s="21" t="s">
        <v>736</v>
      </c>
      <c r="M29" s="26" t="s">
        <v>43</v>
      </c>
      <c r="N29" s="17"/>
      <c r="O29" s="17"/>
    </row>
    <row r="30" ht="57.75" customHeight="1">
      <c r="A30" s="15" t="s">
        <v>738</v>
      </c>
      <c r="B30" s="28" t="s">
        <v>53</v>
      </c>
      <c r="C30" s="28" t="s">
        <v>36</v>
      </c>
      <c r="D30" s="22" t="s">
        <v>11</v>
      </c>
      <c r="E30" s="30" t="s">
        <v>741</v>
      </c>
      <c r="F30" s="30" t="s">
        <v>683</v>
      </c>
      <c r="G30" s="30" t="s">
        <v>743</v>
      </c>
      <c r="H30" s="30" t="s">
        <v>563</v>
      </c>
      <c r="I30" s="30" t="s">
        <v>745</v>
      </c>
      <c r="J30" s="30" t="s">
        <v>746</v>
      </c>
      <c r="K30" s="31" t="s">
        <v>64</v>
      </c>
      <c r="L30" s="30" t="s">
        <v>748</v>
      </c>
      <c r="M30" s="26" t="s">
        <v>43</v>
      </c>
      <c r="N30" s="28"/>
      <c r="O30" s="28"/>
    </row>
    <row r="31" ht="57.75" customHeight="1">
      <c r="A31" s="15" t="s">
        <v>750</v>
      </c>
      <c r="B31" s="17" t="s">
        <v>53</v>
      </c>
      <c r="C31" s="17" t="s">
        <v>36</v>
      </c>
      <c r="D31" s="22" t="s">
        <v>11</v>
      </c>
      <c r="E31" s="21" t="s">
        <v>751</v>
      </c>
      <c r="F31" s="21" t="s">
        <v>753</v>
      </c>
      <c r="G31" s="21" t="s">
        <v>754</v>
      </c>
      <c r="H31" s="21" t="s">
        <v>755</v>
      </c>
      <c r="I31" s="21" t="s">
        <v>756</v>
      </c>
      <c r="J31" s="21" t="s">
        <v>757</v>
      </c>
      <c r="K31" s="23" t="s">
        <v>64</v>
      </c>
      <c r="L31" s="21" t="s">
        <v>759</v>
      </c>
      <c r="M31" s="26" t="s">
        <v>43</v>
      </c>
      <c r="N31" s="17"/>
      <c r="O31" s="17"/>
    </row>
    <row r="32" ht="57.75" customHeight="1">
      <c r="A32" s="15" t="s">
        <v>762</v>
      </c>
      <c r="B32" s="28" t="s">
        <v>53</v>
      </c>
      <c r="C32" s="28" t="s">
        <v>36</v>
      </c>
      <c r="D32" s="22" t="s">
        <v>11</v>
      </c>
      <c r="E32" s="30" t="s">
        <v>765</v>
      </c>
      <c r="F32" s="30" t="s">
        <v>767</v>
      </c>
      <c r="G32" s="30" t="s">
        <v>768</v>
      </c>
      <c r="H32" s="30" t="s">
        <v>769</v>
      </c>
      <c r="I32" s="30" t="s">
        <v>770</v>
      </c>
      <c r="J32" s="30" t="s">
        <v>771</v>
      </c>
      <c r="K32" s="31" t="s">
        <v>40</v>
      </c>
      <c r="L32" s="30" t="s">
        <v>772</v>
      </c>
      <c r="M32" s="26" t="s">
        <v>43</v>
      </c>
      <c r="N32" s="28"/>
      <c r="O32" s="28"/>
    </row>
    <row r="33" ht="57.75" customHeight="1">
      <c r="A33" s="15" t="s">
        <v>773</v>
      </c>
      <c r="B33" s="17" t="s">
        <v>53</v>
      </c>
      <c r="C33" s="17" t="s">
        <v>36</v>
      </c>
      <c r="D33" s="22" t="s">
        <v>11</v>
      </c>
      <c r="E33" s="21" t="s">
        <v>774</v>
      </c>
      <c r="F33" s="21" t="s">
        <v>665</v>
      </c>
      <c r="G33" s="21" t="s">
        <v>775</v>
      </c>
      <c r="H33" s="21" t="s">
        <v>776</v>
      </c>
      <c r="I33" s="21" t="s">
        <v>619</v>
      </c>
      <c r="J33" s="21" t="s">
        <v>777</v>
      </c>
      <c r="K33" s="23" t="s">
        <v>40</v>
      </c>
      <c r="L33" s="21" t="s">
        <v>778</v>
      </c>
      <c r="M33" s="26" t="s">
        <v>43</v>
      </c>
      <c r="N33" s="17"/>
      <c r="O33" s="17"/>
    </row>
    <row r="34" ht="57.75" customHeight="1">
      <c r="A34" s="15" t="s">
        <v>779</v>
      </c>
      <c r="B34" s="28" t="s">
        <v>53</v>
      </c>
      <c r="C34" s="28" t="s">
        <v>36</v>
      </c>
      <c r="D34" s="22" t="s">
        <v>11</v>
      </c>
      <c r="E34" s="30" t="s">
        <v>780</v>
      </c>
      <c r="F34" s="30" t="s">
        <v>781</v>
      </c>
      <c r="G34" s="30" t="s">
        <v>782</v>
      </c>
      <c r="H34" s="30" t="s">
        <v>783</v>
      </c>
      <c r="I34" s="30" t="s">
        <v>784</v>
      </c>
      <c r="J34" s="30" t="s">
        <v>785</v>
      </c>
      <c r="K34" s="31" t="s">
        <v>117</v>
      </c>
      <c r="L34" s="30" t="s">
        <v>786</v>
      </c>
      <c r="M34" s="26" t="s">
        <v>43</v>
      </c>
      <c r="N34" s="28"/>
      <c r="O34" s="28"/>
    </row>
    <row r="35" ht="57.75" customHeight="1">
      <c r="A35" s="15" t="s">
        <v>787</v>
      </c>
      <c r="B35" s="17" t="s">
        <v>53</v>
      </c>
      <c r="C35" s="17" t="s">
        <v>36</v>
      </c>
      <c r="D35" s="22" t="s">
        <v>11</v>
      </c>
      <c r="E35" s="21" t="s">
        <v>788</v>
      </c>
      <c r="F35" s="21" t="s">
        <v>789</v>
      </c>
      <c r="G35" s="21" t="s">
        <v>790</v>
      </c>
      <c r="H35" s="21" t="s">
        <v>791</v>
      </c>
      <c r="I35" s="21" t="s">
        <v>792</v>
      </c>
      <c r="J35" s="21" t="s">
        <v>793</v>
      </c>
      <c r="K35" s="23" t="s">
        <v>95</v>
      </c>
      <c r="L35" s="21" t="s">
        <v>794</v>
      </c>
      <c r="M35" s="26" t="s">
        <v>43</v>
      </c>
      <c r="N35" s="17"/>
      <c r="O35" s="17"/>
    </row>
    <row r="36" ht="57.75" customHeight="1">
      <c r="A36" s="15" t="s">
        <v>795</v>
      </c>
      <c r="B36" s="28" t="s">
        <v>53</v>
      </c>
      <c r="C36" s="28" t="s">
        <v>36</v>
      </c>
      <c r="D36" s="22" t="s">
        <v>11</v>
      </c>
      <c r="E36" s="30" t="s">
        <v>797</v>
      </c>
      <c r="F36" s="30" t="s">
        <v>798</v>
      </c>
      <c r="G36" s="30" t="s">
        <v>799</v>
      </c>
      <c r="H36" s="30" t="s">
        <v>800</v>
      </c>
      <c r="I36" s="30" t="s">
        <v>801</v>
      </c>
      <c r="J36" s="30" t="s">
        <v>802</v>
      </c>
      <c r="K36" s="31" t="s">
        <v>95</v>
      </c>
      <c r="L36" s="30" t="s">
        <v>803</v>
      </c>
      <c r="M36" s="26" t="s">
        <v>43</v>
      </c>
      <c r="N36" s="28"/>
      <c r="O36" s="28"/>
    </row>
    <row r="37" ht="19.5" customHeight="1">
      <c r="A37" s="63" t="s">
        <v>279</v>
      </c>
      <c r="B37" s="3"/>
      <c r="C37" s="3"/>
      <c r="D37" s="3"/>
      <c r="E37" s="3"/>
      <c r="F37" s="3"/>
      <c r="G37" s="3"/>
      <c r="H37" s="3"/>
      <c r="I37" s="3"/>
      <c r="J37" s="3"/>
      <c r="K37" s="3"/>
      <c r="L37" s="3"/>
      <c r="M37" s="3"/>
      <c r="N37" s="3"/>
      <c r="O37" s="4"/>
    </row>
    <row r="38" ht="57.75" customHeight="1">
      <c r="A38" s="15" t="s">
        <v>811</v>
      </c>
      <c r="B38" s="17" t="s">
        <v>53</v>
      </c>
      <c r="C38" s="17" t="s">
        <v>36</v>
      </c>
      <c r="D38" s="24" t="s">
        <v>12</v>
      </c>
      <c r="E38" s="21" t="s">
        <v>814</v>
      </c>
      <c r="F38" s="21" t="s">
        <v>653</v>
      </c>
      <c r="G38" s="21" t="s">
        <v>817</v>
      </c>
      <c r="H38" s="21" t="s">
        <v>511</v>
      </c>
      <c r="I38" s="21" t="s">
        <v>527</v>
      </c>
      <c r="J38" s="21" t="s">
        <v>512</v>
      </c>
      <c r="K38" s="23" t="s">
        <v>64</v>
      </c>
      <c r="L38" s="21" t="s">
        <v>822</v>
      </c>
      <c r="M38" s="26" t="s">
        <v>43</v>
      </c>
      <c r="N38" s="17"/>
      <c r="O38" s="17"/>
    </row>
    <row r="39" ht="57.75" customHeight="1">
      <c r="A39" s="15" t="s">
        <v>824</v>
      </c>
      <c r="B39" s="28" t="s">
        <v>53</v>
      </c>
      <c r="C39" s="28" t="s">
        <v>36</v>
      </c>
      <c r="D39" s="24" t="s">
        <v>12</v>
      </c>
      <c r="E39" s="30" t="s">
        <v>826</v>
      </c>
      <c r="F39" s="30">
        <v>36.0</v>
      </c>
      <c r="G39" s="30">
        <v>48.0</v>
      </c>
      <c r="H39" s="30">
        <v>54.0</v>
      </c>
      <c r="I39" s="30">
        <v>60.0</v>
      </c>
      <c r="J39" s="30">
        <v>72.0</v>
      </c>
      <c r="K39" s="31" t="s">
        <v>95</v>
      </c>
      <c r="L39" s="30" t="s">
        <v>831</v>
      </c>
      <c r="M39" s="26" t="s">
        <v>43</v>
      </c>
      <c r="N39" s="28"/>
      <c r="O39" s="28"/>
    </row>
    <row r="40" ht="57.75" customHeight="1">
      <c r="A40" s="15" t="s">
        <v>835</v>
      </c>
      <c r="B40" s="17" t="s">
        <v>53</v>
      </c>
      <c r="C40" s="17" t="s">
        <v>36</v>
      </c>
      <c r="D40" s="24" t="s">
        <v>12</v>
      </c>
      <c r="E40" s="21" t="s">
        <v>836</v>
      </c>
      <c r="F40" s="21" t="s">
        <v>837</v>
      </c>
      <c r="G40" s="21" t="s">
        <v>838</v>
      </c>
      <c r="H40" s="21" t="s">
        <v>839</v>
      </c>
      <c r="I40" s="21" t="s">
        <v>840</v>
      </c>
      <c r="J40" s="21" t="s">
        <v>841</v>
      </c>
      <c r="K40" s="23" t="s">
        <v>117</v>
      </c>
      <c r="L40" s="21" t="s">
        <v>843</v>
      </c>
      <c r="M40" s="26" t="s">
        <v>43</v>
      </c>
      <c r="N40" s="17"/>
      <c r="O40" s="17"/>
    </row>
    <row r="41" ht="57.75" customHeight="1">
      <c r="A41" s="15" t="s">
        <v>844</v>
      </c>
      <c r="B41" s="28" t="s">
        <v>53</v>
      </c>
      <c r="C41" s="28" t="s">
        <v>36</v>
      </c>
      <c r="D41" s="24" t="s">
        <v>12</v>
      </c>
      <c r="E41" s="30" t="s">
        <v>845</v>
      </c>
      <c r="F41" s="30" t="s">
        <v>499</v>
      </c>
      <c r="G41" s="30" t="s">
        <v>500</v>
      </c>
      <c r="H41" s="30" t="s">
        <v>501</v>
      </c>
      <c r="I41" s="30" t="s">
        <v>502</v>
      </c>
      <c r="J41" s="30" t="s">
        <v>503</v>
      </c>
      <c r="K41" s="31" t="s">
        <v>40</v>
      </c>
      <c r="L41" s="30" t="s">
        <v>847</v>
      </c>
      <c r="M41" s="26" t="s">
        <v>43</v>
      </c>
      <c r="N41" s="28"/>
      <c r="O41" s="28"/>
    </row>
    <row r="42" ht="57.75" customHeight="1">
      <c r="A42" s="15" t="s">
        <v>849</v>
      </c>
      <c r="B42" s="17" t="s">
        <v>53</v>
      </c>
      <c r="C42" s="17" t="s">
        <v>36</v>
      </c>
      <c r="D42" s="24" t="s">
        <v>12</v>
      </c>
      <c r="E42" s="21" t="s">
        <v>854</v>
      </c>
      <c r="F42" s="21" t="s">
        <v>858</v>
      </c>
      <c r="G42" s="21" t="s">
        <v>859</v>
      </c>
      <c r="H42" s="21" t="s">
        <v>299</v>
      </c>
      <c r="I42" s="21" t="s">
        <v>301</v>
      </c>
      <c r="J42" s="21" t="s">
        <v>861</v>
      </c>
      <c r="K42" s="23" t="s">
        <v>64</v>
      </c>
      <c r="L42" s="21" t="s">
        <v>863</v>
      </c>
      <c r="M42" s="26" t="s">
        <v>43</v>
      </c>
      <c r="N42" s="17"/>
      <c r="O42" s="17"/>
    </row>
    <row r="43" ht="57.75" customHeight="1">
      <c r="A43" s="15" t="s">
        <v>865</v>
      </c>
      <c r="B43" s="28" t="s">
        <v>53</v>
      </c>
      <c r="C43" s="28" t="s">
        <v>36</v>
      </c>
      <c r="D43" s="24" t="s">
        <v>12</v>
      </c>
      <c r="E43" s="30" t="s">
        <v>868</v>
      </c>
      <c r="F43" s="30" t="s">
        <v>870</v>
      </c>
      <c r="G43" s="30" t="s">
        <v>872</v>
      </c>
      <c r="H43" s="30" t="s">
        <v>873</v>
      </c>
      <c r="I43" s="30" t="s">
        <v>874</v>
      </c>
      <c r="J43" s="30" t="s">
        <v>875</v>
      </c>
      <c r="K43" s="31" t="s">
        <v>95</v>
      </c>
      <c r="L43" s="30" t="s">
        <v>877</v>
      </c>
      <c r="M43" s="26" t="s">
        <v>43</v>
      </c>
      <c r="N43" s="28"/>
      <c r="O43" s="28"/>
    </row>
    <row r="44" ht="57.75" customHeight="1">
      <c r="A44" s="15" t="s">
        <v>878</v>
      </c>
      <c r="B44" s="17" t="s">
        <v>53</v>
      </c>
      <c r="C44" s="17" t="s">
        <v>36</v>
      </c>
      <c r="D44" s="24" t="s">
        <v>12</v>
      </c>
      <c r="E44" s="21" t="s">
        <v>883</v>
      </c>
      <c r="F44" s="21" t="s">
        <v>679</v>
      </c>
      <c r="G44" s="21" t="s">
        <v>886</v>
      </c>
      <c r="H44" s="21" t="s">
        <v>683</v>
      </c>
      <c r="I44" s="21" t="s">
        <v>684</v>
      </c>
      <c r="J44" s="21" t="s">
        <v>743</v>
      </c>
      <c r="K44" s="23" t="s">
        <v>64</v>
      </c>
      <c r="L44" s="21" t="s">
        <v>889</v>
      </c>
      <c r="M44" s="26" t="s">
        <v>43</v>
      </c>
      <c r="N44" s="17"/>
      <c r="O44" s="17"/>
    </row>
    <row r="45" ht="57.75" customHeight="1">
      <c r="A45" s="15" t="s">
        <v>890</v>
      </c>
      <c r="B45" s="28" t="s">
        <v>53</v>
      </c>
      <c r="C45" s="28" t="s">
        <v>36</v>
      </c>
      <c r="D45" s="24" t="s">
        <v>12</v>
      </c>
      <c r="E45" s="30" t="s">
        <v>891</v>
      </c>
      <c r="F45" s="30" t="s">
        <v>681</v>
      </c>
      <c r="G45" s="30" t="s">
        <v>886</v>
      </c>
      <c r="H45" s="30" t="s">
        <v>683</v>
      </c>
      <c r="I45" s="30" t="s">
        <v>743</v>
      </c>
      <c r="J45" s="30" t="s">
        <v>563</v>
      </c>
      <c r="K45" s="31" t="s">
        <v>40</v>
      </c>
      <c r="L45" s="30" t="s">
        <v>894</v>
      </c>
      <c r="M45" s="26" t="s">
        <v>43</v>
      </c>
      <c r="N45" s="28"/>
      <c r="O45" s="28"/>
    </row>
    <row r="46" ht="57.75" customHeight="1">
      <c r="A46" s="15" t="s">
        <v>895</v>
      </c>
      <c r="B46" s="17" t="s">
        <v>53</v>
      </c>
      <c r="C46" s="17" t="s">
        <v>36</v>
      </c>
      <c r="D46" s="24" t="s">
        <v>12</v>
      </c>
      <c r="E46" s="21" t="s">
        <v>897</v>
      </c>
      <c r="F46" s="21" t="s">
        <v>899</v>
      </c>
      <c r="G46" s="21" t="s">
        <v>900</v>
      </c>
      <c r="H46" s="21" t="s">
        <v>902</v>
      </c>
      <c r="I46" s="21" t="s">
        <v>903</v>
      </c>
      <c r="J46" s="21" t="s">
        <v>905</v>
      </c>
      <c r="K46" s="23" t="s">
        <v>117</v>
      </c>
      <c r="L46" s="21" t="s">
        <v>908</v>
      </c>
      <c r="M46" s="26" t="s">
        <v>43</v>
      </c>
      <c r="N46" s="17"/>
      <c r="O46" s="17"/>
    </row>
    <row r="47" ht="57.75" customHeight="1">
      <c r="A47" s="15" t="s">
        <v>910</v>
      </c>
      <c r="B47" s="28" t="s">
        <v>53</v>
      </c>
      <c r="C47" s="28" t="s">
        <v>36</v>
      </c>
      <c r="D47" s="24" t="s">
        <v>12</v>
      </c>
      <c r="E47" s="30" t="s">
        <v>911</v>
      </c>
      <c r="F47" s="30" t="s">
        <v>858</v>
      </c>
      <c r="G47" s="30" t="s">
        <v>859</v>
      </c>
      <c r="H47" s="30" t="s">
        <v>299</v>
      </c>
      <c r="I47" s="30" t="s">
        <v>301</v>
      </c>
      <c r="J47" s="30" t="s">
        <v>913</v>
      </c>
      <c r="K47" s="31" t="s">
        <v>40</v>
      </c>
      <c r="L47" s="30" t="s">
        <v>915</v>
      </c>
      <c r="M47" s="26" t="s">
        <v>43</v>
      </c>
      <c r="N47" s="28"/>
      <c r="O47" s="28"/>
    </row>
    <row r="48" ht="57.75" customHeight="1">
      <c r="A48" s="15" t="s">
        <v>916</v>
      </c>
      <c r="B48" s="17" t="s">
        <v>53</v>
      </c>
      <c r="C48" s="17" t="s">
        <v>36</v>
      </c>
      <c r="D48" s="24" t="s">
        <v>12</v>
      </c>
      <c r="E48" s="21" t="s">
        <v>917</v>
      </c>
      <c r="F48" s="21" t="s">
        <v>837</v>
      </c>
      <c r="G48" s="21" t="s">
        <v>838</v>
      </c>
      <c r="H48" s="21" t="s">
        <v>839</v>
      </c>
      <c r="I48" s="21" t="s">
        <v>840</v>
      </c>
      <c r="J48" s="21" t="s">
        <v>841</v>
      </c>
      <c r="K48" s="23" t="s">
        <v>117</v>
      </c>
      <c r="L48" s="21" t="s">
        <v>919</v>
      </c>
      <c r="M48" s="26" t="s">
        <v>43</v>
      </c>
      <c r="N48" s="17"/>
      <c r="O48" s="17"/>
    </row>
    <row r="49" ht="57.75" customHeight="1">
      <c r="A49" s="15" t="s">
        <v>922</v>
      </c>
      <c r="B49" s="28" t="s">
        <v>53</v>
      </c>
      <c r="C49" s="28" t="s">
        <v>36</v>
      </c>
      <c r="D49" s="24" t="s">
        <v>12</v>
      </c>
      <c r="E49" s="30" t="s">
        <v>925</v>
      </c>
      <c r="F49" s="30" t="s">
        <v>926</v>
      </c>
      <c r="G49" s="30" t="s">
        <v>652</v>
      </c>
      <c r="H49" s="30" t="s">
        <v>817</v>
      </c>
      <c r="I49" s="30" t="s">
        <v>927</v>
      </c>
      <c r="J49" s="30" t="s">
        <v>514</v>
      </c>
      <c r="K49" s="31" t="s">
        <v>64</v>
      </c>
      <c r="L49" s="30" t="s">
        <v>928</v>
      </c>
      <c r="M49" s="26" t="s">
        <v>43</v>
      </c>
      <c r="N49" s="28"/>
      <c r="O49" s="28"/>
    </row>
    <row r="50" ht="57.75" customHeight="1">
      <c r="A50" s="15" t="s">
        <v>930</v>
      </c>
      <c r="B50" s="17" t="s">
        <v>53</v>
      </c>
      <c r="C50" s="17" t="s">
        <v>36</v>
      </c>
      <c r="D50" s="24" t="s">
        <v>12</v>
      </c>
      <c r="E50" s="21" t="s">
        <v>932</v>
      </c>
      <c r="F50" s="21">
        <v>24.0</v>
      </c>
      <c r="G50" s="21">
        <v>30.0</v>
      </c>
      <c r="H50" s="21">
        <v>36.0</v>
      </c>
      <c r="I50" s="21">
        <v>42.0</v>
      </c>
      <c r="J50" s="21">
        <v>48.0</v>
      </c>
      <c r="K50" s="23" t="s">
        <v>95</v>
      </c>
      <c r="L50" s="21" t="s">
        <v>934</v>
      </c>
      <c r="M50" s="26" t="s">
        <v>43</v>
      </c>
      <c r="N50" s="17"/>
      <c r="O50" s="17"/>
    </row>
    <row r="51" ht="57.75" customHeight="1">
      <c r="A51" s="15" t="s">
        <v>935</v>
      </c>
      <c r="B51" s="28" t="s">
        <v>53</v>
      </c>
      <c r="C51" s="28" t="s">
        <v>36</v>
      </c>
      <c r="D51" s="24" t="s">
        <v>12</v>
      </c>
      <c r="E51" s="30" t="s">
        <v>937</v>
      </c>
      <c r="F51" s="30" t="s">
        <v>938</v>
      </c>
      <c r="G51" s="30" t="s">
        <v>940</v>
      </c>
      <c r="H51" s="30" t="s">
        <v>942</v>
      </c>
      <c r="I51" s="30" t="s">
        <v>943</v>
      </c>
      <c r="J51" s="30" t="s">
        <v>944</v>
      </c>
      <c r="K51" s="31" t="s">
        <v>40</v>
      </c>
      <c r="L51" s="30" t="s">
        <v>946</v>
      </c>
      <c r="M51" s="26" t="s">
        <v>43</v>
      </c>
      <c r="N51" s="28"/>
      <c r="O51" s="28"/>
    </row>
    <row r="52" ht="57.75" customHeight="1">
      <c r="A52" s="15" t="s">
        <v>948</v>
      </c>
      <c r="B52" s="17" t="s">
        <v>53</v>
      </c>
      <c r="C52" s="17" t="s">
        <v>36</v>
      </c>
      <c r="D52" s="24" t="s">
        <v>12</v>
      </c>
      <c r="E52" s="21" t="s">
        <v>951</v>
      </c>
      <c r="F52" s="21" t="s">
        <v>858</v>
      </c>
      <c r="G52" s="21" t="s">
        <v>859</v>
      </c>
      <c r="H52" s="21" t="s">
        <v>299</v>
      </c>
      <c r="I52" s="21" t="s">
        <v>301</v>
      </c>
      <c r="J52" s="21" t="s">
        <v>861</v>
      </c>
      <c r="K52" s="23" t="s">
        <v>40</v>
      </c>
      <c r="L52" s="21" t="s">
        <v>956</v>
      </c>
      <c r="M52" s="26" t="s">
        <v>43</v>
      </c>
      <c r="N52" s="17"/>
      <c r="O52" s="17"/>
    </row>
    <row r="53" ht="25.5" customHeight="1">
      <c r="A53" s="55" t="s">
        <v>960</v>
      </c>
      <c r="B53" s="57"/>
      <c r="C53" s="57"/>
      <c r="D53" s="57"/>
      <c r="E53" s="57"/>
      <c r="F53" s="57"/>
      <c r="G53" s="57"/>
      <c r="H53" s="57"/>
      <c r="I53" s="57"/>
      <c r="J53" s="58"/>
      <c r="M53" s="71">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2" t="s">
        <v>508</v>
      </c>
      <c r="B1" s="3"/>
      <c r="C1" s="3"/>
      <c r="D1" s="3"/>
      <c r="E1" s="3"/>
      <c r="F1" s="3"/>
      <c r="G1" s="3"/>
      <c r="H1" s="3"/>
      <c r="I1" s="3"/>
      <c r="J1" s="3"/>
      <c r="K1" s="3"/>
      <c r="L1" s="3"/>
      <c r="M1" s="3"/>
      <c r="N1" s="3"/>
      <c r="O1" s="4"/>
    </row>
    <row r="2" ht="30.0" customHeight="1">
      <c r="A2" s="5" t="s">
        <v>521</v>
      </c>
      <c r="B2" s="3"/>
      <c r="C2" s="3"/>
      <c r="D2" s="3"/>
      <c r="E2" s="3"/>
      <c r="F2" s="3"/>
      <c r="G2" s="3"/>
      <c r="H2" s="3"/>
      <c r="I2" s="3"/>
      <c r="J2" s="3"/>
      <c r="K2" s="3"/>
      <c r="L2" s="3"/>
      <c r="M2" s="3"/>
      <c r="N2" s="3"/>
      <c r="O2" s="4"/>
    </row>
    <row r="3" ht="19.5" customHeight="1">
      <c r="A3" s="7" t="s">
        <v>6</v>
      </c>
      <c r="B3" s="3"/>
      <c r="C3" s="3"/>
      <c r="D3" s="3"/>
      <c r="E3" s="3"/>
      <c r="F3" s="3"/>
      <c r="G3" s="3"/>
      <c r="H3" s="3"/>
      <c r="I3" s="3"/>
      <c r="J3" s="3"/>
      <c r="K3" s="3"/>
      <c r="L3" s="3"/>
      <c r="M3" s="3"/>
      <c r="N3" s="3"/>
      <c r="O3" s="4"/>
    </row>
    <row r="4" ht="24.75" customHeight="1">
      <c r="A4" s="9" t="s">
        <v>8</v>
      </c>
      <c r="B4" s="9" t="s">
        <v>7</v>
      </c>
      <c r="C4" s="9" t="s">
        <v>13</v>
      </c>
      <c r="D4" s="9" t="s">
        <v>15</v>
      </c>
      <c r="E4" s="9" t="s">
        <v>17</v>
      </c>
      <c r="F4" s="9" t="s">
        <v>18</v>
      </c>
      <c r="G4" s="9" t="s">
        <v>20</v>
      </c>
      <c r="H4" s="9" t="s">
        <v>21</v>
      </c>
      <c r="I4" s="9" t="s">
        <v>22</v>
      </c>
      <c r="J4" s="9" t="s">
        <v>23</v>
      </c>
      <c r="K4" s="9" t="s">
        <v>25</v>
      </c>
      <c r="L4" s="9" t="s">
        <v>26</v>
      </c>
      <c r="M4" s="9" t="s">
        <v>19</v>
      </c>
      <c r="N4" s="9" t="s">
        <v>27</v>
      </c>
      <c r="O4" s="9" t="s">
        <v>28</v>
      </c>
    </row>
    <row r="5" ht="19.5" customHeight="1">
      <c r="A5" s="13" t="s">
        <v>29</v>
      </c>
      <c r="B5" s="3"/>
      <c r="C5" s="3"/>
      <c r="D5" s="3"/>
      <c r="E5" s="3"/>
      <c r="F5" s="3"/>
      <c r="G5" s="3"/>
      <c r="H5" s="3"/>
      <c r="I5" s="3"/>
      <c r="J5" s="3"/>
      <c r="K5" s="3"/>
      <c r="L5" s="3"/>
      <c r="M5" s="3"/>
      <c r="N5" s="3"/>
      <c r="O5" s="4"/>
    </row>
    <row r="6" ht="57.75" customHeight="1">
      <c r="A6" s="15" t="s">
        <v>568</v>
      </c>
      <c r="B6" s="17" t="s">
        <v>57</v>
      </c>
      <c r="C6" s="17" t="s">
        <v>36</v>
      </c>
      <c r="D6" s="19" t="s">
        <v>9</v>
      </c>
      <c r="E6" s="21" t="s">
        <v>583</v>
      </c>
      <c r="F6" s="21" t="s">
        <v>535</v>
      </c>
      <c r="G6" s="21" t="s">
        <v>588</v>
      </c>
      <c r="H6" s="21" t="s">
        <v>589</v>
      </c>
      <c r="I6" s="21" t="s">
        <v>592</v>
      </c>
      <c r="J6" s="21" t="s">
        <v>596</v>
      </c>
      <c r="K6" s="23" t="s">
        <v>95</v>
      </c>
      <c r="L6" s="21" t="s">
        <v>603</v>
      </c>
      <c r="M6" s="26" t="s">
        <v>43</v>
      </c>
      <c r="N6" s="17"/>
      <c r="O6" s="17"/>
    </row>
    <row r="7" ht="57.75" customHeight="1">
      <c r="A7" s="15" t="s">
        <v>614</v>
      </c>
      <c r="B7" s="28" t="s">
        <v>57</v>
      </c>
      <c r="C7" s="28" t="s">
        <v>36</v>
      </c>
      <c r="D7" s="19" t="s">
        <v>9</v>
      </c>
      <c r="E7" s="30" t="s">
        <v>625</v>
      </c>
      <c r="F7" s="30" t="s">
        <v>627</v>
      </c>
      <c r="G7" s="30" t="s">
        <v>533</v>
      </c>
      <c r="H7" s="30" t="s">
        <v>632</v>
      </c>
      <c r="I7" s="30" t="s">
        <v>634</v>
      </c>
      <c r="J7" s="30" t="s">
        <v>636</v>
      </c>
      <c r="K7" s="31" t="s">
        <v>95</v>
      </c>
      <c r="L7" s="30" t="s">
        <v>637</v>
      </c>
      <c r="M7" s="26" t="s">
        <v>43</v>
      </c>
      <c r="N7" s="28"/>
      <c r="O7" s="28"/>
    </row>
    <row r="8" ht="57.75" customHeight="1">
      <c r="A8" s="15" t="s">
        <v>638</v>
      </c>
      <c r="B8" s="17" t="s">
        <v>57</v>
      </c>
      <c r="C8" s="17" t="s">
        <v>36</v>
      </c>
      <c r="D8" s="19" t="s">
        <v>9</v>
      </c>
      <c r="E8" s="21" t="s">
        <v>640</v>
      </c>
      <c r="F8" s="70">
        <v>0.3</v>
      </c>
      <c r="G8" s="70">
        <v>0.28</v>
      </c>
      <c r="H8" s="70">
        <v>0.25</v>
      </c>
      <c r="I8" s="70">
        <v>0.22</v>
      </c>
      <c r="J8" s="70">
        <v>0.18</v>
      </c>
      <c r="K8" s="23" t="s">
        <v>64</v>
      </c>
      <c r="L8" s="21" t="s">
        <v>650</v>
      </c>
      <c r="M8" s="26" t="s">
        <v>43</v>
      </c>
      <c r="N8" s="17"/>
      <c r="O8" s="17"/>
    </row>
    <row r="9" ht="57.75" customHeight="1">
      <c r="A9" s="15" t="s">
        <v>655</v>
      </c>
      <c r="B9" s="28" t="s">
        <v>57</v>
      </c>
      <c r="C9" s="28" t="s">
        <v>36</v>
      </c>
      <c r="D9" s="19" t="s">
        <v>9</v>
      </c>
      <c r="E9" s="30" t="s">
        <v>657</v>
      </c>
      <c r="F9" s="30" t="s">
        <v>659</v>
      </c>
      <c r="G9" s="30" t="s">
        <v>660</v>
      </c>
      <c r="H9" s="30" t="s">
        <v>661</v>
      </c>
      <c r="I9" s="30" t="s">
        <v>662</v>
      </c>
      <c r="J9" s="30" t="s">
        <v>663</v>
      </c>
      <c r="K9" s="31" t="s">
        <v>95</v>
      </c>
      <c r="L9" s="30" t="s">
        <v>667</v>
      </c>
      <c r="M9" s="26" t="s">
        <v>43</v>
      </c>
      <c r="N9" s="28"/>
      <c r="O9" s="28"/>
    </row>
    <row r="10" ht="57.75" customHeight="1">
      <c r="A10" s="15" t="s">
        <v>671</v>
      </c>
      <c r="B10" s="17" t="s">
        <v>57</v>
      </c>
      <c r="C10" s="17" t="s">
        <v>36</v>
      </c>
      <c r="D10" s="19" t="s">
        <v>9</v>
      </c>
      <c r="E10" s="21" t="s">
        <v>675</v>
      </c>
      <c r="F10" s="21" t="s">
        <v>676</v>
      </c>
      <c r="G10" s="21" t="s">
        <v>558</v>
      </c>
      <c r="H10" s="21" t="s">
        <v>680</v>
      </c>
      <c r="I10" s="21" t="s">
        <v>682</v>
      </c>
      <c r="J10" s="21" t="s">
        <v>685</v>
      </c>
      <c r="K10" s="23" t="s">
        <v>95</v>
      </c>
      <c r="L10" s="21" t="s">
        <v>687</v>
      </c>
      <c r="M10" s="26" t="s">
        <v>43</v>
      </c>
      <c r="N10" s="17"/>
      <c r="O10" s="17"/>
    </row>
    <row r="11" ht="57.75" customHeight="1">
      <c r="A11" s="15" t="s">
        <v>692</v>
      </c>
      <c r="B11" s="28" t="s">
        <v>57</v>
      </c>
      <c r="C11" s="28" t="s">
        <v>36</v>
      </c>
      <c r="D11" s="19" t="s">
        <v>9</v>
      </c>
      <c r="E11" s="30" t="s">
        <v>697</v>
      </c>
      <c r="F11" s="30" t="s">
        <v>698</v>
      </c>
      <c r="G11" s="30" t="s">
        <v>700</v>
      </c>
      <c r="H11" s="30" t="s">
        <v>701</v>
      </c>
      <c r="I11" s="30" t="s">
        <v>703</v>
      </c>
      <c r="J11" s="30" t="s">
        <v>706</v>
      </c>
      <c r="K11" s="31" t="s">
        <v>117</v>
      </c>
      <c r="L11" s="30" t="s">
        <v>710</v>
      </c>
      <c r="M11" s="26" t="s">
        <v>43</v>
      </c>
      <c r="N11" s="28"/>
      <c r="O11" s="28"/>
    </row>
    <row r="12" ht="57.75" customHeight="1">
      <c r="A12" s="15" t="s">
        <v>713</v>
      </c>
      <c r="B12" s="17" t="s">
        <v>57</v>
      </c>
      <c r="C12" s="17" t="s">
        <v>36</v>
      </c>
      <c r="D12" s="19" t="s">
        <v>9</v>
      </c>
      <c r="E12" s="21" t="s">
        <v>717</v>
      </c>
      <c r="F12" s="21" t="s">
        <v>720</v>
      </c>
      <c r="G12" s="21" t="s">
        <v>722</v>
      </c>
      <c r="H12" s="21" t="s">
        <v>723</v>
      </c>
      <c r="I12" s="21" t="s">
        <v>725</v>
      </c>
      <c r="J12" s="21" t="s">
        <v>726</v>
      </c>
      <c r="K12" s="23" t="s">
        <v>117</v>
      </c>
      <c r="L12" s="21" t="s">
        <v>728</v>
      </c>
      <c r="M12" s="26" t="s">
        <v>43</v>
      </c>
      <c r="N12" s="17"/>
      <c r="O12" s="17"/>
    </row>
    <row r="13" ht="57.75" customHeight="1">
      <c r="A13" s="15" t="s">
        <v>734</v>
      </c>
      <c r="B13" s="28" t="s">
        <v>57</v>
      </c>
      <c r="C13" s="28" t="s">
        <v>36</v>
      </c>
      <c r="D13" s="19" t="s">
        <v>9</v>
      </c>
      <c r="E13" s="30" t="s">
        <v>737</v>
      </c>
      <c r="F13" s="30" t="s">
        <v>739</v>
      </c>
      <c r="G13" s="30" t="s">
        <v>740</v>
      </c>
      <c r="H13" s="30" t="s">
        <v>742</v>
      </c>
      <c r="I13" s="30" t="s">
        <v>744</v>
      </c>
      <c r="J13" s="30" t="s">
        <v>747</v>
      </c>
      <c r="K13" s="31" t="s">
        <v>40</v>
      </c>
      <c r="L13" s="30" t="s">
        <v>749</v>
      </c>
      <c r="M13" s="26" t="s">
        <v>43</v>
      </c>
      <c r="N13" s="28"/>
      <c r="O13" s="28"/>
    </row>
    <row r="14" ht="57.75" customHeight="1">
      <c r="A14" s="15" t="s">
        <v>752</v>
      </c>
      <c r="B14" s="17" t="s">
        <v>57</v>
      </c>
      <c r="C14" s="17" t="s">
        <v>36</v>
      </c>
      <c r="D14" s="19" t="s">
        <v>9</v>
      </c>
      <c r="E14" s="21" t="s">
        <v>758</v>
      </c>
      <c r="F14" s="21" t="s">
        <v>760</v>
      </c>
      <c r="G14" s="21" t="s">
        <v>761</v>
      </c>
      <c r="H14" s="21" t="s">
        <v>763</v>
      </c>
      <c r="I14" s="21" t="s">
        <v>764</v>
      </c>
      <c r="J14" s="21" t="s">
        <v>766</v>
      </c>
      <c r="K14" s="23" t="s">
        <v>64</v>
      </c>
      <c r="L14" s="21" t="s">
        <v>796</v>
      </c>
      <c r="M14" s="26" t="s">
        <v>43</v>
      </c>
      <c r="N14" s="17"/>
      <c r="O14" s="17"/>
    </row>
    <row r="15" ht="57.75" customHeight="1">
      <c r="A15" s="15" t="s">
        <v>804</v>
      </c>
      <c r="B15" s="28" t="s">
        <v>57</v>
      </c>
      <c r="C15" s="28" t="s">
        <v>36</v>
      </c>
      <c r="D15" s="19" t="s">
        <v>9</v>
      </c>
      <c r="E15" s="30" t="s">
        <v>805</v>
      </c>
      <c r="F15" s="30" t="s">
        <v>643</v>
      </c>
      <c r="G15" s="30" t="s">
        <v>806</v>
      </c>
      <c r="H15" s="30" t="s">
        <v>807</v>
      </c>
      <c r="I15" s="30" t="s">
        <v>808</v>
      </c>
      <c r="J15" s="30" t="s">
        <v>809</v>
      </c>
      <c r="K15" s="31" t="s">
        <v>64</v>
      </c>
      <c r="L15" s="30" t="s">
        <v>810</v>
      </c>
      <c r="M15" s="26" t="s">
        <v>43</v>
      </c>
      <c r="N15" s="28"/>
      <c r="O15" s="28"/>
    </row>
    <row r="16" ht="57.75" customHeight="1">
      <c r="A16" s="15" t="s">
        <v>812</v>
      </c>
      <c r="B16" s="17" t="s">
        <v>57</v>
      </c>
      <c r="C16" s="17" t="s">
        <v>36</v>
      </c>
      <c r="D16" s="19" t="s">
        <v>9</v>
      </c>
      <c r="E16" s="21" t="s">
        <v>813</v>
      </c>
      <c r="F16" s="21" t="s">
        <v>815</v>
      </c>
      <c r="G16" s="21" t="s">
        <v>816</v>
      </c>
      <c r="H16" s="21" t="s">
        <v>818</v>
      </c>
      <c r="I16" s="21" t="s">
        <v>819</v>
      </c>
      <c r="J16" s="21" t="s">
        <v>820</v>
      </c>
      <c r="K16" s="23" t="s">
        <v>95</v>
      </c>
      <c r="L16" s="21" t="s">
        <v>823</v>
      </c>
      <c r="M16" s="26" t="s">
        <v>43</v>
      </c>
      <c r="N16" s="17"/>
      <c r="O16" s="17"/>
    </row>
    <row r="17" ht="57.75" customHeight="1">
      <c r="A17" s="15" t="s">
        <v>825</v>
      </c>
      <c r="B17" s="28" t="s">
        <v>57</v>
      </c>
      <c r="C17" s="28" t="s">
        <v>36</v>
      </c>
      <c r="D17" s="19" t="s">
        <v>9</v>
      </c>
      <c r="E17" s="30" t="s">
        <v>827</v>
      </c>
      <c r="F17" s="30" t="s">
        <v>828</v>
      </c>
      <c r="G17" s="30" t="s">
        <v>829</v>
      </c>
      <c r="H17" s="30" t="s">
        <v>830</v>
      </c>
      <c r="I17" s="30" t="s">
        <v>832</v>
      </c>
      <c r="J17" s="30" t="s">
        <v>833</v>
      </c>
      <c r="K17" s="31" t="s">
        <v>64</v>
      </c>
      <c r="L17" s="30" t="s">
        <v>850</v>
      </c>
      <c r="M17" s="26" t="s">
        <v>43</v>
      </c>
      <c r="N17" s="28"/>
      <c r="O17" s="28"/>
    </row>
    <row r="18" ht="57.75" customHeight="1">
      <c r="A18" s="15" t="s">
        <v>856</v>
      </c>
      <c r="B18" s="17" t="s">
        <v>57</v>
      </c>
      <c r="C18" s="17" t="s">
        <v>36</v>
      </c>
      <c r="D18" s="19" t="s">
        <v>9</v>
      </c>
      <c r="E18" s="21" t="s">
        <v>860</v>
      </c>
      <c r="F18" s="21" t="s">
        <v>531</v>
      </c>
      <c r="G18" s="21" t="s">
        <v>676</v>
      </c>
      <c r="H18" s="21" t="s">
        <v>864</v>
      </c>
      <c r="I18" s="21" t="s">
        <v>680</v>
      </c>
      <c r="J18" s="21" t="s">
        <v>867</v>
      </c>
      <c r="K18" s="23" t="s">
        <v>40</v>
      </c>
      <c r="L18" s="21" t="s">
        <v>869</v>
      </c>
      <c r="M18" s="26" t="s">
        <v>43</v>
      </c>
      <c r="N18" s="17"/>
      <c r="O18" s="17"/>
    </row>
    <row r="19" ht="57.75" customHeight="1">
      <c r="A19" s="15" t="s">
        <v>876</v>
      </c>
      <c r="B19" s="28" t="s">
        <v>57</v>
      </c>
      <c r="C19" s="28" t="s">
        <v>36</v>
      </c>
      <c r="D19" s="19" t="s">
        <v>9</v>
      </c>
      <c r="E19" s="30" t="s">
        <v>879</v>
      </c>
      <c r="F19" s="30" t="s">
        <v>881</v>
      </c>
      <c r="G19" s="30" t="s">
        <v>882</v>
      </c>
      <c r="H19" s="30" t="s">
        <v>885</v>
      </c>
      <c r="I19" s="30" t="s">
        <v>887</v>
      </c>
      <c r="J19" s="30" t="s">
        <v>921</v>
      </c>
      <c r="K19" s="31" t="s">
        <v>95</v>
      </c>
      <c r="L19" s="30" t="s">
        <v>924</v>
      </c>
      <c r="M19" s="26" t="s">
        <v>43</v>
      </c>
      <c r="N19" s="28"/>
      <c r="O19" s="28"/>
    </row>
    <row r="20" ht="57.75" customHeight="1">
      <c r="A20" s="15" t="s">
        <v>939</v>
      </c>
      <c r="B20" s="17" t="s">
        <v>57</v>
      </c>
      <c r="C20" s="17" t="s">
        <v>36</v>
      </c>
      <c r="D20" s="19" t="s">
        <v>9</v>
      </c>
      <c r="E20" s="21" t="s">
        <v>947</v>
      </c>
      <c r="F20" s="21" t="s">
        <v>636</v>
      </c>
      <c r="G20" s="21" t="s">
        <v>949</v>
      </c>
      <c r="H20" s="21" t="s">
        <v>950</v>
      </c>
      <c r="I20" s="21" t="s">
        <v>952</v>
      </c>
      <c r="J20" s="21" t="s">
        <v>954</v>
      </c>
      <c r="K20" s="23" t="s">
        <v>95</v>
      </c>
      <c r="L20" s="21" t="s">
        <v>966</v>
      </c>
      <c r="M20" s="26" t="s">
        <v>43</v>
      </c>
      <c r="N20" s="17"/>
      <c r="O20" s="17"/>
    </row>
    <row r="21" ht="19.5" customHeight="1">
      <c r="A21" s="46" t="s">
        <v>166</v>
      </c>
      <c r="B21" s="3"/>
      <c r="C21" s="3"/>
      <c r="D21" s="3"/>
      <c r="E21" s="3"/>
      <c r="F21" s="3"/>
      <c r="G21" s="3"/>
      <c r="H21" s="3"/>
      <c r="I21" s="3"/>
      <c r="J21" s="3"/>
      <c r="K21" s="3"/>
      <c r="L21" s="3"/>
      <c r="M21" s="3"/>
      <c r="N21" s="3"/>
      <c r="O21" s="4"/>
    </row>
    <row r="22" ht="57.75" customHeight="1">
      <c r="A22" s="15" t="s">
        <v>980</v>
      </c>
      <c r="B22" s="28" t="s">
        <v>57</v>
      </c>
      <c r="C22" s="28" t="s">
        <v>36</v>
      </c>
      <c r="D22" s="22" t="s">
        <v>11</v>
      </c>
      <c r="E22" s="30" t="s">
        <v>987</v>
      </c>
      <c r="F22" s="30" t="s">
        <v>989</v>
      </c>
      <c r="G22" s="30" t="s">
        <v>990</v>
      </c>
      <c r="H22" s="30" t="s">
        <v>992</v>
      </c>
      <c r="I22" s="30" t="s">
        <v>993</v>
      </c>
      <c r="J22" s="30" t="s">
        <v>994</v>
      </c>
      <c r="K22" s="31" t="s">
        <v>95</v>
      </c>
      <c r="L22" s="30" t="s">
        <v>995</v>
      </c>
      <c r="M22" s="26" t="s">
        <v>43</v>
      </c>
      <c r="N22" s="28"/>
      <c r="O22" s="28"/>
    </row>
    <row r="23" ht="57.75" customHeight="1">
      <c r="A23" s="15" t="s">
        <v>996</v>
      </c>
      <c r="B23" s="17" t="s">
        <v>57</v>
      </c>
      <c r="C23" s="17" t="s">
        <v>36</v>
      </c>
      <c r="D23" s="22" t="s">
        <v>11</v>
      </c>
      <c r="E23" s="21" t="s">
        <v>997</v>
      </c>
      <c r="F23" s="21" t="s">
        <v>725</v>
      </c>
      <c r="G23" s="21" t="s">
        <v>998</v>
      </c>
      <c r="H23" s="21" t="s">
        <v>999</v>
      </c>
      <c r="I23" s="21" t="s">
        <v>1000</v>
      </c>
      <c r="J23" s="21" t="s">
        <v>1001</v>
      </c>
      <c r="K23" s="23" t="s">
        <v>64</v>
      </c>
      <c r="L23" s="21" t="s">
        <v>1002</v>
      </c>
      <c r="M23" s="26" t="s">
        <v>43</v>
      </c>
      <c r="N23" s="17"/>
      <c r="O23" s="17"/>
    </row>
    <row r="24" ht="57.75" customHeight="1">
      <c r="A24" s="15" t="s">
        <v>1004</v>
      </c>
      <c r="B24" s="28" t="s">
        <v>57</v>
      </c>
      <c r="C24" s="28" t="s">
        <v>36</v>
      </c>
      <c r="D24" s="22" t="s">
        <v>11</v>
      </c>
      <c r="E24" s="30" t="s">
        <v>1007</v>
      </c>
      <c r="F24" s="30" t="s">
        <v>833</v>
      </c>
      <c r="G24" s="30" t="s">
        <v>1008</v>
      </c>
      <c r="H24" s="30" t="s">
        <v>1009</v>
      </c>
      <c r="I24" s="30" t="s">
        <v>1010</v>
      </c>
      <c r="J24" s="30" t="s">
        <v>1011</v>
      </c>
      <c r="K24" s="31" t="s">
        <v>117</v>
      </c>
      <c r="L24" s="30" t="s">
        <v>1013</v>
      </c>
      <c r="M24" s="26" t="s">
        <v>43</v>
      </c>
      <c r="N24" s="28"/>
      <c r="O24" s="28"/>
    </row>
    <row r="25" ht="57.75" customHeight="1">
      <c r="A25" s="15" t="s">
        <v>1015</v>
      </c>
      <c r="B25" s="17" t="s">
        <v>57</v>
      </c>
      <c r="C25" s="17" t="s">
        <v>36</v>
      </c>
      <c r="D25" s="22" t="s">
        <v>11</v>
      </c>
      <c r="E25" s="21" t="s">
        <v>1017</v>
      </c>
      <c r="F25" s="21" t="s">
        <v>1019</v>
      </c>
      <c r="G25" s="21" t="s">
        <v>1020</v>
      </c>
      <c r="H25" s="21" t="s">
        <v>1022</v>
      </c>
      <c r="I25" s="21" t="s">
        <v>1024</v>
      </c>
      <c r="J25" s="21" t="s">
        <v>1028</v>
      </c>
      <c r="K25" s="23" t="s">
        <v>117</v>
      </c>
      <c r="L25" s="21" t="s">
        <v>1030</v>
      </c>
      <c r="M25" s="26" t="s">
        <v>43</v>
      </c>
      <c r="N25" s="17"/>
      <c r="O25" s="17"/>
    </row>
    <row r="26" ht="57.75" customHeight="1">
      <c r="A26" s="15" t="s">
        <v>1034</v>
      </c>
      <c r="B26" s="28" t="s">
        <v>57</v>
      </c>
      <c r="C26" s="28" t="s">
        <v>36</v>
      </c>
      <c r="D26" s="22" t="s">
        <v>11</v>
      </c>
      <c r="E26" s="30" t="s">
        <v>1035</v>
      </c>
      <c r="F26" s="30" t="s">
        <v>1036</v>
      </c>
      <c r="G26" s="30" t="s">
        <v>1037</v>
      </c>
      <c r="H26" s="30" t="s">
        <v>1039</v>
      </c>
      <c r="I26" s="30" t="s">
        <v>1040</v>
      </c>
      <c r="J26" s="30" t="s">
        <v>1042</v>
      </c>
      <c r="K26" s="31" t="s">
        <v>64</v>
      </c>
      <c r="L26" s="30" t="s">
        <v>1044</v>
      </c>
      <c r="M26" s="26" t="s">
        <v>43</v>
      </c>
      <c r="N26" s="28"/>
      <c r="O26" s="28"/>
    </row>
    <row r="27" ht="57.75" customHeight="1">
      <c r="A27" s="15" t="s">
        <v>1046</v>
      </c>
      <c r="B27" s="17" t="s">
        <v>57</v>
      </c>
      <c r="C27" s="17" t="s">
        <v>36</v>
      </c>
      <c r="D27" s="22" t="s">
        <v>11</v>
      </c>
      <c r="E27" s="21" t="s">
        <v>1051</v>
      </c>
      <c r="F27" s="21" t="s">
        <v>1024</v>
      </c>
      <c r="G27" s="21" t="s">
        <v>1054</v>
      </c>
      <c r="H27" s="21" t="s">
        <v>1057</v>
      </c>
      <c r="I27" s="21" t="s">
        <v>1058</v>
      </c>
      <c r="J27" s="21" t="s">
        <v>1059</v>
      </c>
      <c r="K27" s="23" t="s">
        <v>95</v>
      </c>
      <c r="L27" s="21" t="s">
        <v>1062</v>
      </c>
      <c r="M27" s="26" t="s">
        <v>43</v>
      </c>
      <c r="N27" s="17"/>
      <c r="O27" s="17"/>
    </row>
    <row r="28" ht="57.75" customHeight="1">
      <c r="A28" s="15" t="s">
        <v>1063</v>
      </c>
      <c r="B28" s="28" t="s">
        <v>57</v>
      </c>
      <c r="C28" s="28" t="s">
        <v>36</v>
      </c>
      <c r="D28" s="22" t="s">
        <v>11</v>
      </c>
      <c r="E28" s="30" t="s">
        <v>1067</v>
      </c>
      <c r="F28" s="30" t="s">
        <v>1068</v>
      </c>
      <c r="G28" s="30" t="s">
        <v>556</v>
      </c>
      <c r="H28" s="30" t="s">
        <v>1072</v>
      </c>
      <c r="I28" s="30" t="s">
        <v>1074</v>
      </c>
      <c r="J28" s="30" t="s">
        <v>1076</v>
      </c>
      <c r="K28" s="31" t="s">
        <v>95</v>
      </c>
      <c r="L28" s="30" t="s">
        <v>1079</v>
      </c>
      <c r="M28" s="26" t="s">
        <v>43</v>
      </c>
      <c r="N28" s="28"/>
      <c r="O28" s="28"/>
    </row>
    <row r="29" ht="57.75" customHeight="1">
      <c r="A29" s="15" t="s">
        <v>1083</v>
      </c>
      <c r="B29" s="17" t="s">
        <v>57</v>
      </c>
      <c r="C29" s="17" t="s">
        <v>36</v>
      </c>
      <c r="D29" s="22" t="s">
        <v>11</v>
      </c>
      <c r="E29" s="21" t="s">
        <v>1087</v>
      </c>
      <c r="F29" s="70">
        <v>0.12</v>
      </c>
      <c r="G29" s="70">
        <v>0.14</v>
      </c>
      <c r="H29" s="21" t="s">
        <v>1094</v>
      </c>
      <c r="I29" s="70">
        <v>0.16</v>
      </c>
      <c r="J29" s="21" t="s">
        <v>1096</v>
      </c>
      <c r="K29" s="23" t="s">
        <v>95</v>
      </c>
      <c r="L29" s="21" t="s">
        <v>1098</v>
      </c>
      <c r="M29" s="26" t="s">
        <v>43</v>
      </c>
      <c r="N29" s="17"/>
      <c r="O29" s="17"/>
    </row>
    <row r="30" ht="57.75" customHeight="1">
      <c r="A30" s="15" t="s">
        <v>1101</v>
      </c>
      <c r="B30" s="28" t="s">
        <v>57</v>
      </c>
      <c r="C30" s="28" t="s">
        <v>36</v>
      </c>
      <c r="D30" s="22" t="s">
        <v>11</v>
      </c>
      <c r="E30" s="30" t="s">
        <v>1108</v>
      </c>
      <c r="F30" s="30" t="s">
        <v>1111</v>
      </c>
      <c r="G30" s="30" t="s">
        <v>1112</v>
      </c>
      <c r="H30" s="30" t="s">
        <v>1114</v>
      </c>
      <c r="I30" s="30" t="s">
        <v>1115</v>
      </c>
      <c r="J30" s="30" t="s">
        <v>1116</v>
      </c>
      <c r="K30" s="31" t="s">
        <v>64</v>
      </c>
      <c r="L30" s="30" t="s">
        <v>1118</v>
      </c>
      <c r="M30" s="26" t="s">
        <v>43</v>
      </c>
      <c r="N30" s="28"/>
      <c r="O30" s="28"/>
    </row>
    <row r="31" ht="57.75" customHeight="1">
      <c r="A31" s="15" t="s">
        <v>1123</v>
      </c>
      <c r="B31" s="17" t="s">
        <v>57</v>
      </c>
      <c r="C31" s="17" t="s">
        <v>36</v>
      </c>
      <c r="D31" s="22" t="s">
        <v>11</v>
      </c>
      <c r="E31" s="21" t="s">
        <v>1129</v>
      </c>
      <c r="F31" s="21" t="s">
        <v>1130</v>
      </c>
      <c r="G31" s="21" t="s">
        <v>1131</v>
      </c>
      <c r="H31" s="21" t="s">
        <v>1133</v>
      </c>
      <c r="I31" s="21" t="s">
        <v>1134</v>
      </c>
      <c r="J31" s="21" t="s">
        <v>1137</v>
      </c>
      <c r="K31" s="23" t="s">
        <v>64</v>
      </c>
      <c r="L31" s="21" t="s">
        <v>1139</v>
      </c>
      <c r="M31" s="26" t="s">
        <v>43</v>
      </c>
      <c r="N31" s="17"/>
      <c r="O31" s="17"/>
    </row>
    <row r="32" ht="57.75" customHeight="1">
      <c r="A32" s="15" t="s">
        <v>1142</v>
      </c>
      <c r="B32" s="28" t="s">
        <v>57</v>
      </c>
      <c r="C32" s="28" t="s">
        <v>36</v>
      </c>
      <c r="D32" s="22" t="s">
        <v>11</v>
      </c>
      <c r="E32" s="30" t="s">
        <v>1146</v>
      </c>
      <c r="F32" s="30" t="s">
        <v>994</v>
      </c>
      <c r="G32" s="30" t="s">
        <v>1149</v>
      </c>
      <c r="H32" s="30" t="s">
        <v>1151</v>
      </c>
      <c r="I32" s="30" t="s">
        <v>1152</v>
      </c>
      <c r="J32" s="30" t="s">
        <v>1154</v>
      </c>
      <c r="K32" s="31" t="s">
        <v>64</v>
      </c>
      <c r="L32" s="30" t="s">
        <v>1157</v>
      </c>
      <c r="M32" s="26" t="s">
        <v>43</v>
      </c>
      <c r="N32" s="28"/>
      <c r="O32" s="28"/>
    </row>
    <row r="33" ht="57.75" customHeight="1">
      <c r="A33" s="15" t="s">
        <v>1161</v>
      </c>
      <c r="B33" s="17" t="s">
        <v>57</v>
      </c>
      <c r="C33" s="17" t="s">
        <v>36</v>
      </c>
      <c r="D33" s="22" t="s">
        <v>11</v>
      </c>
      <c r="E33" s="21" t="s">
        <v>1166</v>
      </c>
      <c r="F33" s="21" t="s">
        <v>1167</v>
      </c>
      <c r="G33" s="21" t="s">
        <v>1169</v>
      </c>
      <c r="H33" s="21" t="s">
        <v>1170</v>
      </c>
      <c r="I33" s="21" t="s">
        <v>1173</v>
      </c>
      <c r="J33" s="21" t="s">
        <v>1174</v>
      </c>
      <c r="K33" s="23" t="s">
        <v>64</v>
      </c>
      <c r="L33" s="21" t="s">
        <v>1177</v>
      </c>
      <c r="M33" s="26" t="s">
        <v>43</v>
      </c>
      <c r="N33" s="17"/>
      <c r="O33" s="17"/>
    </row>
    <row r="34" ht="57.75" customHeight="1">
      <c r="A34" s="15" t="s">
        <v>1179</v>
      </c>
      <c r="B34" s="28" t="s">
        <v>57</v>
      </c>
      <c r="C34" s="28" t="s">
        <v>36</v>
      </c>
      <c r="D34" s="22" t="s">
        <v>11</v>
      </c>
      <c r="E34" s="30" t="s">
        <v>1182</v>
      </c>
      <c r="F34" s="30" t="s">
        <v>720</v>
      </c>
      <c r="G34" s="30" t="s">
        <v>722</v>
      </c>
      <c r="H34" s="30" t="s">
        <v>1185</v>
      </c>
      <c r="I34" s="30" t="s">
        <v>558</v>
      </c>
      <c r="J34" s="30" t="s">
        <v>1186</v>
      </c>
      <c r="K34" s="31" t="s">
        <v>95</v>
      </c>
      <c r="L34" s="30" t="s">
        <v>1190</v>
      </c>
      <c r="M34" s="26" t="s">
        <v>43</v>
      </c>
      <c r="N34" s="28"/>
      <c r="O34" s="28"/>
    </row>
    <row r="35" ht="57.75" customHeight="1">
      <c r="A35" s="15" t="s">
        <v>1193</v>
      </c>
      <c r="B35" s="17" t="s">
        <v>57</v>
      </c>
      <c r="C35" s="17" t="s">
        <v>36</v>
      </c>
      <c r="D35" s="22" t="s">
        <v>11</v>
      </c>
      <c r="E35" s="21" t="s">
        <v>1196</v>
      </c>
      <c r="F35" s="21" t="s">
        <v>632</v>
      </c>
      <c r="G35" s="21" t="s">
        <v>634</v>
      </c>
      <c r="H35" s="21" t="s">
        <v>1199</v>
      </c>
      <c r="I35" s="21" t="s">
        <v>535</v>
      </c>
      <c r="J35" s="21" t="s">
        <v>555</v>
      </c>
      <c r="K35" s="23" t="s">
        <v>95</v>
      </c>
      <c r="L35" s="21" t="s">
        <v>1205</v>
      </c>
      <c r="M35" s="26" t="s">
        <v>43</v>
      </c>
      <c r="N35" s="17"/>
      <c r="O35" s="17"/>
    </row>
    <row r="36" ht="57.75" customHeight="1">
      <c r="A36" s="15" t="s">
        <v>1212</v>
      </c>
      <c r="B36" s="28" t="s">
        <v>57</v>
      </c>
      <c r="C36" s="28" t="s">
        <v>36</v>
      </c>
      <c r="D36" s="22" t="s">
        <v>11</v>
      </c>
      <c r="E36" s="30" t="s">
        <v>1217</v>
      </c>
      <c r="F36" s="30" t="s">
        <v>722</v>
      </c>
      <c r="G36" s="30" t="s">
        <v>725</v>
      </c>
      <c r="H36" s="30" t="s">
        <v>864</v>
      </c>
      <c r="I36" s="30" t="s">
        <v>636</v>
      </c>
      <c r="J36" s="30" t="s">
        <v>592</v>
      </c>
      <c r="K36" s="31" t="s">
        <v>40</v>
      </c>
      <c r="L36" s="30" t="s">
        <v>1222</v>
      </c>
      <c r="M36" s="26" t="s">
        <v>43</v>
      </c>
      <c r="N36" s="28"/>
      <c r="O36" s="28"/>
    </row>
    <row r="37" ht="19.5" customHeight="1">
      <c r="A37" s="63" t="s">
        <v>279</v>
      </c>
      <c r="B37" s="3"/>
      <c r="C37" s="3"/>
      <c r="D37" s="3"/>
      <c r="E37" s="3"/>
      <c r="F37" s="3"/>
      <c r="G37" s="3"/>
      <c r="H37" s="3"/>
      <c r="I37" s="3"/>
      <c r="J37" s="3"/>
      <c r="K37" s="3"/>
      <c r="L37" s="3"/>
      <c r="M37" s="3"/>
      <c r="N37" s="3"/>
      <c r="O37" s="4"/>
    </row>
    <row r="38" ht="57.75" customHeight="1">
      <c r="A38" s="15" t="s">
        <v>1234</v>
      </c>
      <c r="B38" s="17" t="s">
        <v>57</v>
      </c>
      <c r="C38" s="17" t="s">
        <v>36</v>
      </c>
      <c r="D38" s="24" t="s">
        <v>12</v>
      </c>
      <c r="E38" s="21" t="s">
        <v>1239</v>
      </c>
      <c r="F38" s="21" t="s">
        <v>297</v>
      </c>
      <c r="G38" s="21" t="s">
        <v>342</v>
      </c>
      <c r="H38" s="21" t="s">
        <v>299</v>
      </c>
      <c r="I38" s="21" t="s">
        <v>301</v>
      </c>
      <c r="J38" s="21" t="s">
        <v>302</v>
      </c>
      <c r="K38" s="23" t="s">
        <v>40</v>
      </c>
      <c r="L38" s="21" t="s">
        <v>1245</v>
      </c>
      <c r="M38" s="26" t="s">
        <v>43</v>
      </c>
      <c r="N38" s="17"/>
      <c r="O38" s="17"/>
    </row>
    <row r="39" ht="57.75" customHeight="1">
      <c r="A39" s="15" t="s">
        <v>1246</v>
      </c>
      <c r="B39" s="28" t="s">
        <v>57</v>
      </c>
      <c r="C39" s="28" t="s">
        <v>36</v>
      </c>
      <c r="D39" s="24" t="s">
        <v>12</v>
      </c>
      <c r="E39" s="30" t="s">
        <v>1249</v>
      </c>
      <c r="F39" s="30">
        <v>60.0</v>
      </c>
      <c r="G39" s="30">
        <v>72.0</v>
      </c>
      <c r="H39" s="30">
        <v>84.0</v>
      </c>
      <c r="I39" s="30">
        <v>96.0</v>
      </c>
      <c r="J39" s="30">
        <v>108.0</v>
      </c>
      <c r="K39" s="31" t="s">
        <v>95</v>
      </c>
      <c r="L39" s="30" t="s">
        <v>1251</v>
      </c>
      <c r="M39" s="26" t="s">
        <v>43</v>
      </c>
      <c r="N39" s="28"/>
      <c r="O39" s="28"/>
    </row>
    <row r="40" ht="57.75" customHeight="1">
      <c r="A40" s="15" t="s">
        <v>1254</v>
      </c>
      <c r="B40" s="17" t="s">
        <v>57</v>
      </c>
      <c r="C40" s="17" t="s">
        <v>36</v>
      </c>
      <c r="D40" s="24" t="s">
        <v>12</v>
      </c>
      <c r="E40" s="21" t="s">
        <v>1258</v>
      </c>
      <c r="F40" s="21">
        <v>8.0</v>
      </c>
      <c r="G40" s="21">
        <v>9.0</v>
      </c>
      <c r="H40" s="21">
        <v>10.0</v>
      </c>
      <c r="I40" s="21">
        <v>12.0</v>
      </c>
      <c r="J40" s="21">
        <v>15.0</v>
      </c>
      <c r="K40" s="23" t="s">
        <v>95</v>
      </c>
      <c r="L40" s="21" t="s">
        <v>1264</v>
      </c>
      <c r="M40" s="26" t="s">
        <v>43</v>
      </c>
      <c r="N40" s="17"/>
      <c r="O40" s="17"/>
    </row>
    <row r="41" ht="57.75" customHeight="1">
      <c r="A41" s="15" t="s">
        <v>1270</v>
      </c>
      <c r="B41" s="28" t="s">
        <v>57</v>
      </c>
      <c r="C41" s="28" t="s">
        <v>36</v>
      </c>
      <c r="D41" s="24" t="s">
        <v>12</v>
      </c>
      <c r="E41" s="30" t="s">
        <v>1276</v>
      </c>
      <c r="F41" s="30" t="s">
        <v>315</v>
      </c>
      <c r="G41" s="30" t="s">
        <v>316</v>
      </c>
      <c r="H41" s="30" t="s">
        <v>318</v>
      </c>
      <c r="I41" s="30" t="s">
        <v>320</v>
      </c>
      <c r="J41" s="30" t="s">
        <v>321</v>
      </c>
      <c r="K41" s="31" t="s">
        <v>117</v>
      </c>
      <c r="L41" s="30" t="s">
        <v>1284</v>
      </c>
      <c r="M41" s="26" t="s">
        <v>43</v>
      </c>
      <c r="N41" s="28"/>
      <c r="O41" s="28"/>
    </row>
    <row r="42" ht="57.75" customHeight="1">
      <c r="A42" s="15" t="s">
        <v>1288</v>
      </c>
      <c r="B42" s="17" t="s">
        <v>57</v>
      </c>
      <c r="C42" s="17" t="s">
        <v>36</v>
      </c>
      <c r="D42" s="24" t="s">
        <v>12</v>
      </c>
      <c r="E42" s="21" t="s">
        <v>1291</v>
      </c>
      <c r="F42" s="21">
        <v>10.0</v>
      </c>
      <c r="G42" s="21">
        <v>11.0</v>
      </c>
      <c r="H42" s="21">
        <v>12.0</v>
      </c>
      <c r="I42" s="21">
        <v>13.0</v>
      </c>
      <c r="J42" s="21">
        <v>14.0</v>
      </c>
      <c r="K42" s="23" t="s">
        <v>117</v>
      </c>
      <c r="L42" s="21" t="s">
        <v>1296</v>
      </c>
      <c r="M42" s="26" t="s">
        <v>43</v>
      </c>
      <c r="N42" s="17"/>
      <c r="O42" s="17"/>
    </row>
    <row r="43" ht="57.75" customHeight="1">
      <c r="A43" s="15" t="s">
        <v>1299</v>
      </c>
      <c r="B43" s="28" t="s">
        <v>57</v>
      </c>
      <c r="C43" s="28" t="s">
        <v>36</v>
      </c>
      <c r="D43" s="24" t="s">
        <v>12</v>
      </c>
      <c r="E43" s="30" t="s">
        <v>1302</v>
      </c>
      <c r="F43" s="30">
        <v>1150.0</v>
      </c>
      <c r="G43" s="30">
        <v>1220.0</v>
      </c>
      <c r="H43" s="30">
        <v>1296.0</v>
      </c>
      <c r="I43" s="30">
        <v>1340.0</v>
      </c>
      <c r="J43" s="30">
        <v>1410.0</v>
      </c>
      <c r="K43" s="31" t="s">
        <v>95</v>
      </c>
      <c r="L43" s="30" t="s">
        <v>1312</v>
      </c>
      <c r="M43" s="26" t="s">
        <v>43</v>
      </c>
      <c r="N43" s="28"/>
      <c r="O43" s="28"/>
    </row>
    <row r="44" ht="57.75" customHeight="1">
      <c r="A44" s="15" t="s">
        <v>1315</v>
      </c>
      <c r="B44" s="17" t="s">
        <v>57</v>
      </c>
      <c r="C44" s="17" t="s">
        <v>36</v>
      </c>
      <c r="D44" s="24" t="s">
        <v>12</v>
      </c>
      <c r="E44" s="21" t="s">
        <v>1320</v>
      </c>
      <c r="F44" s="21" t="s">
        <v>297</v>
      </c>
      <c r="G44" s="21" t="s">
        <v>342</v>
      </c>
      <c r="H44" s="21" t="s">
        <v>299</v>
      </c>
      <c r="I44" s="21" t="s">
        <v>301</v>
      </c>
      <c r="J44" s="21" t="s">
        <v>302</v>
      </c>
      <c r="K44" s="23" t="s">
        <v>40</v>
      </c>
      <c r="L44" s="21" t="s">
        <v>1332</v>
      </c>
      <c r="M44" s="26" t="s">
        <v>43</v>
      </c>
      <c r="N44" s="17"/>
      <c r="O44" s="17"/>
    </row>
    <row r="45" ht="57.75" customHeight="1">
      <c r="A45" s="15" t="s">
        <v>1335</v>
      </c>
      <c r="B45" s="28" t="s">
        <v>57</v>
      </c>
      <c r="C45" s="28" t="s">
        <v>36</v>
      </c>
      <c r="D45" s="24" t="s">
        <v>12</v>
      </c>
      <c r="E45" s="30" t="s">
        <v>1341</v>
      </c>
      <c r="F45" s="30">
        <v>14.0</v>
      </c>
      <c r="G45" s="30">
        <v>16.0</v>
      </c>
      <c r="H45" s="30">
        <v>18.0</v>
      </c>
      <c r="I45" s="30">
        <v>20.0</v>
      </c>
      <c r="J45" s="30">
        <v>22.0</v>
      </c>
      <c r="K45" s="31" t="s">
        <v>95</v>
      </c>
      <c r="L45" s="30" t="s">
        <v>1345</v>
      </c>
      <c r="M45" s="26" t="s">
        <v>43</v>
      </c>
      <c r="N45" s="28"/>
      <c r="O45" s="28"/>
    </row>
    <row r="46" ht="57.75" customHeight="1">
      <c r="A46" s="15" t="s">
        <v>1349</v>
      </c>
      <c r="B46" s="17" t="s">
        <v>57</v>
      </c>
      <c r="C46" s="17" t="s">
        <v>36</v>
      </c>
      <c r="D46" s="24" t="s">
        <v>12</v>
      </c>
      <c r="E46" s="21" t="s">
        <v>1356</v>
      </c>
      <c r="F46" s="21" t="s">
        <v>315</v>
      </c>
      <c r="G46" s="21" t="s">
        <v>316</v>
      </c>
      <c r="H46" s="21" t="s">
        <v>318</v>
      </c>
      <c r="I46" s="21" t="s">
        <v>320</v>
      </c>
      <c r="J46" s="21" t="s">
        <v>321</v>
      </c>
      <c r="K46" s="23" t="s">
        <v>117</v>
      </c>
      <c r="L46" s="21" t="s">
        <v>1363</v>
      </c>
      <c r="M46" s="26" t="s">
        <v>43</v>
      </c>
      <c r="N46" s="17"/>
      <c r="O46" s="17"/>
    </row>
    <row r="47" ht="57.75" customHeight="1">
      <c r="A47" s="15" t="s">
        <v>1368</v>
      </c>
      <c r="B47" s="28" t="s">
        <v>57</v>
      </c>
      <c r="C47" s="28" t="s">
        <v>36</v>
      </c>
      <c r="D47" s="24" t="s">
        <v>12</v>
      </c>
      <c r="E47" s="30" t="s">
        <v>1371</v>
      </c>
      <c r="F47" s="30">
        <v>60.0</v>
      </c>
      <c r="G47" s="30">
        <v>70.0</v>
      </c>
      <c r="H47" s="30">
        <v>80.0</v>
      </c>
      <c r="I47" s="30">
        <v>90.0</v>
      </c>
      <c r="J47" s="30">
        <v>100.0</v>
      </c>
      <c r="K47" s="31" t="s">
        <v>95</v>
      </c>
      <c r="L47" s="30" t="s">
        <v>1376</v>
      </c>
      <c r="M47" s="26" t="s">
        <v>43</v>
      </c>
      <c r="N47" s="28"/>
      <c r="O47" s="28"/>
    </row>
    <row r="48" ht="57.75" customHeight="1">
      <c r="A48" s="15" t="s">
        <v>1381</v>
      </c>
      <c r="B48" s="17" t="s">
        <v>57</v>
      </c>
      <c r="C48" s="17" t="s">
        <v>36</v>
      </c>
      <c r="D48" s="24" t="s">
        <v>12</v>
      </c>
      <c r="E48" s="21" t="s">
        <v>1386</v>
      </c>
      <c r="F48" s="21" t="s">
        <v>297</v>
      </c>
      <c r="G48" s="21" t="s">
        <v>342</v>
      </c>
      <c r="H48" s="21" t="s">
        <v>299</v>
      </c>
      <c r="I48" s="21" t="s">
        <v>301</v>
      </c>
      <c r="J48" s="21" t="s">
        <v>302</v>
      </c>
      <c r="K48" s="23" t="s">
        <v>40</v>
      </c>
      <c r="L48" s="21" t="s">
        <v>1391</v>
      </c>
      <c r="M48" s="26" t="s">
        <v>43</v>
      </c>
      <c r="N48" s="17"/>
      <c r="O48" s="17"/>
    </row>
    <row r="49" ht="57.75" customHeight="1">
      <c r="A49" s="15" t="s">
        <v>1397</v>
      </c>
      <c r="B49" s="28" t="s">
        <v>57</v>
      </c>
      <c r="C49" s="28" t="s">
        <v>36</v>
      </c>
      <c r="D49" s="24" t="s">
        <v>12</v>
      </c>
      <c r="E49" s="30" t="s">
        <v>1400</v>
      </c>
      <c r="F49" s="30">
        <v>320.0</v>
      </c>
      <c r="G49" s="30">
        <v>360.0</v>
      </c>
      <c r="H49" s="30">
        <v>396.0</v>
      </c>
      <c r="I49" s="30">
        <v>420.0</v>
      </c>
      <c r="J49" s="30">
        <v>450.0</v>
      </c>
      <c r="K49" s="31" t="s">
        <v>95</v>
      </c>
      <c r="L49" s="30" t="s">
        <v>1406</v>
      </c>
      <c r="M49" s="26" t="s">
        <v>43</v>
      </c>
      <c r="N49" s="28"/>
      <c r="O49" s="28"/>
    </row>
    <row r="50" ht="57.75" customHeight="1">
      <c r="A50" s="15" t="s">
        <v>1411</v>
      </c>
      <c r="B50" s="17" t="s">
        <v>57</v>
      </c>
      <c r="C50" s="17" t="s">
        <v>36</v>
      </c>
      <c r="D50" s="24" t="s">
        <v>12</v>
      </c>
      <c r="E50" s="21" t="s">
        <v>1416</v>
      </c>
      <c r="F50" s="21">
        <v>8.0</v>
      </c>
      <c r="G50" s="21">
        <v>9.0</v>
      </c>
      <c r="H50" s="21">
        <v>10.0</v>
      </c>
      <c r="I50" s="21">
        <v>12.0</v>
      </c>
      <c r="J50" s="21">
        <v>15.0</v>
      </c>
      <c r="K50" s="23" t="s">
        <v>95</v>
      </c>
      <c r="L50" s="21" t="s">
        <v>1420</v>
      </c>
      <c r="M50" s="26" t="s">
        <v>43</v>
      </c>
      <c r="N50" s="17"/>
      <c r="O50" s="17"/>
    </row>
    <row r="51" ht="57.75" customHeight="1">
      <c r="A51" s="15" t="s">
        <v>1424</v>
      </c>
      <c r="B51" s="28" t="s">
        <v>57</v>
      </c>
      <c r="C51" s="28" t="s">
        <v>36</v>
      </c>
      <c r="D51" s="24" t="s">
        <v>12</v>
      </c>
      <c r="E51" s="30" t="s">
        <v>1428</v>
      </c>
      <c r="F51" s="30" t="s">
        <v>315</v>
      </c>
      <c r="G51" s="30" t="s">
        <v>316</v>
      </c>
      <c r="H51" s="30" t="s">
        <v>318</v>
      </c>
      <c r="I51" s="30" t="s">
        <v>320</v>
      </c>
      <c r="J51" s="30" t="s">
        <v>321</v>
      </c>
      <c r="K51" s="31" t="s">
        <v>117</v>
      </c>
      <c r="L51" s="30" t="s">
        <v>1433</v>
      </c>
      <c r="M51" s="26" t="s">
        <v>43</v>
      </c>
      <c r="N51" s="28"/>
      <c r="O51" s="28"/>
    </row>
    <row r="52" ht="57.75" customHeight="1">
      <c r="A52" s="15" t="s">
        <v>1436</v>
      </c>
      <c r="B52" s="17" t="s">
        <v>57</v>
      </c>
      <c r="C52" s="17" t="s">
        <v>36</v>
      </c>
      <c r="D52" s="24" t="s">
        <v>12</v>
      </c>
      <c r="E52" s="21" t="s">
        <v>1440</v>
      </c>
      <c r="F52" s="21">
        <v>91.0</v>
      </c>
      <c r="G52" s="21">
        <v>96.0</v>
      </c>
      <c r="H52" s="21">
        <v>101.0</v>
      </c>
      <c r="I52" s="21">
        <v>106.0</v>
      </c>
      <c r="J52" s="21">
        <v>111.0</v>
      </c>
      <c r="K52" s="23" t="s">
        <v>95</v>
      </c>
      <c r="L52" s="21" t="s">
        <v>1445</v>
      </c>
      <c r="M52" s="26" t="s">
        <v>43</v>
      </c>
      <c r="N52" s="17"/>
      <c r="O52" s="17"/>
    </row>
    <row r="53" ht="25.5" customHeight="1">
      <c r="A53" s="55" t="s">
        <v>1448</v>
      </c>
      <c r="B53" s="57"/>
      <c r="C53" s="57"/>
      <c r="D53" s="57"/>
      <c r="E53" s="57"/>
      <c r="F53" s="57"/>
      <c r="G53" s="57"/>
      <c r="H53" s="57"/>
      <c r="I53" s="57"/>
      <c r="J53" s="58"/>
      <c r="M53" s="71">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72" t="s">
        <v>673</v>
      </c>
      <c r="B1" s="3"/>
      <c r="C1" s="3"/>
      <c r="D1" s="3"/>
      <c r="E1" s="3"/>
      <c r="F1" s="3"/>
      <c r="G1" s="3"/>
      <c r="H1" s="3"/>
      <c r="I1" s="3"/>
      <c r="J1" s="3"/>
      <c r="K1" s="3"/>
      <c r="L1" s="3"/>
      <c r="M1" s="3"/>
      <c r="N1" s="3"/>
      <c r="O1" s="4"/>
    </row>
    <row r="2" ht="30.0" customHeight="1">
      <c r="A2" s="73" t="s">
        <v>714</v>
      </c>
      <c r="B2" s="3"/>
      <c r="C2" s="3"/>
      <c r="D2" s="3"/>
      <c r="E2" s="3"/>
      <c r="F2" s="3"/>
      <c r="G2" s="3"/>
      <c r="H2" s="3"/>
      <c r="I2" s="3"/>
      <c r="J2" s="3"/>
      <c r="K2" s="3"/>
      <c r="L2" s="3"/>
      <c r="M2" s="3"/>
      <c r="N2" s="3"/>
      <c r="O2" s="4"/>
    </row>
    <row r="3" ht="19.5" customHeight="1">
      <c r="A3" s="7" t="s">
        <v>6</v>
      </c>
      <c r="B3" s="3"/>
      <c r="C3" s="3"/>
      <c r="D3" s="3"/>
      <c r="E3" s="3"/>
      <c r="F3" s="3"/>
      <c r="G3" s="3"/>
      <c r="H3" s="3"/>
      <c r="I3" s="3"/>
      <c r="J3" s="3"/>
      <c r="K3" s="3"/>
      <c r="L3" s="3"/>
      <c r="M3" s="3"/>
      <c r="N3" s="3"/>
      <c r="O3" s="4"/>
    </row>
    <row r="4" ht="24.75" customHeight="1">
      <c r="A4" s="9" t="s">
        <v>8</v>
      </c>
      <c r="B4" s="9" t="s">
        <v>7</v>
      </c>
      <c r="C4" s="9" t="s">
        <v>13</v>
      </c>
      <c r="D4" s="9" t="s">
        <v>15</v>
      </c>
      <c r="E4" s="9" t="s">
        <v>17</v>
      </c>
      <c r="F4" s="9" t="s">
        <v>18</v>
      </c>
      <c r="G4" s="9" t="s">
        <v>20</v>
      </c>
      <c r="H4" s="9" t="s">
        <v>21</v>
      </c>
      <c r="I4" s="9" t="s">
        <v>22</v>
      </c>
      <c r="J4" s="9" t="s">
        <v>23</v>
      </c>
      <c r="K4" s="9" t="s">
        <v>25</v>
      </c>
      <c r="L4" s="9" t="s">
        <v>26</v>
      </c>
      <c r="M4" s="9" t="s">
        <v>19</v>
      </c>
      <c r="N4" s="9" t="s">
        <v>27</v>
      </c>
      <c r="O4" s="9" t="s">
        <v>28</v>
      </c>
    </row>
    <row r="5" ht="19.5" customHeight="1">
      <c r="A5" s="13" t="s">
        <v>29</v>
      </c>
      <c r="B5" s="3"/>
      <c r="C5" s="3"/>
      <c r="D5" s="3"/>
      <c r="E5" s="3"/>
      <c r="F5" s="3"/>
      <c r="G5" s="3"/>
      <c r="H5" s="3"/>
      <c r="I5" s="3"/>
      <c r="J5" s="3"/>
      <c r="K5" s="3"/>
      <c r="L5" s="3"/>
      <c r="M5" s="3"/>
      <c r="N5" s="3"/>
      <c r="O5" s="4"/>
    </row>
    <row r="6" ht="57.75" customHeight="1">
      <c r="A6" s="74" t="s">
        <v>821</v>
      </c>
      <c r="B6" s="17" t="s">
        <v>79</v>
      </c>
      <c r="C6" s="17" t="s">
        <v>74</v>
      </c>
      <c r="D6" s="19" t="s">
        <v>9</v>
      </c>
      <c r="E6" s="21" t="s">
        <v>834</v>
      </c>
      <c r="F6" s="21">
        <v>3.0</v>
      </c>
      <c r="G6" s="21">
        <v>4.0</v>
      </c>
      <c r="H6" s="21">
        <v>5.0</v>
      </c>
      <c r="I6" s="21">
        <v>6.0</v>
      </c>
      <c r="J6" s="21">
        <v>7.0</v>
      </c>
      <c r="K6" s="23" t="s">
        <v>95</v>
      </c>
      <c r="L6" s="21" t="s">
        <v>842</v>
      </c>
      <c r="M6" s="26" t="s">
        <v>43</v>
      </c>
      <c r="N6" s="17"/>
      <c r="O6" s="17"/>
    </row>
    <row r="7" ht="57.75" customHeight="1">
      <c r="A7" s="74" t="s">
        <v>846</v>
      </c>
      <c r="B7" s="28" t="s">
        <v>79</v>
      </c>
      <c r="C7" s="28" t="s">
        <v>74</v>
      </c>
      <c r="D7" s="19" t="s">
        <v>9</v>
      </c>
      <c r="E7" s="30" t="s">
        <v>848</v>
      </c>
      <c r="F7" s="30" t="s">
        <v>851</v>
      </c>
      <c r="G7" s="30" t="s">
        <v>852</v>
      </c>
      <c r="H7" s="30" t="s">
        <v>853</v>
      </c>
      <c r="I7" s="30" t="s">
        <v>855</v>
      </c>
      <c r="J7" s="30" t="s">
        <v>857</v>
      </c>
      <c r="K7" s="31" t="s">
        <v>40</v>
      </c>
      <c r="L7" s="30" t="s">
        <v>862</v>
      </c>
      <c r="M7" s="26" t="s">
        <v>43</v>
      </c>
      <c r="N7" s="28"/>
      <c r="O7" s="28"/>
    </row>
    <row r="8" ht="57.75" customHeight="1">
      <c r="A8" s="74" t="s">
        <v>866</v>
      </c>
      <c r="B8" s="17" t="s">
        <v>79</v>
      </c>
      <c r="C8" s="17" t="s">
        <v>74</v>
      </c>
      <c r="D8" s="19" t="s">
        <v>9</v>
      </c>
      <c r="E8" s="21" t="s">
        <v>871</v>
      </c>
      <c r="F8" s="21">
        <v>15.0</v>
      </c>
      <c r="G8" s="21">
        <v>24.0</v>
      </c>
      <c r="H8" s="21">
        <v>36.0</v>
      </c>
      <c r="I8" s="21">
        <v>48.0</v>
      </c>
      <c r="J8" s="21">
        <v>72.0</v>
      </c>
      <c r="K8" s="23" t="s">
        <v>95</v>
      </c>
      <c r="L8" s="21" t="s">
        <v>880</v>
      </c>
      <c r="M8" s="26" t="s">
        <v>43</v>
      </c>
      <c r="N8" s="17"/>
      <c r="O8" s="17"/>
    </row>
    <row r="9" ht="57.75" customHeight="1">
      <c r="A9" s="74" t="s">
        <v>884</v>
      </c>
      <c r="B9" s="28" t="s">
        <v>79</v>
      </c>
      <c r="C9" s="28" t="s">
        <v>74</v>
      </c>
      <c r="D9" s="19" t="s">
        <v>9</v>
      </c>
      <c r="E9" s="30" t="s">
        <v>888</v>
      </c>
      <c r="F9" s="30">
        <v>3.0</v>
      </c>
      <c r="G9" s="30">
        <v>6.0</v>
      </c>
      <c r="H9" s="30">
        <v>8.0</v>
      </c>
      <c r="I9" s="30">
        <v>12.0</v>
      </c>
      <c r="J9" s="30">
        <v>24.0</v>
      </c>
      <c r="K9" s="31" t="s">
        <v>64</v>
      </c>
      <c r="L9" s="30" t="s">
        <v>892</v>
      </c>
      <c r="M9" s="26" t="s">
        <v>43</v>
      </c>
      <c r="N9" s="28"/>
      <c r="O9" s="28"/>
    </row>
    <row r="10" ht="57.75" customHeight="1">
      <c r="A10" s="74" t="s">
        <v>893</v>
      </c>
      <c r="B10" s="17" t="s">
        <v>79</v>
      </c>
      <c r="C10" s="17" t="s">
        <v>74</v>
      </c>
      <c r="D10" s="19" t="s">
        <v>9</v>
      </c>
      <c r="E10" s="21" t="s">
        <v>896</v>
      </c>
      <c r="F10" s="21" t="s">
        <v>898</v>
      </c>
      <c r="G10" s="21" t="s">
        <v>901</v>
      </c>
      <c r="H10" s="21" t="s">
        <v>904</v>
      </c>
      <c r="I10" s="21" t="s">
        <v>906</v>
      </c>
      <c r="J10" s="21" t="s">
        <v>907</v>
      </c>
      <c r="K10" s="23" t="s">
        <v>117</v>
      </c>
      <c r="L10" s="21" t="s">
        <v>909</v>
      </c>
      <c r="M10" s="26" t="s">
        <v>43</v>
      </c>
      <c r="N10" s="17"/>
      <c r="O10" s="17"/>
    </row>
    <row r="11" ht="57.75" customHeight="1">
      <c r="A11" s="74" t="s">
        <v>912</v>
      </c>
      <c r="B11" s="28" t="s">
        <v>79</v>
      </c>
      <c r="C11" s="28" t="s">
        <v>74</v>
      </c>
      <c r="D11" s="19" t="s">
        <v>9</v>
      </c>
      <c r="E11" s="30" t="s">
        <v>914</v>
      </c>
      <c r="F11" s="30">
        <v>5.0</v>
      </c>
      <c r="G11" s="30">
        <v>8.0</v>
      </c>
      <c r="H11" s="30">
        <v>-8.0</v>
      </c>
      <c r="I11" s="30">
        <v>12.0</v>
      </c>
      <c r="J11" s="30">
        <v>-12.0</v>
      </c>
      <c r="K11" s="31" t="s">
        <v>95</v>
      </c>
      <c r="L11" s="30" t="s">
        <v>918</v>
      </c>
      <c r="M11" s="26" t="s">
        <v>43</v>
      </c>
      <c r="N11" s="28"/>
      <c r="O11" s="28"/>
    </row>
    <row r="12" ht="57.75" customHeight="1">
      <c r="A12" s="74" t="s">
        <v>920</v>
      </c>
      <c r="B12" s="17" t="s">
        <v>79</v>
      </c>
      <c r="C12" s="17" t="s">
        <v>74</v>
      </c>
      <c r="D12" s="19" t="s">
        <v>9</v>
      </c>
      <c r="E12" s="21" t="s">
        <v>923</v>
      </c>
      <c r="F12" s="21">
        <v>2.0</v>
      </c>
      <c r="G12" s="21">
        <v>3.0</v>
      </c>
      <c r="H12" s="21">
        <v>4.0</v>
      </c>
      <c r="I12" s="21">
        <v>5.0</v>
      </c>
      <c r="J12" s="21">
        <v>6.0</v>
      </c>
      <c r="K12" s="23" t="s">
        <v>95</v>
      </c>
      <c r="L12" s="21" t="s">
        <v>929</v>
      </c>
      <c r="M12" s="26" t="s">
        <v>43</v>
      </c>
      <c r="N12" s="17"/>
      <c r="O12" s="17"/>
    </row>
    <row r="13" ht="57.75" customHeight="1">
      <c r="A13" s="74" t="s">
        <v>931</v>
      </c>
      <c r="B13" s="28" t="s">
        <v>79</v>
      </c>
      <c r="C13" s="28" t="s">
        <v>74</v>
      </c>
      <c r="D13" s="19" t="s">
        <v>9</v>
      </c>
      <c r="E13" s="30" t="s">
        <v>933</v>
      </c>
      <c r="F13" s="30">
        <v>2.0</v>
      </c>
      <c r="G13" s="30">
        <v>3.0</v>
      </c>
      <c r="H13" s="30">
        <v>4.0</v>
      </c>
      <c r="I13" s="30">
        <v>5.0</v>
      </c>
      <c r="J13" s="30">
        <v>6.0</v>
      </c>
      <c r="K13" s="31" t="s">
        <v>117</v>
      </c>
      <c r="L13" s="30" t="s">
        <v>936</v>
      </c>
      <c r="M13" s="26" t="s">
        <v>43</v>
      </c>
      <c r="N13" s="28"/>
      <c r="O13" s="28"/>
    </row>
    <row r="14" ht="57.75" customHeight="1">
      <c r="A14" s="74" t="s">
        <v>941</v>
      </c>
      <c r="B14" s="17" t="s">
        <v>79</v>
      </c>
      <c r="C14" s="17" t="s">
        <v>74</v>
      </c>
      <c r="D14" s="19" t="s">
        <v>9</v>
      </c>
      <c r="E14" s="21" t="s">
        <v>945</v>
      </c>
      <c r="F14" s="21">
        <v>5.0</v>
      </c>
      <c r="G14" s="21">
        <v>8.0</v>
      </c>
      <c r="H14" s="21">
        <v>10.0</v>
      </c>
      <c r="I14" s="21">
        <v>12.0</v>
      </c>
      <c r="J14" s="21">
        <v>40.0</v>
      </c>
      <c r="K14" s="23" t="s">
        <v>95</v>
      </c>
      <c r="L14" s="21" t="s">
        <v>953</v>
      </c>
      <c r="M14" s="26" t="s">
        <v>43</v>
      </c>
      <c r="N14" s="17"/>
      <c r="O14" s="17"/>
    </row>
    <row r="15" ht="57.75" customHeight="1">
      <c r="A15" s="74" t="s">
        <v>955</v>
      </c>
      <c r="B15" s="28" t="s">
        <v>79</v>
      </c>
      <c r="C15" s="28" t="s">
        <v>74</v>
      </c>
      <c r="D15" s="19" t="s">
        <v>9</v>
      </c>
      <c r="E15" s="30" t="s">
        <v>957</v>
      </c>
      <c r="F15" s="30" t="s">
        <v>958</v>
      </c>
      <c r="G15" s="30" t="s">
        <v>959</v>
      </c>
      <c r="H15" s="30" t="s">
        <v>961</v>
      </c>
      <c r="I15" s="30" t="s">
        <v>962</v>
      </c>
      <c r="J15" s="30" t="s">
        <v>963</v>
      </c>
      <c r="K15" s="31" t="s">
        <v>64</v>
      </c>
      <c r="L15" s="30" t="s">
        <v>964</v>
      </c>
      <c r="M15" s="26" t="s">
        <v>43</v>
      </c>
      <c r="N15" s="28"/>
      <c r="O15" s="28"/>
    </row>
    <row r="16" ht="57.75" customHeight="1">
      <c r="A16" s="74" t="s">
        <v>965</v>
      </c>
      <c r="B16" s="17" t="s">
        <v>79</v>
      </c>
      <c r="C16" s="17" t="s">
        <v>74</v>
      </c>
      <c r="D16" s="19" t="s">
        <v>9</v>
      </c>
      <c r="E16" s="21" t="s">
        <v>967</v>
      </c>
      <c r="F16" s="21">
        <v>5.0</v>
      </c>
      <c r="G16" s="21">
        <v>8.0</v>
      </c>
      <c r="H16" s="21">
        <v>10.0</v>
      </c>
      <c r="I16" s="21">
        <v>12.0</v>
      </c>
      <c r="J16" s="21">
        <v>14.0</v>
      </c>
      <c r="K16" s="23" t="s">
        <v>95</v>
      </c>
      <c r="L16" s="21" t="s">
        <v>968</v>
      </c>
      <c r="M16" s="26" t="s">
        <v>43</v>
      </c>
      <c r="N16" s="17"/>
      <c r="O16" s="17"/>
    </row>
    <row r="17" ht="57.75" customHeight="1">
      <c r="A17" s="74" t="s">
        <v>970</v>
      </c>
      <c r="B17" s="28" t="s">
        <v>79</v>
      </c>
      <c r="C17" s="28" t="s">
        <v>74</v>
      </c>
      <c r="D17" s="19" t="s">
        <v>9</v>
      </c>
      <c r="E17" s="30" t="s">
        <v>971</v>
      </c>
      <c r="F17" s="30">
        <v>8.0</v>
      </c>
      <c r="G17" s="30">
        <v>16.0</v>
      </c>
      <c r="H17" s="30">
        <v>24.0</v>
      </c>
      <c r="I17" s="30">
        <v>40.0</v>
      </c>
      <c r="J17" s="30">
        <v>48.0</v>
      </c>
      <c r="K17" s="31" t="s">
        <v>117</v>
      </c>
      <c r="L17" s="30" t="s">
        <v>972</v>
      </c>
      <c r="M17" s="26" t="s">
        <v>43</v>
      </c>
      <c r="N17" s="28"/>
      <c r="O17" s="28"/>
    </row>
    <row r="18" ht="57.75" customHeight="1">
      <c r="A18" s="74" t="s">
        <v>973</v>
      </c>
      <c r="B18" s="17" t="s">
        <v>79</v>
      </c>
      <c r="C18" s="17" t="s">
        <v>74</v>
      </c>
      <c r="D18" s="19" t="s">
        <v>9</v>
      </c>
      <c r="E18" s="21" t="s">
        <v>974</v>
      </c>
      <c r="F18" s="21">
        <v>2.0</v>
      </c>
      <c r="G18" s="21">
        <v>3.0</v>
      </c>
      <c r="H18" s="21">
        <v>4.0</v>
      </c>
      <c r="I18" s="21">
        <v>6.0</v>
      </c>
      <c r="J18" s="21">
        <v>8.0</v>
      </c>
      <c r="K18" s="23" t="s">
        <v>64</v>
      </c>
      <c r="L18" s="21" t="s">
        <v>976</v>
      </c>
      <c r="M18" s="26" t="s">
        <v>43</v>
      </c>
      <c r="N18" s="17"/>
      <c r="O18" s="17"/>
    </row>
    <row r="19" ht="57.75" customHeight="1">
      <c r="A19" s="74" t="s">
        <v>977</v>
      </c>
      <c r="B19" s="28" t="s">
        <v>79</v>
      </c>
      <c r="C19" s="28" t="s">
        <v>74</v>
      </c>
      <c r="D19" s="19" t="s">
        <v>9</v>
      </c>
      <c r="E19" s="30" t="s">
        <v>978</v>
      </c>
      <c r="F19" s="30">
        <v>4.0</v>
      </c>
      <c r="G19" s="30">
        <v>6.0</v>
      </c>
      <c r="H19" s="30">
        <v>8.0</v>
      </c>
      <c r="I19" s="30">
        <v>10.0</v>
      </c>
      <c r="J19" s="30">
        <v>12.0</v>
      </c>
      <c r="K19" s="31" t="s">
        <v>95</v>
      </c>
      <c r="L19" s="30" t="s">
        <v>979</v>
      </c>
      <c r="M19" s="26" t="s">
        <v>43</v>
      </c>
      <c r="N19" s="28"/>
      <c r="O19" s="28"/>
    </row>
    <row r="20" ht="57.75" customHeight="1">
      <c r="A20" s="74" t="s">
        <v>981</v>
      </c>
      <c r="B20" s="17" t="s">
        <v>79</v>
      </c>
      <c r="C20" s="17" t="s">
        <v>74</v>
      </c>
      <c r="D20" s="19" t="s">
        <v>9</v>
      </c>
      <c r="E20" s="21" t="s">
        <v>982</v>
      </c>
      <c r="F20" s="21" t="s">
        <v>983</v>
      </c>
      <c r="G20" s="21" t="s">
        <v>984</v>
      </c>
      <c r="H20" s="21" t="s">
        <v>985</v>
      </c>
      <c r="I20" s="21" t="s">
        <v>986</v>
      </c>
      <c r="J20" s="21" t="s">
        <v>988</v>
      </c>
      <c r="K20" s="23" t="s">
        <v>95</v>
      </c>
      <c r="L20" s="21" t="s">
        <v>991</v>
      </c>
      <c r="M20" s="26" t="s">
        <v>43</v>
      </c>
      <c r="N20" s="17"/>
      <c r="O20" s="17"/>
    </row>
    <row r="21" ht="19.5" customHeight="1">
      <c r="A21" s="46" t="s">
        <v>166</v>
      </c>
      <c r="B21" s="3"/>
      <c r="C21" s="3"/>
      <c r="D21" s="3"/>
      <c r="E21" s="3"/>
      <c r="F21" s="3"/>
      <c r="G21" s="3"/>
      <c r="H21" s="3"/>
      <c r="I21" s="3"/>
      <c r="J21" s="3"/>
      <c r="K21" s="3"/>
      <c r="L21" s="3"/>
      <c r="M21" s="3"/>
      <c r="N21" s="3"/>
      <c r="O21" s="4"/>
    </row>
    <row r="22" ht="57.75" customHeight="1">
      <c r="A22" s="74" t="s">
        <v>1003</v>
      </c>
      <c r="B22" s="28" t="s">
        <v>79</v>
      </c>
      <c r="C22" s="28" t="s">
        <v>74</v>
      </c>
      <c r="D22" s="22" t="s">
        <v>11</v>
      </c>
      <c r="E22" s="30" t="s">
        <v>1006</v>
      </c>
      <c r="F22" s="30">
        <v>2.0</v>
      </c>
      <c r="G22" s="30">
        <v>3.0</v>
      </c>
      <c r="H22" s="30">
        <v>6.0</v>
      </c>
      <c r="I22" s="30">
        <v>8.0</v>
      </c>
      <c r="J22" s="30">
        <v>12.0</v>
      </c>
      <c r="K22" s="31" t="s">
        <v>95</v>
      </c>
      <c r="L22" s="30" t="s">
        <v>1012</v>
      </c>
      <c r="M22" s="26" t="s">
        <v>43</v>
      </c>
      <c r="N22" s="28"/>
      <c r="O22" s="28"/>
    </row>
    <row r="23" ht="57.75" customHeight="1">
      <c r="A23" s="74" t="s">
        <v>1014</v>
      </c>
      <c r="B23" s="17" t="s">
        <v>79</v>
      </c>
      <c r="C23" s="17" t="s">
        <v>74</v>
      </c>
      <c r="D23" s="22" t="s">
        <v>11</v>
      </c>
      <c r="E23" s="21" t="s">
        <v>1016</v>
      </c>
      <c r="F23" s="21">
        <v>-13.0</v>
      </c>
      <c r="G23" s="21">
        <v>-7.0</v>
      </c>
      <c r="H23" s="21">
        <v>-1.0</v>
      </c>
      <c r="I23" s="21">
        <v>1.0</v>
      </c>
      <c r="J23" s="21">
        <v>13.0</v>
      </c>
      <c r="K23" s="23" t="s">
        <v>40</v>
      </c>
      <c r="L23" s="21" t="s">
        <v>1026</v>
      </c>
      <c r="M23" s="26" t="s">
        <v>43</v>
      </c>
      <c r="N23" s="17"/>
      <c r="O23" s="17"/>
    </row>
    <row r="24" ht="57.75" customHeight="1">
      <c r="A24" s="74" t="s">
        <v>1031</v>
      </c>
      <c r="B24" s="28" t="s">
        <v>79</v>
      </c>
      <c r="C24" s="28" t="s">
        <v>74</v>
      </c>
      <c r="D24" s="22" t="s">
        <v>11</v>
      </c>
      <c r="E24" s="30" t="s">
        <v>1033</v>
      </c>
      <c r="F24" s="30">
        <v>5.0</v>
      </c>
      <c r="G24" s="30">
        <v>7.0</v>
      </c>
      <c r="H24" s="30">
        <v>9.0</v>
      </c>
      <c r="I24" s="30">
        <v>10.0</v>
      </c>
      <c r="J24" s="30">
        <v>12.0</v>
      </c>
      <c r="K24" s="31" t="s">
        <v>95</v>
      </c>
      <c r="L24" s="30" t="s">
        <v>1038</v>
      </c>
      <c r="M24" s="26" t="s">
        <v>43</v>
      </c>
      <c r="N24" s="28"/>
      <c r="O24" s="28"/>
    </row>
    <row r="25" ht="57.75" customHeight="1">
      <c r="A25" s="74" t="s">
        <v>1043</v>
      </c>
      <c r="B25" s="17" t="s">
        <v>79</v>
      </c>
      <c r="C25" s="17" t="s">
        <v>74</v>
      </c>
      <c r="D25" s="22" t="s">
        <v>11</v>
      </c>
      <c r="E25" s="21" t="s">
        <v>1045</v>
      </c>
      <c r="F25" s="21">
        <v>37.0</v>
      </c>
      <c r="G25" s="21">
        <v>49.0</v>
      </c>
      <c r="H25" s="21">
        <v>50.0</v>
      </c>
      <c r="I25" s="21">
        <v>64.0</v>
      </c>
      <c r="J25" s="21">
        <v>81.0</v>
      </c>
      <c r="K25" s="23" t="s">
        <v>64</v>
      </c>
      <c r="L25" s="21" t="s">
        <v>1048</v>
      </c>
      <c r="M25" s="26" t="s">
        <v>43</v>
      </c>
      <c r="N25" s="17"/>
      <c r="O25" s="17"/>
    </row>
    <row r="26" ht="57.75" customHeight="1">
      <c r="A26" s="74" t="s">
        <v>1056</v>
      </c>
      <c r="B26" s="28" t="s">
        <v>79</v>
      </c>
      <c r="C26" s="28" t="s">
        <v>74</v>
      </c>
      <c r="D26" s="22" t="s">
        <v>11</v>
      </c>
      <c r="E26" s="30" t="s">
        <v>1060</v>
      </c>
      <c r="F26" s="30">
        <v>20.0</v>
      </c>
      <c r="G26" s="30">
        <v>25.0</v>
      </c>
      <c r="H26" s="30">
        <v>30.0</v>
      </c>
      <c r="I26" s="30">
        <v>35.0</v>
      </c>
      <c r="J26" s="30">
        <v>40.0</v>
      </c>
      <c r="K26" s="31" t="s">
        <v>64</v>
      </c>
      <c r="L26" s="30" t="s">
        <v>1064</v>
      </c>
      <c r="M26" s="26" t="s">
        <v>43</v>
      </c>
      <c r="N26" s="28"/>
      <c r="O26" s="28"/>
    </row>
    <row r="27" ht="57.75" customHeight="1">
      <c r="A27" s="74" t="s">
        <v>1066</v>
      </c>
      <c r="B27" s="17" t="s">
        <v>79</v>
      </c>
      <c r="C27" s="17" t="s">
        <v>74</v>
      </c>
      <c r="D27" s="22" t="s">
        <v>11</v>
      </c>
      <c r="E27" s="21" t="s">
        <v>1070</v>
      </c>
      <c r="F27" s="21">
        <v>6.0</v>
      </c>
      <c r="G27" s="21">
        <v>12.0</v>
      </c>
      <c r="H27" s="21">
        <v>14.0</v>
      </c>
      <c r="I27" s="21">
        <v>24.0</v>
      </c>
      <c r="J27" s="21">
        <v>36.0</v>
      </c>
      <c r="K27" s="23" t="s">
        <v>40</v>
      </c>
      <c r="L27" s="21" t="s">
        <v>1080</v>
      </c>
      <c r="M27" s="26" t="s">
        <v>43</v>
      </c>
      <c r="N27" s="17"/>
      <c r="O27" s="17"/>
    </row>
    <row r="28" ht="57.75" customHeight="1">
      <c r="A28" s="74" t="s">
        <v>1082</v>
      </c>
      <c r="B28" s="28" t="s">
        <v>79</v>
      </c>
      <c r="C28" s="28" t="s">
        <v>74</v>
      </c>
      <c r="D28" s="22" t="s">
        <v>11</v>
      </c>
      <c r="E28" s="30" t="s">
        <v>1085</v>
      </c>
      <c r="F28" s="30">
        <v>-6.0</v>
      </c>
      <c r="G28" s="30">
        <v>-2.0</v>
      </c>
      <c r="H28" s="30">
        <v>2.0</v>
      </c>
      <c r="I28" s="30">
        <v>3.0</v>
      </c>
      <c r="J28" s="30">
        <v>6.0</v>
      </c>
      <c r="K28" s="31" t="s">
        <v>78</v>
      </c>
      <c r="L28" s="30" t="s">
        <v>1090</v>
      </c>
      <c r="M28" s="26" t="s">
        <v>43</v>
      </c>
      <c r="N28" s="28"/>
      <c r="O28" s="28"/>
    </row>
    <row r="29" ht="57.75" customHeight="1">
      <c r="A29" s="74" t="s">
        <v>1093</v>
      </c>
      <c r="B29" s="17" t="s">
        <v>79</v>
      </c>
      <c r="C29" s="17" t="s">
        <v>74</v>
      </c>
      <c r="D29" s="22" t="s">
        <v>11</v>
      </c>
      <c r="E29" s="21" t="s">
        <v>1095</v>
      </c>
      <c r="F29" s="21">
        <v>-2.0</v>
      </c>
      <c r="G29" s="21">
        <v>1.0</v>
      </c>
      <c r="H29" s="21">
        <v>2.0</v>
      </c>
      <c r="I29" s="21">
        <v>3.0</v>
      </c>
      <c r="J29" s="21">
        <v>4.0</v>
      </c>
      <c r="K29" s="23" t="s">
        <v>95</v>
      </c>
      <c r="L29" s="21" t="s">
        <v>1100</v>
      </c>
      <c r="M29" s="26" t="s">
        <v>43</v>
      </c>
      <c r="N29" s="17"/>
      <c r="O29" s="17"/>
    </row>
    <row r="30" ht="57.75" customHeight="1">
      <c r="A30" s="74" t="s">
        <v>1104</v>
      </c>
      <c r="B30" s="28" t="s">
        <v>79</v>
      </c>
      <c r="C30" s="28" t="s">
        <v>74</v>
      </c>
      <c r="D30" s="22" t="s">
        <v>11</v>
      </c>
      <c r="E30" s="30" t="s">
        <v>1110</v>
      </c>
      <c r="F30" s="30">
        <v>2.0</v>
      </c>
      <c r="G30" s="30">
        <v>4.0</v>
      </c>
      <c r="H30" s="30">
        <v>6.0</v>
      </c>
      <c r="I30" s="30">
        <v>8.0</v>
      </c>
      <c r="J30" s="30">
        <v>10.0</v>
      </c>
      <c r="K30" s="31" t="s">
        <v>40</v>
      </c>
      <c r="L30" s="30" t="s">
        <v>1119</v>
      </c>
      <c r="M30" s="26" t="s">
        <v>43</v>
      </c>
      <c r="N30" s="28"/>
      <c r="O30" s="28"/>
    </row>
    <row r="31" ht="57.75" customHeight="1">
      <c r="A31" s="74" t="s">
        <v>1121</v>
      </c>
      <c r="B31" s="17" t="s">
        <v>79</v>
      </c>
      <c r="C31" s="17" t="s">
        <v>74</v>
      </c>
      <c r="D31" s="22" t="s">
        <v>11</v>
      </c>
      <c r="E31" s="21" t="s">
        <v>1126</v>
      </c>
      <c r="F31" s="21">
        <v>2.0</v>
      </c>
      <c r="G31" s="21">
        <v>3.0</v>
      </c>
      <c r="H31" s="21">
        <v>4.0</v>
      </c>
      <c r="I31" s="21">
        <v>5.0</v>
      </c>
      <c r="J31" s="21">
        <v>6.0</v>
      </c>
      <c r="K31" s="23" t="s">
        <v>64</v>
      </c>
      <c r="L31" s="21" t="s">
        <v>1135</v>
      </c>
      <c r="M31" s="26" t="s">
        <v>43</v>
      </c>
      <c r="N31" s="17"/>
      <c r="O31" s="17"/>
    </row>
    <row r="32" ht="57.75" customHeight="1">
      <c r="A32" s="74" t="s">
        <v>1138</v>
      </c>
      <c r="B32" s="28" t="s">
        <v>79</v>
      </c>
      <c r="C32" s="28" t="s">
        <v>74</v>
      </c>
      <c r="D32" s="22" t="s">
        <v>11</v>
      </c>
      <c r="E32" s="30" t="s">
        <v>1141</v>
      </c>
      <c r="F32" s="40">
        <v>46148.0</v>
      </c>
      <c r="G32" s="40">
        <v>46178.0</v>
      </c>
      <c r="H32" s="30" t="s">
        <v>1148</v>
      </c>
      <c r="I32" s="30" t="s">
        <v>1150</v>
      </c>
      <c r="J32" s="30">
        <v>1.0</v>
      </c>
      <c r="K32" s="31" t="s">
        <v>40</v>
      </c>
      <c r="L32" s="30" t="s">
        <v>1155</v>
      </c>
      <c r="M32" s="26" t="s">
        <v>43</v>
      </c>
      <c r="N32" s="28"/>
      <c r="O32" s="28"/>
    </row>
    <row r="33" ht="57.75" customHeight="1">
      <c r="A33" s="74" t="s">
        <v>1159</v>
      </c>
      <c r="B33" s="17" t="s">
        <v>79</v>
      </c>
      <c r="C33" s="17" t="s">
        <v>74</v>
      </c>
      <c r="D33" s="22" t="s">
        <v>11</v>
      </c>
      <c r="E33" s="21" t="s">
        <v>1164</v>
      </c>
      <c r="F33" s="21">
        <v>224.0</v>
      </c>
      <c r="G33" s="21">
        <v>240.0</v>
      </c>
      <c r="H33" s="21">
        <v>255.0</v>
      </c>
      <c r="I33" s="21">
        <v>272.0</v>
      </c>
      <c r="J33" s="21">
        <v>288.0</v>
      </c>
      <c r="K33" s="23" t="s">
        <v>95</v>
      </c>
      <c r="L33" s="21" t="s">
        <v>1171</v>
      </c>
      <c r="M33" s="26" t="s">
        <v>43</v>
      </c>
      <c r="N33" s="17"/>
      <c r="O33" s="17"/>
    </row>
    <row r="34" ht="57.75" customHeight="1">
      <c r="A34" s="74" t="s">
        <v>1175</v>
      </c>
      <c r="B34" s="28" t="s">
        <v>79</v>
      </c>
      <c r="C34" s="28" t="s">
        <v>74</v>
      </c>
      <c r="D34" s="22" t="s">
        <v>11</v>
      </c>
      <c r="E34" s="30" t="s">
        <v>1178</v>
      </c>
      <c r="F34" s="30">
        <v>11.0</v>
      </c>
      <c r="G34" s="30">
        <v>13.0</v>
      </c>
      <c r="H34" s="30">
        <v>15.0</v>
      </c>
      <c r="I34" s="30">
        <v>17.0</v>
      </c>
      <c r="J34" s="30">
        <v>19.0</v>
      </c>
      <c r="K34" s="31" t="s">
        <v>95</v>
      </c>
      <c r="L34" s="30" t="s">
        <v>1183</v>
      </c>
      <c r="M34" s="26" t="s">
        <v>43</v>
      </c>
      <c r="N34" s="28"/>
      <c r="O34" s="28"/>
    </row>
    <row r="35" ht="57.75" customHeight="1">
      <c r="A35" s="74" t="s">
        <v>1187</v>
      </c>
      <c r="B35" s="17" t="s">
        <v>79</v>
      </c>
      <c r="C35" s="17" t="s">
        <v>74</v>
      </c>
      <c r="D35" s="22" t="s">
        <v>11</v>
      </c>
      <c r="E35" s="21" t="s">
        <v>1189</v>
      </c>
      <c r="F35" s="21">
        <v>-7.0</v>
      </c>
      <c r="G35" s="21">
        <v>7.0</v>
      </c>
      <c r="H35" s="21">
        <v>12.0</v>
      </c>
      <c r="I35" s="21">
        <v>16.0</v>
      </c>
      <c r="J35" s="21">
        <v>21.0</v>
      </c>
      <c r="K35" s="23" t="s">
        <v>40</v>
      </c>
      <c r="L35" s="21" t="s">
        <v>1198</v>
      </c>
      <c r="M35" s="26" t="s">
        <v>43</v>
      </c>
      <c r="N35" s="17"/>
      <c r="O35" s="17"/>
    </row>
    <row r="36" ht="57.75" customHeight="1">
      <c r="A36" s="74" t="s">
        <v>1201</v>
      </c>
      <c r="B36" s="28" t="s">
        <v>79</v>
      </c>
      <c r="C36" s="28" t="s">
        <v>74</v>
      </c>
      <c r="D36" s="22" t="s">
        <v>11</v>
      </c>
      <c r="E36" s="30" t="s">
        <v>1203</v>
      </c>
      <c r="F36" s="30" t="s">
        <v>1206</v>
      </c>
      <c r="G36" s="30" t="s">
        <v>1208</v>
      </c>
      <c r="H36" s="30" t="s">
        <v>1211</v>
      </c>
      <c r="I36" s="30" t="s">
        <v>1214</v>
      </c>
      <c r="J36" s="30" t="s">
        <v>1215</v>
      </c>
      <c r="K36" s="31" t="s">
        <v>64</v>
      </c>
      <c r="L36" s="30" t="s">
        <v>1219</v>
      </c>
      <c r="M36" s="26" t="s">
        <v>43</v>
      </c>
      <c r="N36" s="28"/>
      <c r="O36" s="28"/>
    </row>
    <row r="37" ht="19.5" customHeight="1">
      <c r="A37" s="63" t="s">
        <v>279</v>
      </c>
      <c r="B37" s="3"/>
      <c r="C37" s="3"/>
      <c r="D37" s="3"/>
      <c r="E37" s="3"/>
      <c r="F37" s="3"/>
      <c r="G37" s="3"/>
      <c r="H37" s="3"/>
      <c r="I37" s="3"/>
      <c r="J37" s="3"/>
      <c r="K37" s="3"/>
      <c r="L37" s="3"/>
      <c r="M37" s="3"/>
      <c r="N37" s="3"/>
      <c r="O37" s="4"/>
    </row>
    <row r="38" ht="57.75" customHeight="1">
      <c r="A38" s="74" t="s">
        <v>1230</v>
      </c>
      <c r="B38" s="17" t="s">
        <v>79</v>
      </c>
      <c r="C38" s="17" t="s">
        <v>74</v>
      </c>
      <c r="D38" s="24" t="s">
        <v>12</v>
      </c>
      <c r="E38" s="21" t="s">
        <v>1233</v>
      </c>
      <c r="F38" s="21" t="s">
        <v>363</v>
      </c>
      <c r="G38" s="21" t="s">
        <v>451</v>
      </c>
      <c r="H38" s="21" t="s">
        <v>365</v>
      </c>
      <c r="I38" s="21" t="s">
        <v>367</v>
      </c>
      <c r="J38" s="21" t="s">
        <v>452</v>
      </c>
      <c r="K38" s="23" t="s">
        <v>40</v>
      </c>
      <c r="L38" s="21" t="s">
        <v>1238</v>
      </c>
      <c r="M38" s="26" t="s">
        <v>43</v>
      </c>
      <c r="N38" s="17"/>
      <c r="O38" s="17"/>
    </row>
    <row r="39" ht="57.75" customHeight="1">
      <c r="A39" s="74" t="s">
        <v>1241</v>
      </c>
      <c r="B39" s="28" t="s">
        <v>79</v>
      </c>
      <c r="C39" s="28" t="s">
        <v>74</v>
      </c>
      <c r="D39" s="24" t="s">
        <v>12</v>
      </c>
      <c r="E39" s="30" t="s">
        <v>1244</v>
      </c>
      <c r="F39" s="30">
        <v>12.0</v>
      </c>
      <c r="G39" s="30">
        <v>20.0</v>
      </c>
      <c r="H39" s="30">
        <v>28.0</v>
      </c>
      <c r="I39" s="30">
        <v>36.0</v>
      </c>
      <c r="J39" s="30">
        <v>48.0</v>
      </c>
      <c r="K39" s="31" t="s">
        <v>95</v>
      </c>
      <c r="L39" s="30" t="s">
        <v>1247</v>
      </c>
      <c r="M39" s="26" t="s">
        <v>43</v>
      </c>
      <c r="N39" s="28"/>
      <c r="O39" s="28"/>
    </row>
    <row r="40" ht="57.75" customHeight="1">
      <c r="A40" s="74" t="s">
        <v>1248</v>
      </c>
      <c r="B40" s="17" t="s">
        <v>79</v>
      </c>
      <c r="C40" s="17" t="s">
        <v>74</v>
      </c>
      <c r="D40" s="24" t="s">
        <v>12</v>
      </c>
      <c r="E40" s="21" t="s">
        <v>1250</v>
      </c>
      <c r="F40" s="21">
        <v>40.0</v>
      </c>
      <c r="G40" s="21">
        <v>48.0</v>
      </c>
      <c r="H40" s="21">
        <v>52.0</v>
      </c>
      <c r="I40" s="21">
        <v>64.0</v>
      </c>
      <c r="J40" s="21">
        <v>76.0</v>
      </c>
      <c r="K40" s="23" t="s">
        <v>95</v>
      </c>
      <c r="L40" s="21" t="s">
        <v>1252</v>
      </c>
      <c r="M40" s="26" t="s">
        <v>43</v>
      </c>
      <c r="N40" s="17"/>
      <c r="O40" s="17"/>
    </row>
    <row r="41" ht="57.75" customHeight="1">
      <c r="A41" s="74" t="s">
        <v>1253</v>
      </c>
      <c r="B41" s="28" t="s">
        <v>79</v>
      </c>
      <c r="C41" s="28" t="s">
        <v>74</v>
      </c>
      <c r="D41" s="24" t="s">
        <v>12</v>
      </c>
      <c r="E41" s="30" t="s">
        <v>1256</v>
      </c>
      <c r="F41" s="30" t="s">
        <v>1257</v>
      </c>
      <c r="G41" s="30" t="s">
        <v>1259</v>
      </c>
      <c r="H41" s="30" t="s">
        <v>1260</v>
      </c>
      <c r="I41" s="30" t="s">
        <v>1261</v>
      </c>
      <c r="J41" s="30" t="s">
        <v>1262</v>
      </c>
      <c r="K41" s="31" t="s">
        <v>95</v>
      </c>
      <c r="L41" s="30" t="s">
        <v>1266</v>
      </c>
      <c r="M41" s="26" t="s">
        <v>43</v>
      </c>
      <c r="N41" s="28"/>
      <c r="O41" s="28"/>
    </row>
    <row r="42" ht="57.75" customHeight="1">
      <c r="A42" s="74" t="s">
        <v>1268</v>
      </c>
      <c r="B42" s="17" t="s">
        <v>79</v>
      </c>
      <c r="C42" s="17" t="s">
        <v>74</v>
      </c>
      <c r="D42" s="24" t="s">
        <v>12</v>
      </c>
      <c r="E42" s="21" t="s">
        <v>1271</v>
      </c>
      <c r="F42" s="21">
        <v>5.0</v>
      </c>
      <c r="G42" s="21">
        <v>8.0</v>
      </c>
      <c r="H42" s="21">
        <v>10.0</v>
      </c>
      <c r="I42" s="21">
        <v>13.0</v>
      </c>
      <c r="J42" s="21">
        <v>17.0</v>
      </c>
      <c r="K42" s="23" t="s">
        <v>95</v>
      </c>
      <c r="L42" s="21" t="s">
        <v>1278</v>
      </c>
      <c r="M42" s="26" t="s">
        <v>43</v>
      </c>
      <c r="N42" s="17"/>
      <c r="O42" s="17"/>
    </row>
    <row r="43" ht="57.75" customHeight="1">
      <c r="A43" s="74" t="s">
        <v>1280</v>
      </c>
      <c r="B43" s="28" t="s">
        <v>79</v>
      </c>
      <c r="C43" s="28" t="s">
        <v>74</v>
      </c>
      <c r="D43" s="24" t="s">
        <v>12</v>
      </c>
      <c r="E43" s="30" t="s">
        <v>1282</v>
      </c>
      <c r="F43" s="30" t="s">
        <v>363</v>
      </c>
      <c r="G43" s="30" t="s">
        <v>451</v>
      </c>
      <c r="H43" s="30" t="s">
        <v>365</v>
      </c>
      <c r="I43" s="30" t="s">
        <v>367</v>
      </c>
      <c r="J43" s="30" t="s">
        <v>452</v>
      </c>
      <c r="K43" s="31" t="s">
        <v>64</v>
      </c>
      <c r="L43" s="30" t="s">
        <v>1292</v>
      </c>
      <c r="M43" s="26" t="s">
        <v>43</v>
      </c>
      <c r="N43" s="28"/>
      <c r="O43" s="28"/>
    </row>
    <row r="44" ht="57.75" customHeight="1">
      <c r="A44" s="74" t="s">
        <v>1294</v>
      </c>
      <c r="B44" s="17" t="s">
        <v>79</v>
      </c>
      <c r="C44" s="17" t="s">
        <v>74</v>
      </c>
      <c r="D44" s="24" t="s">
        <v>12</v>
      </c>
      <c r="E44" s="21" t="s">
        <v>1297</v>
      </c>
      <c r="F44" s="21">
        <v>16.0</v>
      </c>
      <c r="G44" s="21">
        <v>24.0</v>
      </c>
      <c r="H44" s="21">
        <v>32.0</v>
      </c>
      <c r="I44" s="21">
        <v>40.0</v>
      </c>
      <c r="J44" s="21">
        <v>48.0</v>
      </c>
      <c r="K44" s="23" t="s">
        <v>95</v>
      </c>
      <c r="L44" s="21" t="s">
        <v>1301</v>
      </c>
      <c r="M44" s="26" t="s">
        <v>43</v>
      </c>
      <c r="N44" s="17"/>
      <c r="O44" s="17"/>
    </row>
    <row r="45" ht="57.75" customHeight="1">
      <c r="A45" s="74" t="s">
        <v>1304</v>
      </c>
      <c r="B45" s="28" t="s">
        <v>79</v>
      </c>
      <c r="C45" s="28" t="s">
        <v>74</v>
      </c>
      <c r="D45" s="24" t="s">
        <v>12</v>
      </c>
      <c r="E45" s="30" t="s">
        <v>1307</v>
      </c>
      <c r="F45" s="30">
        <v>65.0</v>
      </c>
      <c r="G45" s="30">
        <v>72.0</v>
      </c>
      <c r="H45" s="30">
        <v>79.0</v>
      </c>
      <c r="I45" s="30">
        <v>84.0</v>
      </c>
      <c r="J45" s="30">
        <v>91.0</v>
      </c>
      <c r="K45" s="31" t="s">
        <v>95</v>
      </c>
      <c r="L45" s="30" t="s">
        <v>1314</v>
      </c>
      <c r="M45" s="26" t="s">
        <v>43</v>
      </c>
      <c r="N45" s="28"/>
      <c r="O45" s="28"/>
    </row>
    <row r="46" ht="57.75" customHeight="1">
      <c r="A46" s="74" t="s">
        <v>1317</v>
      </c>
      <c r="B46" s="17" t="s">
        <v>79</v>
      </c>
      <c r="C46" s="17" t="s">
        <v>74</v>
      </c>
      <c r="D46" s="24" t="s">
        <v>12</v>
      </c>
      <c r="E46" s="21" t="s">
        <v>1321</v>
      </c>
      <c r="F46" s="21" t="s">
        <v>1323</v>
      </c>
      <c r="G46" s="21" t="s">
        <v>1325</v>
      </c>
      <c r="H46" s="21" t="s">
        <v>1327</v>
      </c>
      <c r="I46" s="21" t="s">
        <v>1329</v>
      </c>
      <c r="J46" s="21" t="s">
        <v>1330</v>
      </c>
      <c r="K46" s="23" t="s">
        <v>95</v>
      </c>
      <c r="L46" s="21" t="s">
        <v>1334</v>
      </c>
      <c r="M46" s="26" t="s">
        <v>43</v>
      </c>
      <c r="N46" s="17"/>
      <c r="O46" s="17"/>
    </row>
    <row r="47" ht="57.75" customHeight="1">
      <c r="A47" s="74" t="s">
        <v>1336</v>
      </c>
      <c r="B47" s="28" t="s">
        <v>79</v>
      </c>
      <c r="C47" s="28" t="s">
        <v>74</v>
      </c>
      <c r="D47" s="24" t="s">
        <v>12</v>
      </c>
      <c r="E47" s="30" t="s">
        <v>1340</v>
      </c>
      <c r="F47" s="30">
        <v>17.0</v>
      </c>
      <c r="G47" s="30">
        <v>20.0</v>
      </c>
      <c r="H47" s="30">
        <v>26.0</v>
      </c>
      <c r="I47" s="30">
        <v>29.0</v>
      </c>
      <c r="J47" s="30">
        <v>34.0</v>
      </c>
      <c r="K47" s="31" t="s">
        <v>95</v>
      </c>
      <c r="L47" s="30" t="s">
        <v>1346</v>
      </c>
      <c r="M47" s="26" t="s">
        <v>43</v>
      </c>
      <c r="N47" s="28"/>
      <c r="O47" s="28"/>
    </row>
    <row r="48" ht="57.75" customHeight="1">
      <c r="A48" s="74" t="s">
        <v>1347</v>
      </c>
      <c r="B48" s="17" t="s">
        <v>79</v>
      </c>
      <c r="C48" s="17" t="s">
        <v>74</v>
      </c>
      <c r="D48" s="24" t="s">
        <v>12</v>
      </c>
      <c r="E48" s="21" t="s">
        <v>1353</v>
      </c>
      <c r="F48" s="21" t="s">
        <v>363</v>
      </c>
      <c r="G48" s="21" t="s">
        <v>451</v>
      </c>
      <c r="H48" s="21" t="s">
        <v>365</v>
      </c>
      <c r="I48" s="21" t="s">
        <v>367</v>
      </c>
      <c r="J48" s="21" t="s">
        <v>452</v>
      </c>
      <c r="K48" s="23" t="s">
        <v>40</v>
      </c>
      <c r="L48" s="21" t="s">
        <v>1359</v>
      </c>
      <c r="M48" s="26" t="s">
        <v>43</v>
      </c>
      <c r="N48" s="17"/>
      <c r="O48" s="17"/>
    </row>
    <row r="49" ht="57.75" customHeight="1">
      <c r="A49" s="74" t="s">
        <v>1361</v>
      </c>
      <c r="B49" s="28" t="s">
        <v>79</v>
      </c>
      <c r="C49" s="28" t="s">
        <v>74</v>
      </c>
      <c r="D49" s="24" t="s">
        <v>12</v>
      </c>
      <c r="E49" s="30" t="s">
        <v>1367</v>
      </c>
      <c r="F49" s="30">
        <v>28.0</v>
      </c>
      <c r="G49" s="30">
        <v>36.0</v>
      </c>
      <c r="H49" s="30">
        <v>44.0</v>
      </c>
      <c r="I49" s="30">
        <v>52.0</v>
      </c>
      <c r="J49" s="30">
        <v>60.0</v>
      </c>
      <c r="K49" s="31" t="s">
        <v>95</v>
      </c>
      <c r="L49" s="30" t="s">
        <v>1372</v>
      </c>
      <c r="M49" s="26" t="s">
        <v>43</v>
      </c>
      <c r="N49" s="28"/>
      <c r="O49" s="28"/>
    </row>
    <row r="50" ht="57.75" customHeight="1">
      <c r="A50" s="74" t="s">
        <v>1375</v>
      </c>
      <c r="B50" s="17" t="s">
        <v>79</v>
      </c>
      <c r="C50" s="17" t="s">
        <v>74</v>
      </c>
      <c r="D50" s="24" t="s">
        <v>12</v>
      </c>
      <c r="E50" s="21" t="s">
        <v>1380</v>
      </c>
      <c r="F50" s="21">
        <v>95.0</v>
      </c>
      <c r="G50" s="21">
        <v>102.0</v>
      </c>
      <c r="H50" s="21">
        <v>109.0</v>
      </c>
      <c r="I50" s="21">
        <v>116.0</v>
      </c>
      <c r="J50" s="21">
        <v>123.0</v>
      </c>
      <c r="K50" s="23" t="s">
        <v>95</v>
      </c>
      <c r="L50" s="21" t="s">
        <v>1387</v>
      </c>
      <c r="M50" s="26" t="s">
        <v>43</v>
      </c>
      <c r="N50" s="17"/>
      <c r="O50" s="17"/>
    </row>
    <row r="51" ht="57.75" customHeight="1">
      <c r="A51" s="74" t="s">
        <v>1389</v>
      </c>
      <c r="B51" s="28" t="s">
        <v>79</v>
      </c>
      <c r="C51" s="28" t="s">
        <v>74</v>
      </c>
      <c r="D51" s="24" t="s">
        <v>12</v>
      </c>
      <c r="E51" s="30" t="s">
        <v>1394</v>
      </c>
      <c r="F51" s="30" t="s">
        <v>1395</v>
      </c>
      <c r="G51" s="30" t="s">
        <v>1257</v>
      </c>
      <c r="H51" s="30" t="s">
        <v>1259</v>
      </c>
      <c r="I51" s="30" t="s">
        <v>1260</v>
      </c>
      <c r="J51" s="30" t="s">
        <v>1261</v>
      </c>
      <c r="K51" s="31" t="s">
        <v>95</v>
      </c>
      <c r="L51" s="30" t="s">
        <v>1402</v>
      </c>
      <c r="M51" s="26" t="s">
        <v>43</v>
      </c>
      <c r="N51" s="28"/>
      <c r="O51" s="28"/>
    </row>
    <row r="52" ht="57.75" customHeight="1">
      <c r="A52" s="74" t="s">
        <v>1404</v>
      </c>
      <c r="B52" s="17" t="s">
        <v>79</v>
      </c>
      <c r="C52" s="17" t="s">
        <v>74</v>
      </c>
      <c r="D52" s="24" t="s">
        <v>12</v>
      </c>
      <c r="E52" s="21" t="s">
        <v>1408</v>
      </c>
      <c r="F52" s="21">
        <v>18.0</v>
      </c>
      <c r="G52" s="21">
        <v>21.0</v>
      </c>
      <c r="H52" s="21">
        <v>26.0</v>
      </c>
      <c r="I52" s="21">
        <v>30.0</v>
      </c>
      <c r="J52" s="21">
        <v>35.0</v>
      </c>
      <c r="K52" s="23" t="s">
        <v>95</v>
      </c>
      <c r="L52" s="21" t="s">
        <v>1415</v>
      </c>
      <c r="M52" s="26" t="s">
        <v>43</v>
      </c>
      <c r="N52" s="17"/>
      <c r="O52" s="17"/>
    </row>
    <row r="53" ht="25.5" customHeight="1">
      <c r="A53" s="55" t="s">
        <v>1419</v>
      </c>
      <c r="B53" s="57"/>
      <c r="C53" s="57"/>
      <c r="D53" s="57"/>
      <c r="E53" s="57"/>
      <c r="F53" s="57"/>
      <c r="G53" s="57"/>
      <c r="H53" s="57"/>
      <c r="I53" s="57"/>
      <c r="J53" s="58"/>
      <c r="M53" s="7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72" t="s">
        <v>969</v>
      </c>
      <c r="B1" s="3"/>
      <c r="C1" s="3"/>
      <c r="D1" s="3"/>
      <c r="E1" s="3"/>
      <c r="F1" s="3"/>
      <c r="G1" s="3"/>
      <c r="H1" s="3"/>
      <c r="I1" s="3"/>
      <c r="J1" s="3"/>
      <c r="K1" s="3"/>
      <c r="L1" s="3"/>
      <c r="M1" s="3"/>
      <c r="N1" s="3"/>
      <c r="O1" s="4"/>
    </row>
    <row r="2" ht="30.0" customHeight="1">
      <c r="A2" s="73" t="s">
        <v>975</v>
      </c>
      <c r="B2" s="3"/>
      <c r="C2" s="3"/>
      <c r="D2" s="3"/>
      <c r="E2" s="3"/>
      <c r="F2" s="3"/>
      <c r="G2" s="3"/>
      <c r="H2" s="3"/>
      <c r="I2" s="3"/>
      <c r="J2" s="3"/>
      <c r="K2" s="3"/>
      <c r="L2" s="3"/>
      <c r="M2" s="3"/>
      <c r="N2" s="3"/>
      <c r="O2" s="4"/>
    </row>
    <row r="3" ht="19.5" customHeight="1">
      <c r="A3" s="7" t="s">
        <v>6</v>
      </c>
      <c r="B3" s="3"/>
      <c r="C3" s="3"/>
      <c r="D3" s="3"/>
      <c r="E3" s="3"/>
      <c r="F3" s="3"/>
      <c r="G3" s="3"/>
      <c r="H3" s="3"/>
      <c r="I3" s="3"/>
      <c r="J3" s="3"/>
      <c r="K3" s="3"/>
      <c r="L3" s="3"/>
      <c r="M3" s="3"/>
      <c r="N3" s="3"/>
      <c r="O3" s="4"/>
    </row>
    <row r="4" ht="24.75" customHeight="1">
      <c r="A4" s="9" t="s">
        <v>8</v>
      </c>
      <c r="B4" s="9" t="s">
        <v>7</v>
      </c>
      <c r="C4" s="9" t="s">
        <v>13</v>
      </c>
      <c r="D4" s="9" t="s">
        <v>15</v>
      </c>
      <c r="E4" s="9" t="s">
        <v>17</v>
      </c>
      <c r="F4" s="9" t="s">
        <v>18</v>
      </c>
      <c r="G4" s="9" t="s">
        <v>20</v>
      </c>
      <c r="H4" s="9" t="s">
        <v>21</v>
      </c>
      <c r="I4" s="9" t="s">
        <v>22</v>
      </c>
      <c r="J4" s="9" t="s">
        <v>23</v>
      </c>
      <c r="K4" s="9" t="s">
        <v>25</v>
      </c>
      <c r="L4" s="9" t="s">
        <v>26</v>
      </c>
      <c r="M4" s="9" t="s">
        <v>19</v>
      </c>
      <c r="N4" s="9" t="s">
        <v>27</v>
      </c>
      <c r="O4" s="9" t="s">
        <v>28</v>
      </c>
    </row>
    <row r="5" ht="19.5" customHeight="1">
      <c r="A5" s="13" t="s">
        <v>29</v>
      </c>
      <c r="B5" s="3"/>
      <c r="C5" s="3"/>
      <c r="D5" s="3"/>
      <c r="E5" s="3"/>
      <c r="F5" s="3"/>
      <c r="G5" s="3"/>
      <c r="H5" s="3"/>
      <c r="I5" s="3"/>
      <c r="J5" s="3"/>
      <c r="K5" s="3"/>
      <c r="L5" s="3"/>
      <c r="M5" s="3"/>
      <c r="N5" s="3"/>
      <c r="O5" s="4"/>
    </row>
    <row r="6" ht="57.75" customHeight="1">
      <c r="A6" s="74" t="s">
        <v>1005</v>
      </c>
      <c r="B6" s="17" t="s">
        <v>97</v>
      </c>
      <c r="C6" s="17" t="s">
        <v>74</v>
      </c>
      <c r="D6" s="19" t="s">
        <v>9</v>
      </c>
      <c r="E6" s="21" t="s">
        <v>1018</v>
      </c>
      <c r="F6" s="21" t="s">
        <v>1021</v>
      </c>
      <c r="G6" s="21" t="s">
        <v>1023</v>
      </c>
      <c r="H6" s="21" t="s">
        <v>1025</v>
      </c>
      <c r="I6" s="21" t="s">
        <v>1027</v>
      </c>
      <c r="J6" s="21" t="s">
        <v>1029</v>
      </c>
      <c r="K6" s="23" t="s">
        <v>64</v>
      </c>
      <c r="L6" s="21" t="s">
        <v>1032</v>
      </c>
      <c r="M6" s="26" t="s">
        <v>43</v>
      </c>
      <c r="N6" s="17"/>
      <c r="O6" s="17"/>
    </row>
    <row r="7" ht="57.75" customHeight="1">
      <c r="A7" s="74" t="s">
        <v>1041</v>
      </c>
      <c r="B7" s="28" t="s">
        <v>97</v>
      </c>
      <c r="C7" s="28" t="s">
        <v>74</v>
      </c>
      <c r="D7" s="19" t="s">
        <v>9</v>
      </c>
      <c r="E7" s="30" t="s">
        <v>1047</v>
      </c>
      <c r="F7" s="30" t="s">
        <v>1049</v>
      </c>
      <c r="G7" s="30" t="s">
        <v>1050</v>
      </c>
      <c r="H7" s="30" t="s">
        <v>1052</v>
      </c>
      <c r="I7" s="30" t="s">
        <v>1053</v>
      </c>
      <c r="J7" s="30" t="s">
        <v>1055</v>
      </c>
      <c r="K7" s="31" t="s">
        <v>64</v>
      </c>
      <c r="L7" s="30" t="s">
        <v>1061</v>
      </c>
      <c r="M7" s="26" t="s">
        <v>43</v>
      </c>
      <c r="N7" s="28"/>
      <c r="O7" s="28"/>
    </row>
    <row r="8" ht="57.75" customHeight="1">
      <c r="A8" s="74" t="s">
        <v>1065</v>
      </c>
      <c r="B8" s="17" t="s">
        <v>97</v>
      </c>
      <c r="C8" s="17" t="s">
        <v>74</v>
      </c>
      <c r="D8" s="19" t="s">
        <v>9</v>
      </c>
      <c r="E8" s="21" t="s">
        <v>1069</v>
      </c>
      <c r="F8" s="21" t="s">
        <v>1071</v>
      </c>
      <c r="G8" s="21" t="s">
        <v>1073</v>
      </c>
      <c r="H8" s="21" t="s">
        <v>1075</v>
      </c>
      <c r="I8" s="21" t="s">
        <v>1077</v>
      </c>
      <c r="J8" s="21" t="s">
        <v>1078</v>
      </c>
      <c r="K8" s="23" t="s">
        <v>64</v>
      </c>
      <c r="L8" s="21" t="s">
        <v>1081</v>
      </c>
      <c r="M8" s="26" t="s">
        <v>43</v>
      </c>
      <c r="N8" s="17"/>
      <c r="O8" s="17"/>
    </row>
    <row r="9" ht="57.75" customHeight="1">
      <c r="A9" s="74" t="s">
        <v>1084</v>
      </c>
      <c r="B9" s="28" t="s">
        <v>97</v>
      </c>
      <c r="C9" s="28" t="s">
        <v>74</v>
      </c>
      <c r="D9" s="19" t="s">
        <v>9</v>
      </c>
      <c r="E9" s="30" t="s">
        <v>1086</v>
      </c>
      <c r="F9" s="30" t="s">
        <v>1088</v>
      </c>
      <c r="G9" s="30" t="s">
        <v>1089</v>
      </c>
      <c r="H9" s="30" t="s">
        <v>1091</v>
      </c>
      <c r="I9" s="30" t="s">
        <v>1092</v>
      </c>
      <c r="J9" s="30" t="s">
        <v>1053</v>
      </c>
      <c r="K9" s="31" t="s">
        <v>117</v>
      </c>
      <c r="L9" s="30" t="s">
        <v>1097</v>
      </c>
      <c r="M9" s="26" t="s">
        <v>43</v>
      </c>
      <c r="N9" s="28"/>
      <c r="O9" s="28"/>
    </row>
    <row r="10" ht="57.75" customHeight="1">
      <c r="A10" s="74" t="s">
        <v>1099</v>
      </c>
      <c r="B10" s="17" t="s">
        <v>97</v>
      </c>
      <c r="C10" s="17" t="s">
        <v>74</v>
      </c>
      <c r="D10" s="19" t="s">
        <v>9</v>
      </c>
      <c r="E10" s="21" t="s">
        <v>1102</v>
      </c>
      <c r="F10" s="21" t="s">
        <v>1103</v>
      </c>
      <c r="G10" s="21" t="s">
        <v>1105</v>
      </c>
      <c r="H10" s="21" t="s">
        <v>1106</v>
      </c>
      <c r="I10" s="21" t="s">
        <v>1107</v>
      </c>
      <c r="J10" s="21" t="s">
        <v>1109</v>
      </c>
      <c r="K10" s="23" t="s">
        <v>95</v>
      </c>
      <c r="L10" s="21" t="s">
        <v>1113</v>
      </c>
      <c r="M10" s="26" t="s">
        <v>43</v>
      </c>
      <c r="N10" s="17"/>
      <c r="O10" s="17"/>
    </row>
    <row r="11" ht="57.75" customHeight="1">
      <c r="A11" s="74" t="s">
        <v>1117</v>
      </c>
      <c r="B11" s="28" t="s">
        <v>97</v>
      </c>
      <c r="C11" s="28" t="s">
        <v>74</v>
      </c>
      <c r="D11" s="19" t="s">
        <v>9</v>
      </c>
      <c r="E11" s="30" t="s">
        <v>1120</v>
      </c>
      <c r="F11" s="30" t="s">
        <v>1122</v>
      </c>
      <c r="G11" s="30" t="s">
        <v>1124</v>
      </c>
      <c r="H11" s="30" t="s">
        <v>1125</v>
      </c>
      <c r="I11" s="30" t="s">
        <v>1127</v>
      </c>
      <c r="J11" s="30" t="s">
        <v>1128</v>
      </c>
      <c r="K11" s="31" t="s">
        <v>40</v>
      </c>
      <c r="L11" s="30" t="s">
        <v>1132</v>
      </c>
      <c r="M11" s="26" t="s">
        <v>43</v>
      </c>
      <c r="N11" s="28"/>
      <c r="O11" s="28"/>
    </row>
    <row r="12" ht="57.75" customHeight="1">
      <c r="A12" s="74" t="s">
        <v>1136</v>
      </c>
      <c r="B12" s="17" t="s">
        <v>97</v>
      </c>
      <c r="C12" s="17" t="s">
        <v>74</v>
      </c>
      <c r="D12" s="19" t="s">
        <v>9</v>
      </c>
      <c r="E12" s="21" t="s">
        <v>1140</v>
      </c>
      <c r="F12" s="21" t="s">
        <v>1049</v>
      </c>
      <c r="G12" s="21" t="s">
        <v>1050</v>
      </c>
      <c r="H12" s="21" t="s">
        <v>1143</v>
      </c>
      <c r="I12" s="21" t="s">
        <v>1144</v>
      </c>
      <c r="J12" s="21" t="s">
        <v>1145</v>
      </c>
      <c r="K12" s="23" t="s">
        <v>40</v>
      </c>
      <c r="L12" s="21" t="s">
        <v>1147</v>
      </c>
      <c r="M12" s="26" t="s">
        <v>43</v>
      </c>
      <c r="N12" s="17"/>
      <c r="O12" s="17"/>
    </row>
    <row r="13" ht="57.75" customHeight="1">
      <c r="A13" s="74" t="s">
        <v>1153</v>
      </c>
      <c r="B13" s="28" t="s">
        <v>97</v>
      </c>
      <c r="C13" s="28" t="s">
        <v>74</v>
      </c>
      <c r="D13" s="19" t="s">
        <v>9</v>
      </c>
      <c r="E13" s="30" t="s">
        <v>1156</v>
      </c>
      <c r="F13" s="30" t="s">
        <v>1158</v>
      </c>
      <c r="G13" s="30" t="s">
        <v>1160</v>
      </c>
      <c r="H13" s="30" t="s">
        <v>1162</v>
      </c>
      <c r="I13" s="30" t="s">
        <v>1163</v>
      </c>
      <c r="J13" s="30" t="s">
        <v>1165</v>
      </c>
      <c r="K13" s="31" t="s">
        <v>95</v>
      </c>
      <c r="L13" s="30" t="s">
        <v>1168</v>
      </c>
      <c r="M13" s="26" t="s">
        <v>43</v>
      </c>
      <c r="N13" s="28"/>
      <c r="O13" s="28"/>
    </row>
    <row r="14" ht="57.75" customHeight="1">
      <c r="A14" s="74" t="s">
        <v>1172</v>
      </c>
      <c r="B14" s="17" t="s">
        <v>97</v>
      </c>
      <c r="C14" s="17" t="s">
        <v>74</v>
      </c>
      <c r="D14" s="19" t="s">
        <v>9</v>
      </c>
      <c r="E14" s="21" t="s">
        <v>1176</v>
      </c>
      <c r="F14" s="21" t="s">
        <v>1103</v>
      </c>
      <c r="G14" s="21" t="s">
        <v>1109</v>
      </c>
      <c r="H14" s="21" t="s">
        <v>1029</v>
      </c>
      <c r="I14" s="21" t="s">
        <v>1180</v>
      </c>
      <c r="J14" s="21" t="s">
        <v>1181</v>
      </c>
      <c r="K14" s="23" t="s">
        <v>95</v>
      </c>
      <c r="L14" s="21" t="s">
        <v>1184</v>
      </c>
      <c r="M14" s="26" t="s">
        <v>43</v>
      </c>
      <c r="N14" s="17"/>
      <c r="O14" s="17"/>
    </row>
    <row r="15" ht="57.75" customHeight="1">
      <c r="A15" s="74" t="s">
        <v>1188</v>
      </c>
      <c r="B15" s="28" t="s">
        <v>97</v>
      </c>
      <c r="C15" s="28" t="s">
        <v>74</v>
      </c>
      <c r="D15" s="19" t="s">
        <v>9</v>
      </c>
      <c r="E15" s="30" t="s">
        <v>1191</v>
      </c>
      <c r="F15" s="30" t="s">
        <v>1192</v>
      </c>
      <c r="G15" s="30" t="s">
        <v>1194</v>
      </c>
      <c r="H15" s="30" t="s">
        <v>1050</v>
      </c>
      <c r="I15" s="30" t="s">
        <v>1049</v>
      </c>
      <c r="J15" s="30" t="s">
        <v>1195</v>
      </c>
      <c r="K15" s="31" t="s">
        <v>64</v>
      </c>
      <c r="L15" s="30" t="s">
        <v>1197</v>
      </c>
      <c r="M15" s="26" t="s">
        <v>43</v>
      </c>
      <c r="N15" s="28"/>
      <c r="O15" s="28"/>
    </row>
    <row r="16" ht="57.75" customHeight="1">
      <c r="A16" s="74" t="s">
        <v>1200</v>
      </c>
      <c r="B16" s="17" t="s">
        <v>97</v>
      </c>
      <c r="C16" s="17" t="s">
        <v>74</v>
      </c>
      <c r="D16" s="19" t="s">
        <v>9</v>
      </c>
      <c r="E16" s="21" t="s">
        <v>1202</v>
      </c>
      <c r="F16" s="21" t="s">
        <v>1204</v>
      </c>
      <c r="G16" s="21" t="s">
        <v>1207</v>
      </c>
      <c r="H16" s="21" t="s">
        <v>1209</v>
      </c>
      <c r="I16" s="21" t="s">
        <v>1210</v>
      </c>
      <c r="J16" s="21" t="s">
        <v>1213</v>
      </c>
      <c r="K16" s="23" t="s">
        <v>40</v>
      </c>
      <c r="L16" s="21" t="s">
        <v>1216</v>
      </c>
      <c r="M16" s="26" t="s">
        <v>43</v>
      </c>
      <c r="N16" s="17"/>
      <c r="O16" s="17"/>
    </row>
    <row r="17" ht="57.75" customHeight="1">
      <c r="A17" s="74" t="s">
        <v>1218</v>
      </c>
      <c r="B17" s="28" t="s">
        <v>97</v>
      </c>
      <c r="C17" s="28" t="s">
        <v>74</v>
      </c>
      <c r="D17" s="19" t="s">
        <v>9</v>
      </c>
      <c r="E17" s="30" t="s">
        <v>1220</v>
      </c>
      <c r="F17" s="30" t="s">
        <v>1221</v>
      </c>
      <c r="G17" s="30" t="s">
        <v>1075</v>
      </c>
      <c r="H17" s="30" t="s">
        <v>1023</v>
      </c>
      <c r="I17" s="30" t="s">
        <v>1025</v>
      </c>
      <c r="J17" s="30" t="s">
        <v>1027</v>
      </c>
      <c r="K17" s="31" t="s">
        <v>95</v>
      </c>
      <c r="L17" s="30" t="s">
        <v>1223</v>
      </c>
      <c r="M17" s="26" t="s">
        <v>43</v>
      </c>
      <c r="N17" s="28"/>
      <c r="O17" s="28"/>
    </row>
    <row r="18" ht="57.75" customHeight="1">
      <c r="A18" s="74" t="s">
        <v>1224</v>
      </c>
      <c r="B18" s="17" t="s">
        <v>97</v>
      </c>
      <c r="C18" s="17" t="s">
        <v>74</v>
      </c>
      <c r="D18" s="19" t="s">
        <v>9</v>
      </c>
      <c r="E18" s="21" t="s">
        <v>1225</v>
      </c>
      <c r="F18" s="21" t="s">
        <v>1226</v>
      </c>
      <c r="G18" s="21" t="s">
        <v>1227</v>
      </c>
      <c r="H18" s="21" t="s">
        <v>1106</v>
      </c>
      <c r="I18" s="21" t="s">
        <v>1105</v>
      </c>
      <c r="J18" s="21" t="s">
        <v>1228</v>
      </c>
      <c r="K18" s="23" t="s">
        <v>64</v>
      </c>
      <c r="L18" s="21" t="s">
        <v>1229</v>
      </c>
      <c r="M18" s="26" t="s">
        <v>43</v>
      </c>
      <c r="N18" s="17"/>
      <c r="O18" s="17"/>
    </row>
    <row r="19" ht="57.75" customHeight="1">
      <c r="A19" s="74" t="s">
        <v>1231</v>
      </c>
      <c r="B19" s="28" t="s">
        <v>97</v>
      </c>
      <c r="C19" s="28" t="s">
        <v>74</v>
      </c>
      <c r="D19" s="19" t="s">
        <v>9</v>
      </c>
      <c r="E19" s="30" t="s">
        <v>1232</v>
      </c>
      <c r="F19" s="30" t="s">
        <v>1192</v>
      </c>
      <c r="G19" s="30" t="s">
        <v>1194</v>
      </c>
      <c r="H19" s="30" t="s">
        <v>1050</v>
      </c>
      <c r="I19" s="30" t="s">
        <v>1049</v>
      </c>
      <c r="J19" s="30" t="s">
        <v>1235</v>
      </c>
      <c r="K19" s="31" t="s">
        <v>40</v>
      </c>
      <c r="L19" s="30" t="s">
        <v>1236</v>
      </c>
      <c r="M19" s="26" t="s">
        <v>43</v>
      </c>
      <c r="N19" s="28"/>
      <c r="O19" s="28"/>
    </row>
    <row r="20" ht="57.75" customHeight="1">
      <c r="A20" s="74" t="s">
        <v>1237</v>
      </c>
      <c r="B20" s="17" t="s">
        <v>97</v>
      </c>
      <c r="C20" s="17" t="s">
        <v>74</v>
      </c>
      <c r="D20" s="19" t="s">
        <v>9</v>
      </c>
      <c r="E20" s="21" t="s">
        <v>1240</v>
      </c>
      <c r="F20" s="21" t="s">
        <v>1103</v>
      </c>
      <c r="G20" s="21" t="s">
        <v>1106</v>
      </c>
      <c r="H20" s="21" t="s">
        <v>1109</v>
      </c>
      <c r="I20" s="21" t="s">
        <v>1242</v>
      </c>
      <c r="J20" s="21" t="s">
        <v>1029</v>
      </c>
      <c r="K20" s="23" t="s">
        <v>117</v>
      </c>
      <c r="L20" s="21" t="s">
        <v>1243</v>
      </c>
      <c r="M20" s="26" t="s">
        <v>43</v>
      </c>
      <c r="N20" s="17"/>
      <c r="O20" s="17"/>
    </row>
    <row r="21" ht="19.5" customHeight="1">
      <c r="A21" s="46" t="s">
        <v>166</v>
      </c>
      <c r="B21" s="3"/>
      <c r="C21" s="3"/>
      <c r="D21" s="3"/>
      <c r="E21" s="3"/>
      <c r="F21" s="3"/>
      <c r="G21" s="3"/>
      <c r="H21" s="3"/>
      <c r="I21" s="3"/>
      <c r="J21" s="3"/>
      <c r="K21" s="3"/>
      <c r="L21" s="3"/>
      <c r="M21" s="3"/>
      <c r="N21" s="3"/>
      <c r="O21" s="4"/>
    </row>
    <row r="22" ht="57.75" customHeight="1">
      <c r="A22" s="74" t="s">
        <v>1255</v>
      </c>
      <c r="B22" s="28" t="s">
        <v>97</v>
      </c>
      <c r="C22" s="28" t="s">
        <v>74</v>
      </c>
      <c r="D22" s="22" t="s">
        <v>11</v>
      </c>
      <c r="E22" s="30" t="s">
        <v>1263</v>
      </c>
      <c r="F22" s="30" t="s">
        <v>1227</v>
      </c>
      <c r="G22" s="30" t="s">
        <v>1226</v>
      </c>
      <c r="H22" s="30" t="s">
        <v>1105</v>
      </c>
      <c r="I22" s="30" t="s">
        <v>1106</v>
      </c>
      <c r="J22" s="30" t="s">
        <v>1265</v>
      </c>
      <c r="K22" s="31" t="s">
        <v>64</v>
      </c>
      <c r="L22" s="30" t="s">
        <v>1267</v>
      </c>
      <c r="M22" s="26" t="s">
        <v>43</v>
      </c>
      <c r="N22" s="28"/>
      <c r="O22" s="28"/>
    </row>
    <row r="23" ht="57.75" customHeight="1">
      <c r="A23" s="74" t="s">
        <v>1269</v>
      </c>
      <c r="B23" s="17" t="s">
        <v>97</v>
      </c>
      <c r="C23" s="17" t="s">
        <v>74</v>
      </c>
      <c r="D23" s="22" t="s">
        <v>11</v>
      </c>
      <c r="E23" s="21" t="s">
        <v>1272</v>
      </c>
      <c r="F23" s="21" t="s">
        <v>1273</v>
      </c>
      <c r="G23" s="21" t="s">
        <v>1274</v>
      </c>
      <c r="H23" s="21" t="s">
        <v>1194</v>
      </c>
      <c r="I23" s="21" t="s">
        <v>1050</v>
      </c>
      <c r="J23" s="21" t="s">
        <v>1275</v>
      </c>
      <c r="K23" s="23" t="s">
        <v>40</v>
      </c>
      <c r="L23" s="21" t="s">
        <v>1277</v>
      </c>
      <c r="M23" s="26" t="s">
        <v>43</v>
      </c>
      <c r="N23" s="17"/>
      <c r="O23" s="17"/>
    </row>
    <row r="24" ht="57.75" customHeight="1">
      <c r="A24" s="74" t="s">
        <v>1279</v>
      </c>
      <c r="B24" s="28" t="s">
        <v>97</v>
      </c>
      <c r="C24" s="28" t="s">
        <v>74</v>
      </c>
      <c r="D24" s="22" t="s">
        <v>11</v>
      </c>
      <c r="E24" s="30" t="s">
        <v>1281</v>
      </c>
      <c r="F24" s="30" t="s">
        <v>1283</v>
      </c>
      <c r="G24" s="30" t="s">
        <v>1285</v>
      </c>
      <c r="H24" s="30" t="s">
        <v>1286</v>
      </c>
      <c r="I24" s="30" t="s">
        <v>1287</v>
      </c>
      <c r="J24" s="30" t="s">
        <v>1289</v>
      </c>
      <c r="K24" s="31" t="s">
        <v>40</v>
      </c>
      <c r="L24" s="30" t="s">
        <v>1290</v>
      </c>
      <c r="M24" s="26" t="s">
        <v>43</v>
      </c>
      <c r="N24" s="28"/>
      <c r="O24" s="28"/>
    </row>
    <row r="25" ht="57.75" customHeight="1">
      <c r="A25" s="74" t="s">
        <v>1293</v>
      </c>
      <c r="B25" s="17" t="s">
        <v>97</v>
      </c>
      <c r="C25" s="17" t="s">
        <v>74</v>
      </c>
      <c r="D25" s="22" t="s">
        <v>11</v>
      </c>
      <c r="E25" s="21" t="s">
        <v>1295</v>
      </c>
      <c r="F25" s="21" t="s">
        <v>1088</v>
      </c>
      <c r="G25" s="21" t="s">
        <v>1092</v>
      </c>
      <c r="H25" s="21" t="s">
        <v>1091</v>
      </c>
      <c r="I25" s="21" t="s">
        <v>1089</v>
      </c>
      <c r="J25" s="21" t="s">
        <v>1298</v>
      </c>
      <c r="K25" s="23" t="s">
        <v>95</v>
      </c>
      <c r="L25" s="21" t="s">
        <v>1300</v>
      </c>
      <c r="M25" s="26" t="s">
        <v>43</v>
      </c>
      <c r="N25" s="17"/>
      <c r="O25" s="17"/>
    </row>
    <row r="26" ht="57.75" customHeight="1">
      <c r="A26" s="74" t="s">
        <v>1303</v>
      </c>
      <c r="B26" s="28" t="s">
        <v>97</v>
      </c>
      <c r="C26" s="28" t="s">
        <v>74</v>
      </c>
      <c r="D26" s="22" t="s">
        <v>11</v>
      </c>
      <c r="E26" s="30" t="s">
        <v>1305</v>
      </c>
      <c r="F26" s="30" t="s">
        <v>1306</v>
      </c>
      <c r="G26" s="30" t="s">
        <v>1308</v>
      </c>
      <c r="H26" s="30" t="s">
        <v>1309</v>
      </c>
      <c r="I26" s="30" t="s">
        <v>1310</v>
      </c>
      <c r="J26" s="30" t="s">
        <v>1311</v>
      </c>
      <c r="K26" s="31" t="s">
        <v>40</v>
      </c>
      <c r="L26" s="30" t="s">
        <v>1313</v>
      </c>
      <c r="M26" s="26" t="s">
        <v>43</v>
      </c>
      <c r="N26" s="28"/>
      <c r="O26" s="28"/>
    </row>
    <row r="27" ht="57.75" customHeight="1">
      <c r="A27" s="74" t="s">
        <v>1316</v>
      </c>
      <c r="B27" s="17" t="s">
        <v>97</v>
      </c>
      <c r="C27" s="17" t="s">
        <v>74</v>
      </c>
      <c r="D27" s="22" t="s">
        <v>11</v>
      </c>
      <c r="E27" s="21" t="s">
        <v>1318</v>
      </c>
      <c r="F27" s="21" t="s">
        <v>1319</v>
      </c>
      <c r="G27" s="21" t="s">
        <v>1322</v>
      </c>
      <c r="H27" s="21" t="s">
        <v>1324</v>
      </c>
      <c r="I27" s="21" t="s">
        <v>1326</v>
      </c>
      <c r="J27" s="21" t="s">
        <v>1328</v>
      </c>
      <c r="K27" s="23" t="s">
        <v>64</v>
      </c>
      <c r="L27" s="21" t="s">
        <v>1331</v>
      </c>
      <c r="M27" s="26" t="s">
        <v>43</v>
      </c>
      <c r="N27" s="17"/>
      <c r="O27" s="17"/>
    </row>
    <row r="28" ht="57.75" customHeight="1">
      <c r="A28" s="74" t="s">
        <v>1333</v>
      </c>
      <c r="B28" s="28" t="s">
        <v>97</v>
      </c>
      <c r="C28" s="28" t="s">
        <v>74</v>
      </c>
      <c r="D28" s="22" t="s">
        <v>11</v>
      </c>
      <c r="E28" s="30" t="s">
        <v>1337</v>
      </c>
      <c r="F28" s="30" t="s">
        <v>1091</v>
      </c>
      <c r="G28" s="30" t="s">
        <v>1338</v>
      </c>
      <c r="H28" s="30" t="s">
        <v>1339</v>
      </c>
      <c r="I28" s="30" t="s">
        <v>1092</v>
      </c>
      <c r="J28" s="30" t="s">
        <v>1342</v>
      </c>
      <c r="K28" s="31" t="s">
        <v>40</v>
      </c>
      <c r="L28" s="30" t="s">
        <v>1343</v>
      </c>
      <c r="M28" s="26" t="s">
        <v>43</v>
      </c>
      <c r="N28" s="28"/>
      <c r="O28" s="28"/>
    </row>
    <row r="29" ht="57.75" customHeight="1">
      <c r="A29" s="74" t="s">
        <v>1344</v>
      </c>
      <c r="B29" s="17" t="s">
        <v>97</v>
      </c>
      <c r="C29" s="17" t="s">
        <v>74</v>
      </c>
      <c r="D29" s="22" t="s">
        <v>11</v>
      </c>
      <c r="E29" s="21" t="s">
        <v>1348</v>
      </c>
      <c r="F29" s="21" t="s">
        <v>1350</v>
      </c>
      <c r="G29" s="21" t="s">
        <v>1351</v>
      </c>
      <c r="H29" s="21" t="s">
        <v>1352</v>
      </c>
      <c r="I29" s="21" t="s">
        <v>1354</v>
      </c>
      <c r="J29" s="21" t="s">
        <v>1355</v>
      </c>
      <c r="K29" s="23" t="s">
        <v>40</v>
      </c>
      <c r="L29" s="21" t="s">
        <v>1357</v>
      </c>
      <c r="M29" s="26" t="s">
        <v>43</v>
      </c>
      <c r="N29" s="17"/>
      <c r="O29" s="17"/>
    </row>
    <row r="30" ht="57.75" customHeight="1">
      <c r="A30" s="74" t="s">
        <v>1358</v>
      </c>
      <c r="B30" s="28" t="s">
        <v>97</v>
      </c>
      <c r="C30" s="28" t="s">
        <v>74</v>
      </c>
      <c r="D30" s="22" t="s">
        <v>11</v>
      </c>
      <c r="E30" s="30" t="s">
        <v>1360</v>
      </c>
      <c r="F30" s="30" t="s">
        <v>1362</v>
      </c>
      <c r="G30" s="30" t="s">
        <v>1364</v>
      </c>
      <c r="H30" s="30" t="s">
        <v>1365</v>
      </c>
      <c r="I30" s="30" t="s">
        <v>1366</v>
      </c>
      <c r="J30" s="30" t="s">
        <v>1369</v>
      </c>
      <c r="K30" s="31" t="s">
        <v>40</v>
      </c>
      <c r="L30" s="30" t="s">
        <v>1370</v>
      </c>
      <c r="M30" s="26" t="s">
        <v>43</v>
      </c>
      <c r="N30" s="28"/>
      <c r="O30" s="28"/>
    </row>
    <row r="31" ht="57.75" customHeight="1">
      <c r="A31" s="74" t="s">
        <v>1373</v>
      </c>
      <c r="B31" s="17" t="s">
        <v>97</v>
      </c>
      <c r="C31" s="17" t="s">
        <v>74</v>
      </c>
      <c r="D31" s="22" t="s">
        <v>11</v>
      </c>
      <c r="E31" s="21" t="s">
        <v>1374</v>
      </c>
      <c r="F31" s="21" t="s">
        <v>1377</v>
      </c>
      <c r="G31" s="21" t="s">
        <v>1378</v>
      </c>
      <c r="H31" s="21" t="s">
        <v>1379</v>
      </c>
      <c r="I31" s="21" t="s">
        <v>1382</v>
      </c>
      <c r="J31" s="21" t="s">
        <v>1383</v>
      </c>
      <c r="K31" s="23" t="s">
        <v>64</v>
      </c>
      <c r="L31" s="21" t="s">
        <v>1385</v>
      </c>
      <c r="M31" s="26" t="s">
        <v>43</v>
      </c>
      <c r="N31" s="17"/>
      <c r="O31" s="17"/>
    </row>
    <row r="32" ht="57.75" customHeight="1">
      <c r="A32" s="74" t="s">
        <v>1388</v>
      </c>
      <c r="B32" s="28" t="s">
        <v>97</v>
      </c>
      <c r="C32" s="28" t="s">
        <v>74</v>
      </c>
      <c r="D32" s="22" t="s">
        <v>11</v>
      </c>
      <c r="E32" s="30" t="s">
        <v>1390</v>
      </c>
      <c r="F32" s="30" t="s">
        <v>1392</v>
      </c>
      <c r="G32" s="30" t="s">
        <v>1393</v>
      </c>
      <c r="H32" s="30" t="s">
        <v>1396</v>
      </c>
      <c r="I32" s="30" t="s">
        <v>1398</v>
      </c>
      <c r="J32" s="30" t="s">
        <v>1399</v>
      </c>
      <c r="K32" s="31" t="s">
        <v>117</v>
      </c>
      <c r="L32" s="30" t="s">
        <v>1401</v>
      </c>
      <c r="M32" s="26" t="s">
        <v>43</v>
      </c>
      <c r="N32" s="28"/>
      <c r="O32" s="28"/>
    </row>
    <row r="33" ht="57.75" customHeight="1">
      <c r="A33" s="74" t="s">
        <v>1403</v>
      </c>
      <c r="B33" s="17" t="s">
        <v>97</v>
      </c>
      <c r="C33" s="17" t="s">
        <v>74</v>
      </c>
      <c r="D33" s="22" t="s">
        <v>11</v>
      </c>
      <c r="E33" s="21" t="s">
        <v>1405</v>
      </c>
      <c r="F33" s="21" t="s">
        <v>1407</v>
      </c>
      <c r="G33" s="21" t="s">
        <v>1409</v>
      </c>
      <c r="H33" s="21" t="s">
        <v>1410</v>
      </c>
      <c r="I33" s="21" t="s">
        <v>1412</v>
      </c>
      <c r="J33" s="21" t="s">
        <v>1413</v>
      </c>
      <c r="K33" s="23" t="s">
        <v>64</v>
      </c>
      <c r="L33" s="21" t="s">
        <v>1417</v>
      </c>
      <c r="M33" s="26" t="s">
        <v>43</v>
      </c>
      <c r="N33" s="17"/>
      <c r="O33" s="17"/>
    </row>
    <row r="34" ht="57.75" customHeight="1">
      <c r="A34" s="74" t="s">
        <v>1418</v>
      </c>
      <c r="B34" s="28" t="s">
        <v>97</v>
      </c>
      <c r="C34" s="28" t="s">
        <v>74</v>
      </c>
      <c r="D34" s="22" t="s">
        <v>11</v>
      </c>
      <c r="E34" s="30" t="s">
        <v>1421</v>
      </c>
      <c r="F34" s="30" t="s">
        <v>1422</v>
      </c>
      <c r="G34" s="30" t="s">
        <v>1423</v>
      </c>
      <c r="H34" s="30" t="s">
        <v>1425</v>
      </c>
      <c r="I34" s="30" t="s">
        <v>1426</v>
      </c>
      <c r="J34" s="30" t="s">
        <v>1427</v>
      </c>
      <c r="K34" s="31" t="s">
        <v>40</v>
      </c>
      <c r="L34" s="30" t="s">
        <v>1429</v>
      </c>
      <c r="M34" s="26" t="s">
        <v>43</v>
      </c>
      <c r="N34" s="28"/>
      <c r="O34" s="28"/>
    </row>
    <row r="35" ht="57.75" customHeight="1">
      <c r="A35" s="74" t="s">
        <v>1430</v>
      </c>
      <c r="B35" s="17" t="s">
        <v>97</v>
      </c>
      <c r="C35" s="17" t="s">
        <v>74</v>
      </c>
      <c r="D35" s="22" t="s">
        <v>11</v>
      </c>
      <c r="E35" s="21" t="s">
        <v>1431</v>
      </c>
      <c r="F35" s="21" t="s">
        <v>1432</v>
      </c>
      <c r="G35" s="21" t="s">
        <v>1434</v>
      </c>
      <c r="H35" s="21" t="s">
        <v>1435</v>
      </c>
      <c r="I35" s="21" t="s">
        <v>1437</v>
      </c>
      <c r="J35" s="21" t="s">
        <v>1438</v>
      </c>
      <c r="K35" s="23" t="s">
        <v>40</v>
      </c>
      <c r="L35" s="21" t="s">
        <v>1439</v>
      </c>
      <c r="M35" s="26" t="s">
        <v>43</v>
      </c>
      <c r="N35" s="17"/>
      <c r="O35" s="17"/>
    </row>
    <row r="36" ht="57.75" customHeight="1">
      <c r="A36" s="74" t="s">
        <v>1441</v>
      </c>
      <c r="B36" s="28" t="s">
        <v>97</v>
      </c>
      <c r="C36" s="28" t="s">
        <v>74</v>
      </c>
      <c r="D36" s="22" t="s">
        <v>11</v>
      </c>
      <c r="E36" s="30" t="s">
        <v>1442</v>
      </c>
      <c r="F36" s="30" t="s">
        <v>1077</v>
      </c>
      <c r="G36" s="30" t="s">
        <v>1443</v>
      </c>
      <c r="H36" s="30" t="s">
        <v>1444</v>
      </c>
      <c r="I36" s="30" t="s">
        <v>1383</v>
      </c>
      <c r="J36" s="30" t="s">
        <v>1446</v>
      </c>
      <c r="K36" s="31" t="s">
        <v>64</v>
      </c>
      <c r="L36" s="30" t="s">
        <v>1447</v>
      </c>
      <c r="M36" s="26" t="s">
        <v>43</v>
      </c>
      <c r="N36" s="28"/>
      <c r="O36" s="28"/>
    </row>
    <row r="37" ht="19.5" customHeight="1">
      <c r="A37" s="63" t="s">
        <v>279</v>
      </c>
      <c r="B37" s="3"/>
      <c r="C37" s="3"/>
      <c r="D37" s="3"/>
      <c r="E37" s="3"/>
      <c r="F37" s="3"/>
      <c r="G37" s="3"/>
      <c r="H37" s="3"/>
      <c r="I37" s="3"/>
      <c r="J37" s="3"/>
      <c r="K37" s="3"/>
      <c r="L37" s="3"/>
      <c r="M37" s="3"/>
      <c r="N37" s="3"/>
      <c r="O37" s="4"/>
    </row>
    <row r="38" ht="57.75" customHeight="1">
      <c r="A38" s="74" t="s">
        <v>1449</v>
      </c>
      <c r="B38" s="17" t="s">
        <v>97</v>
      </c>
      <c r="C38" s="17" t="s">
        <v>74</v>
      </c>
      <c r="D38" s="24" t="s">
        <v>12</v>
      </c>
      <c r="E38" s="21" t="s">
        <v>1451</v>
      </c>
      <c r="F38" s="21" t="s">
        <v>1452</v>
      </c>
      <c r="G38" s="21" t="s">
        <v>1453</v>
      </c>
      <c r="H38" s="21" t="s">
        <v>1454</v>
      </c>
      <c r="I38" s="21" t="s">
        <v>1455</v>
      </c>
      <c r="J38" s="21" t="s">
        <v>1456</v>
      </c>
      <c r="K38" s="23" t="s">
        <v>95</v>
      </c>
      <c r="L38" s="21" t="s">
        <v>1457</v>
      </c>
      <c r="M38" s="26" t="s">
        <v>43</v>
      </c>
      <c r="N38" s="17"/>
      <c r="O38" s="17"/>
    </row>
    <row r="39" ht="57.75" customHeight="1">
      <c r="A39" s="74" t="s">
        <v>1459</v>
      </c>
      <c r="B39" s="28" t="s">
        <v>97</v>
      </c>
      <c r="C39" s="28" t="s">
        <v>74</v>
      </c>
      <c r="D39" s="24" t="s">
        <v>12</v>
      </c>
      <c r="E39" s="30" t="s">
        <v>1460</v>
      </c>
      <c r="F39" s="30">
        <v>6.0</v>
      </c>
      <c r="G39" s="30">
        <v>8.0</v>
      </c>
      <c r="H39" s="30">
        <v>10.0</v>
      </c>
      <c r="I39" s="30">
        <v>12.0</v>
      </c>
      <c r="J39" s="30">
        <v>14.0</v>
      </c>
      <c r="K39" s="31" t="s">
        <v>64</v>
      </c>
      <c r="L39" s="30" t="s">
        <v>1462</v>
      </c>
      <c r="M39" s="26" t="s">
        <v>43</v>
      </c>
      <c r="N39" s="28"/>
      <c r="O39" s="28"/>
    </row>
    <row r="40" ht="57.75" customHeight="1">
      <c r="A40" s="74" t="s">
        <v>1463</v>
      </c>
      <c r="B40" s="17" t="s">
        <v>97</v>
      </c>
      <c r="C40" s="17" t="s">
        <v>74</v>
      </c>
      <c r="D40" s="24" t="s">
        <v>12</v>
      </c>
      <c r="E40" s="21" t="s">
        <v>1465</v>
      </c>
      <c r="F40" s="21">
        <v>6.0</v>
      </c>
      <c r="G40" s="21">
        <v>7.0</v>
      </c>
      <c r="H40" s="21">
        <v>8.0</v>
      </c>
      <c r="I40" s="21">
        <v>9.0</v>
      </c>
      <c r="J40" s="21">
        <v>10.0</v>
      </c>
      <c r="K40" s="23" t="s">
        <v>95</v>
      </c>
      <c r="L40" s="21" t="s">
        <v>1466</v>
      </c>
      <c r="M40" s="26" t="s">
        <v>43</v>
      </c>
      <c r="N40" s="17"/>
      <c r="O40" s="17"/>
    </row>
    <row r="41" ht="57.75" customHeight="1">
      <c r="A41" s="74" t="s">
        <v>1468</v>
      </c>
      <c r="B41" s="28" t="s">
        <v>97</v>
      </c>
      <c r="C41" s="28" t="s">
        <v>74</v>
      </c>
      <c r="D41" s="24" t="s">
        <v>12</v>
      </c>
      <c r="E41" s="30" t="s">
        <v>1469</v>
      </c>
      <c r="F41" s="30">
        <v>4.0</v>
      </c>
      <c r="G41" s="30">
        <v>5.0</v>
      </c>
      <c r="H41" s="30">
        <v>6.0</v>
      </c>
      <c r="I41" s="30">
        <v>7.0</v>
      </c>
      <c r="J41" s="30">
        <v>8.0</v>
      </c>
      <c r="K41" s="31" t="s">
        <v>64</v>
      </c>
      <c r="L41" s="30" t="s">
        <v>1471</v>
      </c>
      <c r="M41" s="26" t="s">
        <v>43</v>
      </c>
      <c r="N41" s="28"/>
      <c r="O41" s="28"/>
    </row>
    <row r="42" ht="57.75" customHeight="1">
      <c r="A42" s="74" t="s">
        <v>1473</v>
      </c>
      <c r="B42" s="17" t="s">
        <v>97</v>
      </c>
      <c r="C42" s="17" t="s">
        <v>74</v>
      </c>
      <c r="D42" s="24" t="s">
        <v>12</v>
      </c>
      <c r="E42" s="21" t="s">
        <v>1476</v>
      </c>
      <c r="F42" s="21" t="s">
        <v>858</v>
      </c>
      <c r="G42" s="21" t="s">
        <v>859</v>
      </c>
      <c r="H42" s="21" t="s">
        <v>299</v>
      </c>
      <c r="I42" s="21" t="s">
        <v>301</v>
      </c>
      <c r="J42" s="21" t="s">
        <v>861</v>
      </c>
      <c r="K42" s="23" t="s">
        <v>64</v>
      </c>
      <c r="L42" s="21" t="s">
        <v>1482</v>
      </c>
      <c r="M42" s="26" t="s">
        <v>43</v>
      </c>
      <c r="N42" s="17"/>
      <c r="O42" s="17"/>
    </row>
    <row r="43" ht="57.75" customHeight="1">
      <c r="A43" s="74" t="s">
        <v>1484</v>
      </c>
      <c r="B43" s="28" t="s">
        <v>97</v>
      </c>
      <c r="C43" s="28" t="s">
        <v>74</v>
      </c>
      <c r="D43" s="24" t="s">
        <v>12</v>
      </c>
      <c r="E43" s="30" t="s">
        <v>1486</v>
      </c>
      <c r="F43" s="30" t="s">
        <v>1487</v>
      </c>
      <c r="G43" s="30" t="s">
        <v>1453</v>
      </c>
      <c r="H43" s="30" t="s">
        <v>1488</v>
      </c>
      <c r="I43" s="30" t="s">
        <v>1455</v>
      </c>
      <c r="J43" s="30" t="s">
        <v>1456</v>
      </c>
      <c r="K43" s="31" t="s">
        <v>95</v>
      </c>
      <c r="L43" s="30" t="s">
        <v>1499</v>
      </c>
      <c r="M43" s="26" t="s">
        <v>43</v>
      </c>
      <c r="N43" s="28"/>
      <c r="O43" s="28"/>
    </row>
    <row r="44" ht="57.75" customHeight="1">
      <c r="A44" s="74" t="s">
        <v>1504</v>
      </c>
      <c r="B44" s="17" t="s">
        <v>97</v>
      </c>
      <c r="C44" s="17" t="s">
        <v>74</v>
      </c>
      <c r="D44" s="24" t="s">
        <v>12</v>
      </c>
      <c r="E44" s="21" t="s">
        <v>1508</v>
      </c>
      <c r="F44" s="21">
        <v>85.0</v>
      </c>
      <c r="G44" s="21">
        <v>88.0</v>
      </c>
      <c r="H44" s="21">
        <v>90.0</v>
      </c>
      <c r="I44" s="21">
        <v>92.0</v>
      </c>
      <c r="J44" s="21">
        <v>95.0</v>
      </c>
      <c r="K44" s="23" t="s">
        <v>64</v>
      </c>
      <c r="L44" s="21" t="s">
        <v>1510</v>
      </c>
      <c r="M44" s="26" t="s">
        <v>43</v>
      </c>
      <c r="N44" s="17"/>
      <c r="O44" s="17"/>
    </row>
    <row r="45" ht="57.75" customHeight="1">
      <c r="A45" s="74" t="s">
        <v>1512</v>
      </c>
      <c r="B45" s="28" t="s">
        <v>97</v>
      </c>
      <c r="C45" s="28" t="s">
        <v>74</v>
      </c>
      <c r="D45" s="24" t="s">
        <v>12</v>
      </c>
      <c r="E45" s="30" t="s">
        <v>1515</v>
      </c>
      <c r="F45" s="30" t="s">
        <v>1516</v>
      </c>
      <c r="G45" s="30" t="s">
        <v>1518</v>
      </c>
      <c r="H45" s="30" t="s">
        <v>1519</v>
      </c>
      <c r="I45" s="30" t="s">
        <v>1520</v>
      </c>
      <c r="J45" s="30" t="s">
        <v>1522</v>
      </c>
      <c r="K45" s="31" t="s">
        <v>64</v>
      </c>
      <c r="L45" s="30" t="s">
        <v>1524</v>
      </c>
      <c r="M45" s="26" t="s">
        <v>43</v>
      </c>
      <c r="N45" s="28"/>
      <c r="O45" s="28"/>
    </row>
    <row r="46" ht="57.75" customHeight="1">
      <c r="A46" s="74" t="s">
        <v>1531</v>
      </c>
      <c r="B46" s="17" t="s">
        <v>97</v>
      </c>
      <c r="C46" s="17" t="s">
        <v>74</v>
      </c>
      <c r="D46" s="24" t="s">
        <v>12</v>
      </c>
      <c r="E46" s="21" t="s">
        <v>1534</v>
      </c>
      <c r="F46" s="21">
        <v>12.0</v>
      </c>
      <c r="G46" s="21">
        <v>15.0</v>
      </c>
      <c r="H46" s="21">
        <v>18.0</v>
      </c>
      <c r="I46" s="21">
        <v>20.0</v>
      </c>
      <c r="J46" s="21">
        <v>24.0</v>
      </c>
      <c r="K46" s="23" t="s">
        <v>95</v>
      </c>
      <c r="L46" s="21" t="s">
        <v>1543</v>
      </c>
      <c r="M46" s="26" t="s">
        <v>43</v>
      </c>
      <c r="N46" s="17"/>
      <c r="O46" s="17"/>
    </row>
    <row r="47" ht="57.75" customHeight="1">
      <c r="A47" s="74" t="s">
        <v>1551</v>
      </c>
      <c r="B47" s="28" t="s">
        <v>97</v>
      </c>
      <c r="C47" s="28" t="s">
        <v>74</v>
      </c>
      <c r="D47" s="24" t="s">
        <v>12</v>
      </c>
      <c r="E47" s="30" t="s">
        <v>1557</v>
      </c>
      <c r="F47" s="30" t="s">
        <v>858</v>
      </c>
      <c r="G47" s="30" t="s">
        <v>859</v>
      </c>
      <c r="H47" s="30" t="s">
        <v>299</v>
      </c>
      <c r="I47" s="30" t="s">
        <v>301</v>
      </c>
      <c r="J47" s="30" t="s">
        <v>861</v>
      </c>
      <c r="K47" s="31" t="s">
        <v>64</v>
      </c>
      <c r="L47" s="30" t="s">
        <v>1563</v>
      </c>
      <c r="M47" s="26" t="s">
        <v>43</v>
      </c>
      <c r="N47" s="28"/>
      <c r="O47" s="28"/>
    </row>
    <row r="48" ht="57.75" customHeight="1">
      <c r="A48" s="74" t="s">
        <v>1564</v>
      </c>
      <c r="B48" s="17" t="s">
        <v>97</v>
      </c>
      <c r="C48" s="17" t="s">
        <v>74</v>
      </c>
      <c r="D48" s="24" t="s">
        <v>12</v>
      </c>
      <c r="E48" s="21" t="s">
        <v>1565</v>
      </c>
      <c r="F48" s="21" t="s">
        <v>1452</v>
      </c>
      <c r="G48" s="21" t="s">
        <v>1453</v>
      </c>
      <c r="H48" s="21" t="s">
        <v>1454</v>
      </c>
      <c r="I48" s="21" t="s">
        <v>1455</v>
      </c>
      <c r="J48" s="21" t="s">
        <v>1456</v>
      </c>
      <c r="K48" s="23" t="s">
        <v>95</v>
      </c>
      <c r="L48" s="21" t="s">
        <v>1569</v>
      </c>
      <c r="M48" s="26" t="s">
        <v>43</v>
      </c>
      <c r="N48" s="17"/>
      <c r="O48" s="17"/>
    </row>
    <row r="49" ht="57.75" customHeight="1">
      <c r="A49" s="74" t="s">
        <v>1572</v>
      </c>
      <c r="B49" s="28" t="s">
        <v>97</v>
      </c>
      <c r="C49" s="28" t="s">
        <v>74</v>
      </c>
      <c r="D49" s="24" t="s">
        <v>12</v>
      </c>
      <c r="E49" s="30" t="s">
        <v>1574</v>
      </c>
      <c r="F49" s="30">
        <v>6.0</v>
      </c>
      <c r="G49" s="30">
        <v>7.0</v>
      </c>
      <c r="H49" s="30">
        <v>8.0</v>
      </c>
      <c r="I49" s="30">
        <v>10.0</v>
      </c>
      <c r="J49" s="30">
        <v>12.0</v>
      </c>
      <c r="K49" s="31" t="s">
        <v>117</v>
      </c>
      <c r="L49" s="30" t="s">
        <v>1576</v>
      </c>
      <c r="M49" s="26" t="s">
        <v>43</v>
      </c>
      <c r="N49" s="28"/>
      <c r="O49" s="28"/>
    </row>
    <row r="50" ht="57.75" customHeight="1">
      <c r="A50" s="74" t="s">
        <v>1577</v>
      </c>
      <c r="B50" s="17" t="s">
        <v>97</v>
      </c>
      <c r="C50" s="17" t="s">
        <v>74</v>
      </c>
      <c r="D50" s="24" t="s">
        <v>12</v>
      </c>
      <c r="E50" s="21" t="s">
        <v>1578</v>
      </c>
      <c r="F50" s="21">
        <v>11.0</v>
      </c>
      <c r="G50" s="21">
        <v>13.0</v>
      </c>
      <c r="H50" s="21">
        <v>15.0</v>
      </c>
      <c r="I50" s="21">
        <v>17.0</v>
      </c>
      <c r="J50" s="21">
        <v>19.0</v>
      </c>
      <c r="K50" s="23" t="s">
        <v>64</v>
      </c>
      <c r="L50" s="21" t="s">
        <v>1579</v>
      </c>
      <c r="M50" s="26" t="s">
        <v>43</v>
      </c>
      <c r="N50" s="17"/>
      <c r="O50" s="17"/>
    </row>
    <row r="51" ht="57.75" customHeight="1">
      <c r="A51" s="74" t="s">
        <v>1580</v>
      </c>
      <c r="B51" s="28" t="s">
        <v>97</v>
      </c>
      <c r="C51" s="28" t="s">
        <v>74</v>
      </c>
      <c r="D51" s="24" t="s">
        <v>12</v>
      </c>
      <c r="E51" s="30" t="s">
        <v>1582</v>
      </c>
      <c r="F51" s="30">
        <v>15.0</v>
      </c>
      <c r="G51" s="30">
        <v>17.0</v>
      </c>
      <c r="H51" s="30">
        <v>19.0</v>
      </c>
      <c r="I51" s="30">
        <v>21.0</v>
      </c>
      <c r="J51" s="30">
        <v>23.0</v>
      </c>
      <c r="K51" s="31" t="s">
        <v>95</v>
      </c>
      <c r="L51" s="30" t="s">
        <v>1583</v>
      </c>
      <c r="M51" s="26" t="s">
        <v>43</v>
      </c>
      <c r="N51" s="28"/>
      <c r="O51" s="28"/>
    </row>
    <row r="52" ht="57.75" customHeight="1">
      <c r="A52" s="74" t="s">
        <v>1585</v>
      </c>
      <c r="B52" s="17" t="s">
        <v>97</v>
      </c>
      <c r="C52" s="17" t="s">
        <v>74</v>
      </c>
      <c r="D52" s="24" t="s">
        <v>12</v>
      </c>
      <c r="E52" s="21" t="s">
        <v>1587</v>
      </c>
      <c r="F52" s="21" t="s">
        <v>858</v>
      </c>
      <c r="G52" s="21" t="s">
        <v>859</v>
      </c>
      <c r="H52" s="21" t="s">
        <v>299</v>
      </c>
      <c r="I52" s="21" t="s">
        <v>301</v>
      </c>
      <c r="J52" s="21" t="s">
        <v>861</v>
      </c>
      <c r="K52" s="23" t="s">
        <v>40</v>
      </c>
      <c r="L52" s="21" t="s">
        <v>1589</v>
      </c>
      <c r="M52" s="26" t="s">
        <v>43</v>
      </c>
      <c r="N52" s="17"/>
      <c r="O52" s="17"/>
    </row>
    <row r="53" ht="25.5" customHeight="1">
      <c r="A53" s="55" t="s">
        <v>1591</v>
      </c>
      <c r="B53" s="57"/>
      <c r="C53" s="57"/>
      <c r="D53" s="57"/>
      <c r="E53" s="57"/>
      <c r="F53" s="57"/>
      <c r="G53" s="57"/>
      <c r="H53" s="57"/>
      <c r="I53" s="57"/>
      <c r="J53" s="58"/>
      <c r="M53" s="7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72" t="s">
        <v>1384</v>
      </c>
      <c r="B1" s="3"/>
      <c r="C1" s="3"/>
      <c r="D1" s="3"/>
      <c r="E1" s="3"/>
      <c r="F1" s="3"/>
      <c r="G1" s="3"/>
      <c r="H1" s="3"/>
      <c r="I1" s="3"/>
      <c r="J1" s="3"/>
      <c r="K1" s="3"/>
      <c r="L1" s="3"/>
      <c r="M1" s="3"/>
      <c r="N1" s="3"/>
      <c r="O1" s="4"/>
    </row>
    <row r="2" ht="30.0" customHeight="1">
      <c r="A2" s="73" t="s">
        <v>1414</v>
      </c>
      <c r="B2" s="3"/>
      <c r="C2" s="3"/>
      <c r="D2" s="3"/>
      <c r="E2" s="3"/>
      <c r="F2" s="3"/>
      <c r="G2" s="3"/>
      <c r="H2" s="3"/>
      <c r="I2" s="3"/>
      <c r="J2" s="3"/>
      <c r="K2" s="3"/>
      <c r="L2" s="3"/>
      <c r="M2" s="3"/>
      <c r="N2" s="3"/>
      <c r="O2" s="4"/>
    </row>
    <row r="3" ht="19.5" customHeight="1">
      <c r="A3" s="7" t="s">
        <v>6</v>
      </c>
      <c r="B3" s="3"/>
      <c r="C3" s="3"/>
      <c r="D3" s="3"/>
      <c r="E3" s="3"/>
      <c r="F3" s="3"/>
      <c r="G3" s="3"/>
      <c r="H3" s="3"/>
      <c r="I3" s="3"/>
      <c r="J3" s="3"/>
      <c r="K3" s="3"/>
      <c r="L3" s="3"/>
      <c r="M3" s="3"/>
      <c r="N3" s="3"/>
      <c r="O3" s="4"/>
    </row>
    <row r="4" ht="24.75" customHeight="1">
      <c r="A4" s="9" t="s">
        <v>8</v>
      </c>
      <c r="B4" s="9" t="s">
        <v>7</v>
      </c>
      <c r="C4" s="9" t="s">
        <v>13</v>
      </c>
      <c r="D4" s="9" t="s">
        <v>15</v>
      </c>
      <c r="E4" s="9" t="s">
        <v>17</v>
      </c>
      <c r="F4" s="9" t="s">
        <v>18</v>
      </c>
      <c r="G4" s="9" t="s">
        <v>20</v>
      </c>
      <c r="H4" s="9" t="s">
        <v>21</v>
      </c>
      <c r="I4" s="9" t="s">
        <v>22</v>
      </c>
      <c r="J4" s="9" t="s">
        <v>23</v>
      </c>
      <c r="K4" s="9" t="s">
        <v>25</v>
      </c>
      <c r="L4" s="9" t="s">
        <v>26</v>
      </c>
      <c r="M4" s="9" t="s">
        <v>19</v>
      </c>
      <c r="N4" s="9" t="s">
        <v>27</v>
      </c>
      <c r="O4" s="9" t="s">
        <v>28</v>
      </c>
    </row>
    <row r="5" ht="19.5" customHeight="1">
      <c r="A5" s="13" t="s">
        <v>29</v>
      </c>
      <c r="B5" s="3"/>
      <c r="C5" s="3"/>
      <c r="D5" s="3"/>
      <c r="E5" s="3"/>
      <c r="F5" s="3"/>
      <c r="G5" s="3"/>
      <c r="H5" s="3"/>
      <c r="I5" s="3"/>
      <c r="J5" s="3"/>
      <c r="K5" s="3"/>
      <c r="L5" s="3"/>
      <c r="M5" s="3"/>
      <c r="N5" s="3"/>
      <c r="O5" s="4"/>
    </row>
    <row r="6" ht="57.75" customHeight="1">
      <c r="A6" s="74" t="s">
        <v>1450</v>
      </c>
      <c r="B6" s="17" t="s">
        <v>102</v>
      </c>
      <c r="C6" s="17" t="s">
        <v>74</v>
      </c>
      <c r="D6" s="19" t="s">
        <v>9</v>
      </c>
      <c r="E6" s="21" t="s">
        <v>1458</v>
      </c>
      <c r="F6" s="21">
        <v>4.0</v>
      </c>
      <c r="G6" s="21">
        <v>8.0</v>
      </c>
      <c r="H6" s="21">
        <v>12.0</v>
      </c>
      <c r="I6" s="21">
        <v>16.0</v>
      </c>
      <c r="J6" s="21">
        <v>36.0</v>
      </c>
      <c r="K6" s="23" t="s">
        <v>95</v>
      </c>
      <c r="L6" s="21" t="s">
        <v>1461</v>
      </c>
      <c r="M6" s="26" t="s">
        <v>43</v>
      </c>
      <c r="N6" s="17"/>
      <c r="O6" s="17"/>
    </row>
    <row r="7" ht="57.75" customHeight="1">
      <c r="A7" s="74" t="s">
        <v>1464</v>
      </c>
      <c r="B7" s="28" t="s">
        <v>102</v>
      </c>
      <c r="C7" s="28" t="s">
        <v>74</v>
      </c>
      <c r="D7" s="19" t="s">
        <v>9</v>
      </c>
      <c r="E7" s="30" t="s">
        <v>1467</v>
      </c>
      <c r="F7" s="30">
        <v>5.0</v>
      </c>
      <c r="G7" s="30">
        <v>7.0</v>
      </c>
      <c r="H7" s="30">
        <v>9.0</v>
      </c>
      <c r="I7" s="30">
        <v>11.0</v>
      </c>
      <c r="J7" s="30">
        <v>13.0</v>
      </c>
      <c r="K7" s="31" t="s">
        <v>64</v>
      </c>
      <c r="L7" s="30" t="s">
        <v>1470</v>
      </c>
      <c r="M7" s="26" t="s">
        <v>43</v>
      </c>
      <c r="N7" s="28"/>
      <c r="O7" s="28"/>
    </row>
    <row r="8" ht="57.75" customHeight="1">
      <c r="A8" s="74" t="s">
        <v>1472</v>
      </c>
      <c r="B8" s="17" t="s">
        <v>102</v>
      </c>
      <c r="C8" s="17" t="s">
        <v>74</v>
      </c>
      <c r="D8" s="19" t="s">
        <v>9</v>
      </c>
      <c r="E8" s="21" t="s">
        <v>1474</v>
      </c>
      <c r="F8" s="21" t="s">
        <v>1475</v>
      </c>
      <c r="G8" s="21" t="s">
        <v>1477</v>
      </c>
      <c r="H8" s="21" t="s">
        <v>1478</v>
      </c>
      <c r="I8" s="21" t="s">
        <v>1479</v>
      </c>
      <c r="J8" s="21" t="s">
        <v>1480</v>
      </c>
      <c r="K8" s="23" t="s">
        <v>95</v>
      </c>
      <c r="L8" s="21" t="s">
        <v>1481</v>
      </c>
      <c r="M8" s="26" t="s">
        <v>43</v>
      </c>
      <c r="N8" s="17"/>
      <c r="O8" s="17"/>
    </row>
    <row r="9" ht="57.75" customHeight="1">
      <c r="A9" s="74" t="s">
        <v>1483</v>
      </c>
      <c r="B9" s="28" t="s">
        <v>102</v>
      </c>
      <c r="C9" s="28" t="s">
        <v>74</v>
      </c>
      <c r="D9" s="19" t="s">
        <v>9</v>
      </c>
      <c r="E9" s="30" t="s">
        <v>1485</v>
      </c>
      <c r="F9" s="30">
        <v>9.0</v>
      </c>
      <c r="G9" s="30">
        <v>11.0</v>
      </c>
      <c r="H9" s="30">
        <v>13.0</v>
      </c>
      <c r="I9" s="30">
        <v>15.0</v>
      </c>
      <c r="J9" s="30">
        <v>17.0</v>
      </c>
      <c r="K9" s="31" t="s">
        <v>95</v>
      </c>
      <c r="L9" s="30" t="s">
        <v>1489</v>
      </c>
      <c r="M9" s="26" t="s">
        <v>43</v>
      </c>
      <c r="N9" s="28"/>
      <c r="O9" s="28"/>
    </row>
    <row r="10" ht="57.75" customHeight="1">
      <c r="A10" s="74" t="s">
        <v>1490</v>
      </c>
      <c r="B10" s="17" t="s">
        <v>102</v>
      </c>
      <c r="C10" s="17" t="s">
        <v>74</v>
      </c>
      <c r="D10" s="19" t="s">
        <v>9</v>
      </c>
      <c r="E10" s="21" t="s">
        <v>1491</v>
      </c>
      <c r="F10" s="21" t="s">
        <v>1492</v>
      </c>
      <c r="G10" s="21" t="s">
        <v>1493</v>
      </c>
      <c r="H10" s="21" t="s">
        <v>1494</v>
      </c>
      <c r="I10" s="21" t="s">
        <v>1495</v>
      </c>
      <c r="J10" s="21" t="s">
        <v>1496</v>
      </c>
      <c r="K10" s="23" t="s">
        <v>40</v>
      </c>
      <c r="L10" s="21" t="s">
        <v>1497</v>
      </c>
      <c r="M10" s="26" t="s">
        <v>43</v>
      </c>
      <c r="N10" s="17"/>
      <c r="O10" s="17"/>
    </row>
    <row r="11" ht="57.75" customHeight="1">
      <c r="A11" s="74" t="s">
        <v>1498</v>
      </c>
      <c r="B11" s="28" t="s">
        <v>102</v>
      </c>
      <c r="C11" s="28" t="s">
        <v>74</v>
      </c>
      <c r="D11" s="19" t="s">
        <v>9</v>
      </c>
      <c r="E11" s="30" t="s">
        <v>1500</v>
      </c>
      <c r="F11" s="30" t="s">
        <v>1501</v>
      </c>
      <c r="G11" s="30" t="s">
        <v>1502</v>
      </c>
      <c r="H11" s="30" t="s">
        <v>1503</v>
      </c>
      <c r="I11" s="30" t="s">
        <v>1505</v>
      </c>
      <c r="J11" s="30" t="s">
        <v>1506</v>
      </c>
      <c r="K11" s="31" t="s">
        <v>40</v>
      </c>
      <c r="L11" s="30" t="s">
        <v>1507</v>
      </c>
      <c r="M11" s="26" t="s">
        <v>43</v>
      </c>
      <c r="N11" s="28"/>
      <c r="O11" s="28"/>
    </row>
    <row r="12" ht="57.75" customHeight="1">
      <c r="A12" s="74" t="s">
        <v>1509</v>
      </c>
      <c r="B12" s="17" t="s">
        <v>102</v>
      </c>
      <c r="C12" s="17" t="s">
        <v>74</v>
      </c>
      <c r="D12" s="19" t="s">
        <v>9</v>
      </c>
      <c r="E12" s="21" t="s">
        <v>1511</v>
      </c>
      <c r="F12" s="21">
        <v>6.0</v>
      </c>
      <c r="G12" s="21">
        <v>8.0</v>
      </c>
      <c r="H12" s="21">
        <v>10.0</v>
      </c>
      <c r="I12" s="21">
        <v>12.0</v>
      </c>
      <c r="J12" s="21">
        <v>14.0</v>
      </c>
      <c r="K12" s="23" t="s">
        <v>64</v>
      </c>
      <c r="L12" s="21" t="s">
        <v>1513</v>
      </c>
      <c r="M12" s="26" t="s">
        <v>43</v>
      </c>
      <c r="N12" s="17"/>
      <c r="O12" s="17"/>
    </row>
    <row r="13" ht="57.75" customHeight="1">
      <c r="A13" s="74" t="s">
        <v>1514</v>
      </c>
      <c r="B13" s="28" t="s">
        <v>102</v>
      </c>
      <c r="C13" s="28" t="s">
        <v>74</v>
      </c>
      <c r="D13" s="19" t="s">
        <v>9</v>
      </c>
      <c r="E13" s="30" t="s">
        <v>1517</v>
      </c>
      <c r="F13" s="30">
        <v>2.0</v>
      </c>
      <c r="G13" s="30">
        <v>3.0</v>
      </c>
      <c r="H13" s="30">
        <v>4.0</v>
      </c>
      <c r="I13" s="30">
        <v>5.0</v>
      </c>
      <c r="J13" s="30">
        <v>6.0</v>
      </c>
      <c r="K13" s="31" t="s">
        <v>95</v>
      </c>
      <c r="L13" s="30" t="s">
        <v>1521</v>
      </c>
      <c r="M13" s="26" t="s">
        <v>43</v>
      </c>
      <c r="N13" s="28"/>
      <c r="O13" s="28"/>
    </row>
    <row r="14" ht="57.75" customHeight="1">
      <c r="A14" s="74" t="s">
        <v>1523</v>
      </c>
      <c r="B14" s="17" t="s">
        <v>102</v>
      </c>
      <c r="C14" s="17" t="s">
        <v>74</v>
      </c>
      <c r="D14" s="19" t="s">
        <v>9</v>
      </c>
      <c r="E14" s="21" t="s">
        <v>1525</v>
      </c>
      <c r="F14" s="21" t="s">
        <v>1526</v>
      </c>
      <c r="G14" s="21" t="s">
        <v>1527</v>
      </c>
      <c r="H14" s="21" t="s">
        <v>1528</v>
      </c>
      <c r="I14" s="21" t="s">
        <v>1529</v>
      </c>
      <c r="J14" s="21" t="s">
        <v>1530</v>
      </c>
      <c r="K14" s="23" t="s">
        <v>64</v>
      </c>
      <c r="L14" s="21" t="s">
        <v>1532</v>
      </c>
      <c r="M14" s="26" t="s">
        <v>43</v>
      </c>
      <c r="N14" s="17"/>
      <c r="O14" s="17"/>
    </row>
    <row r="15" ht="57.75" customHeight="1">
      <c r="A15" s="74" t="s">
        <v>1533</v>
      </c>
      <c r="B15" s="28" t="s">
        <v>102</v>
      </c>
      <c r="C15" s="28" t="s">
        <v>74</v>
      </c>
      <c r="D15" s="19" t="s">
        <v>9</v>
      </c>
      <c r="E15" s="30" t="s">
        <v>1535</v>
      </c>
      <c r="F15" s="30" t="s">
        <v>1536</v>
      </c>
      <c r="G15" s="30" t="s">
        <v>1537</v>
      </c>
      <c r="H15" s="30" t="s">
        <v>1538</v>
      </c>
      <c r="I15" s="30" t="s">
        <v>1539</v>
      </c>
      <c r="J15" s="30" t="s">
        <v>1540</v>
      </c>
      <c r="K15" s="31" t="s">
        <v>64</v>
      </c>
      <c r="L15" s="30" t="s">
        <v>1541</v>
      </c>
      <c r="M15" s="26" t="s">
        <v>43</v>
      </c>
      <c r="N15" s="28"/>
      <c r="O15" s="28"/>
    </row>
    <row r="16" ht="57.75" customHeight="1">
      <c r="A16" s="74" t="s">
        <v>1542</v>
      </c>
      <c r="B16" s="17" t="s">
        <v>102</v>
      </c>
      <c r="C16" s="17" t="s">
        <v>74</v>
      </c>
      <c r="D16" s="19" t="s">
        <v>9</v>
      </c>
      <c r="E16" s="21" t="s">
        <v>1544</v>
      </c>
      <c r="F16" s="21" t="s">
        <v>1545</v>
      </c>
      <c r="G16" s="21" t="s">
        <v>1546</v>
      </c>
      <c r="H16" s="21" t="s">
        <v>1547</v>
      </c>
      <c r="I16" s="21" t="s">
        <v>1548</v>
      </c>
      <c r="J16" s="21" t="s">
        <v>1549</v>
      </c>
      <c r="K16" s="23" t="s">
        <v>40</v>
      </c>
      <c r="L16" s="21" t="s">
        <v>1550</v>
      </c>
      <c r="M16" s="26" t="s">
        <v>43</v>
      </c>
      <c r="N16" s="17"/>
      <c r="O16" s="17"/>
    </row>
    <row r="17" ht="57.75" customHeight="1">
      <c r="A17" s="74" t="s">
        <v>1552</v>
      </c>
      <c r="B17" s="28" t="s">
        <v>102</v>
      </c>
      <c r="C17" s="28" t="s">
        <v>74</v>
      </c>
      <c r="D17" s="19" t="s">
        <v>9</v>
      </c>
      <c r="E17" s="30" t="s">
        <v>1553</v>
      </c>
      <c r="F17" s="30" t="s">
        <v>1554</v>
      </c>
      <c r="G17" s="30" t="s">
        <v>1555</v>
      </c>
      <c r="H17" s="30" t="s">
        <v>1556</v>
      </c>
      <c r="I17" s="30" t="s">
        <v>1558</v>
      </c>
      <c r="J17" s="30" t="s">
        <v>1559</v>
      </c>
      <c r="K17" s="31" t="s">
        <v>64</v>
      </c>
      <c r="L17" s="30" t="s">
        <v>1560</v>
      </c>
      <c r="M17" s="26" t="s">
        <v>43</v>
      </c>
      <c r="N17" s="28"/>
      <c r="O17" s="28"/>
    </row>
    <row r="18" ht="57.75" customHeight="1">
      <c r="A18" s="74" t="s">
        <v>1561</v>
      </c>
      <c r="B18" s="17" t="s">
        <v>102</v>
      </c>
      <c r="C18" s="17" t="s">
        <v>74</v>
      </c>
      <c r="D18" s="19" t="s">
        <v>9</v>
      </c>
      <c r="E18" s="21" t="s">
        <v>1562</v>
      </c>
      <c r="F18" s="21">
        <v>-13.0</v>
      </c>
      <c r="G18" s="21">
        <v>-5.0</v>
      </c>
      <c r="H18" s="21">
        <v>5.0</v>
      </c>
      <c r="I18" s="21">
        <v>9.0</v>
      </c>
      <c r="J18" s="21">
        <v>13.0</v>
      </c>
      <c r="K18" s="23" t="s">
        <v>95</v>
      </c>
      <c r="L18" s="21" t="s">
        <v>1566</v>
      </c>
      <c r="M18" s="26" t="s">
        <v>43</v>
      </c>
      <c r="N18" s="17"/>
      <c r="O18" s="17"/>
    </row>
    <row r="19" ht="57.75" customHeight="1">
      <c r="A19" s="74" t="s">
        <v>1567</v>
      </c>
      <c r="B19" s="28" t="s">
        <v>102</v>
      </c>
      <c r="C19" s="28" t="s">
        <v>74</v>
      </c>
      <c r="D19" s="19" t="s">
        <v>9</v>
      </c>
      <c r="E19" s="30" t="s">
        <v>1568</v>
      </c>
      <c r="F19" s="30">
        <v>18.0</v>
      </c>
      <c r="G19" s="30">
        <v>16.0</v>
      </c>
      <c r="H19" s="30">
        <v>14.0</v>
      </c>
      <c r="I19" s="30">
        <v>12.0</v>
      </c>
      <c r="J19" s="30">
        <v>10.0</v>
      </c>
      <c r="K19" s="31" t="s">
        <v>40</v>
      </c>
      <c r="L19" s="30" t="s">
        <v>1570</v>
      </c>
      <c r="M19" s="26" t="s">
        <v>43</v>
      </c>
      <c r="N19" s="28"/>
      <c r="O19" s="28"/>
    </row>
    <row r="20" ht="57.75" customHeight="1">
      <c r="A20" s="74" t="s">
        <v>1571</v>
      </c>
      <c r="B20" s="17" t="s">
        <v>102</v>
      </c>
      <c r="C20" s="17" t="s">
        <v>74</v>
      </c>
      <c r="D20" s="19" t="s">
        <v>9</v>
      </c>
      <c r="E20" s="21" t="s">
        <v>1573</v>
      </c>
      <c r="F20" s="21">
        <v>-5.0</v>
      </c>
      <c r="G20" s="21">
        <v>3.0</v>
      </c>
      <c r="H20" s="21">
        <v>5.0</v>
      </c>
      <c r="I20" s="21">
        <v>7.0</v>
      </c>
      <c r="J20" s="21">
        <v>9.0</v>
      </c>
      <c r="K20" s="23" t="s">
        <v>95</v>
      </c>
      <c r="L20" s="21" t="s">
        <v>1575</v>
      </c>
      <c r="M20" s="26" t="s">
        <v>43</v>
      </c>
      <c r="N20" s="17"/>
      <c r="O20" s="17"/>
    </row>
    <row r="21" ht="19.5" customHeight="1">
      <c r="A21" s="46" t="s">
        <v>166</v>
      </c>
      <c r="B21" s="3"/>
      <c r="C21" s="3"/>
      <c r="D21" s="3"/>
      <c r="E21" s="3"/>
      <c r="F21" s="3"/>
      <c r="G21" s="3"/>
      <c r="H21" s="3"/>
      <c r="I21" s="3"/>
      <c r="J21" s="3"/>
      <c r="K21" s="3"/>
      <c r="L21" s="3"/>
      <c r="M21" s="3"/>
      <c r="N21" s="3"/>
      <c r="O21" s="4"/>
    </row>
    <row r="22" ht="57.75" customHeight="1">
      <c r="A22" s="74" t="s">
        <v>1581</v>
      </c>
      <c r="B22" s="28" t="s">
        <v>102</v>
      </c>
      <c r="C22" s="28" t="s">
        <v>74</v>
      </c>
      <c r="D22" s="22" t="s">
        <v>11</v>
      </c>
      <c r="E22" s="30" t="s">
        <v>1584</v>
      </c>
      <c r="F22" s="30">
        <v>6.0</v>
      </c>
      <c r="G22" s="30">
        <v>8.0</v>
      </c>
      <c r="H22" s="30">
        <v>10.0</v>
      </c>
      <c r="I22" s="30">
        <v>12.0</v>
      </c>
      <c r="J22" s="30">
        <v>14.0</v>
      </c>
      <c r="K22" s="31" t="s">
        <v>64</v>
      </c>
      <c r="L22" s="30" t="s">
        <v>1586</v>
      </c>
      <c r="M22" s="26" t="s">
        <v>43</v>
      </c>
      <c r="N22" s="28"/>
      <c r="O22" s="28"/>
    </row>
    <row r="23" ht="57.75" customHeight="1">
      <c r="A23" s="74" t="s">
        <v>1588</v>
      </c>
      <c r="B23" s="17" t="s">
        <v>102</v>
      </c>
      <c r="C23" s="17" t="s">
        <v>74</v>
      </c>
      <c r="D23" s="22" t="s">
        <v>11</v>
      </c>
      <c r="E23" s="21" t="s">
        <v>1590</v>
      </c>
      <c r="F23" s="21">
        <v>31.0</v>
      </c>
      <c r="G23" s="21">
        <v>33.0</v>
      </c>
      <c r="H23" s="21">
        <v>35.0</v>
      </c>
      <c r="I23" s="21">
        <v>37.0</v>
      </c>
      <c r="J23" s="21">
        <v>39.0</v>
      </c>
      <c r="K23" s="23" t="s">
        <v>64</v>
      </c>
      <c r="L23" s="21" t="s">
        <v>1592</v>
      </c>
      <c r="M23" s="26" t="s">
        <v>43</v>
      </c>
      <c r="N23" s="17"/>
      <c r="O23" s="17"/>
    </row>
    <row r="24" ht="57.75" customHeight="1">
      <c r="A24" s="74" t="s">
        <v>1593</v>
      </c>
      <c r="B24" s="28" t="s">
        <v>102</v>
      </c>
      <c r="C24" s="28" t="s">
        <v>74</v>
      </c>
      <c r="D24" s="22" t="s">
        <v>11</v>
      </c>
      <c r="E24" s="30" t="s">
        <v>1594</v>
      </c>
      <c r="F24" s="30">
        <v>3.0</v>
      </c>
      <c r="G24" s="30">
        <v>5.0</v>
      </c>
      <c r="H24" s="30">
        <v>7.0</v>
      </c>
      <c r="I24" s="30">
        <v>9.0</v>
      </c>
      <c r="J24" s="30">
        <v>11.0</v>
      </c>
      <c r="K24" s="31" t="s">
        <v>64</v>
      </c>
      <c r="L24" s="30" t="s">
        <v>1595</v>
      </c>
      <c r="M24" s="26" t="s">
        <v>43</v>
      </c>
      <c r="N24" s="28"/>
      <c r="O24" s="28"/>
    </row>
    <row r="25" ht="57.75" customHeight="1">
      <c r="A25" s="74" t="s">
        <v>1596</v>
      </c>
      <c r="B25" s="17" t="s">
        <v>102</v>
      </c>
      <c r="C25" s="17" t="s">
        <v>74</v>
      </c>
      <c r="D25" s="22" t="s">
        <v>11</v>
      </c>
      <c r="E25" s="21" t="s">
        <v>1597</v>
      </c>
      <c r="F25" s="21">
        <v>3.0</v>
      </c>
      <c r="G25" s="21">
        <v>4.0</v>
      </c>
      <c r="H25" s="21">
        <v>5.0</v>
      </c>
      <c r="I25" s="21">
        <v>6.0</v>
      </c>
      <c r="J25" s="21">
        <v>7.0</v>
      </c>
      <c r="K25" s="23" t="s">
        <v>95</v>
      </c>
      <c r="L25" s="21" t="s">
        <v>1598</v>
      </c>
      <c r="M25" s="26" t="s">
        <v>43</v>
      </c>
      <c r="N25" s="17"/>
      <c r="O25" s="17"/>
    </row>
    <row r="26" ht="57.75" customHeight="1">
      <c r="A26" s="74" t="s">
        <v>1599</v>
      </c>
      <c r="B26" s="28" t="s">
        <v>102</v>
      </c>
      <c r="C26" s="28" t="s">
        <v>74</v>
      </c>
      <c r="D26" s="22" t="s">
        <v>11</v>
      </c>
      <c r="E26" s="30" t="s">
        <v>1600</v>
      </c>
      <c r="F26" s="30">
        <v>11.0</v>
      </c>
      <c r="G26" s="30">
        <v>13.0</v>
      </c>
      <c r="H26" s="30">
        <v>15.0</v>
      </c>
      <c r="I26" s="30">
        <v>17.0</v>
      </c>
      <c r="J26" s="30">
        <v>19.0</v>
      </c>
      <c r="K26" s="31" t="s">
        <v>64</v>
      </c>
      <c r="L26" s="30" t="s">
        <v>1601</v>
      </c>
      <c r="M26" s="26" t="s">
        <v>43</v>
      </c>
      <c r="N26" s="28"/>
      <c r="O26" s="28"/>
    </row>
    <row r="27" ht="57.75" customHeight="1">
      <c r="A27" s="74" t="s">
        <v>1602</v>
      </c>
      <c r="B27" s="17" t="s">
        <v>102</v>
      </c>
      <c r="C27" s="17" t="s">
        <v>74</v>
      </c>
      <c r="D27" s="22" t="s">
        <v>11</v>
      </c>
      <c r="E27" s="21" t="s">
        <v>1603</v>
      </c>
      <c r="F27" s="21" t="s">
        <v>1604</v>
      </c>
      <c r="G27" s="21" t="s">
        <v>1605</v>
      </c>
      <c r="H27" s="21" t="s">
        <v>1606</v>
      </c>
      <c r="I27" s="21" t="s">
        <v>1607</v>
      </c>
      <c r="J27" s="21" t="s">
        <v>1608</v>
      </c>
      <c r="K27" s="23" t="s">
        <v>95</v>
      </c>
      <c r="L27" s="21" t="s">
        <v>1609</v>
      </c>
      <c r="M27" s="26" t="s">
        <v>43</v>
      </c>
      <c r="N27" s="17"/>
      <c r="O27" s="17"/>
    </row>
    <row r="28" ht="57.75" customHeight="1">
      <c r="A28" s="74" t="s">
        <v>1610</v>
      </c>
      <c r="B28" s="28" t="s">
        <v>102</v>
      </c>
      <c r="C28" s="28" t="s">
        <v>74</v>
      </c>
      <c r="D28" s="22" t="s">
        <v>11</v>
      </c>
      <c r="E28" s="30" t="s">
        <v>1611</v>
      </c>
      <c r="F28" s="30" t="s">
        <v>1612</v>
      </c>
      <c r="G28" s="30" t="s">
        <v>1613</v>
      </c>
      <c r="H28" s="30" t="s">
        <v>1614</v>
      </c>
      <c r="I28" s="30" t="s">
        <v>1615</v>
      </c>
      <c r="J28" s="30" t="s">
        <v>1616</v>
      </c>
      <c r="K28" s="31" t="s">
        <v>40</v>
      </c>
      <c r="L28" s="30" t="s">
        <v>1617</v>
      </c>
      <c r="M28" s="26" t="s">
        <v>43</v>
      </c>
      <c r="N28" s="28"/>
      <c r="O28" s="28"/>
    </row>
    <row r="29" ht="57.75" customHeight="1">
      <c r="A29" s="74" t="s">
        <v>1618</v>
      </c>
      <c r="B29" s="17" t="s">
        <v>102</v>
      </c>
      <c r="C29" s="17" t="s">
        <v>74</v>
      </c>
      <c r="D29" s="22" t="s">
        <v>11</v>
      </c>
      <c r="E29" s="21" t="s">
        <v>1619</v>
      </c>
      <c r="F29" s="21">
        <v>3.0</v>
      </c>
      <c r="G29" s="21">
        <v>4.0</v>
      </c>
      <c r="H29" s="21">
        <v>5.0</v>
      </c>
      <c r="I29" s="21">
        <v>6.0</v>
      </c>
      <c r="J29" s="21">
        <v>8.0</v>
      </c>
      <c r="K29" s="23" t="s">
        <v>117</v>
      </c>
      <c r="L29" s="21" t="s">
        <v>1620</v>
      </c>
      <c r="M29" s="26" t="s">
        <v>43</v>
      </c>
      <c r="N29" s="17"/>
      <c r="O29" s="17"/>
    </row>
    <row r="30" ht="57.75" customHeight="1">
      <c r="A30" s="74" t="s">
        <v>1621</v>
      </c>
      <c r="B30" s="28" t="s">
        <v>102</v>
      </c>
      <c r="C30" s="28" t="s">
        <v>74</v>
      </c>
      <c r="D30" s="22" t="s">
        <v>11</v>
      </c>
      <c r="E30" s="30" t="s">
        <v>1622</v>
      </c>
      <c r="F30" s="30">
        <v>2.0</v>
      </c>
      <c r="G30" s="30">
        <v>3.0</v>
      </c>
      <c r="H30" s="30">
        <v>4.0</v>
      </c>
      <c r="I30" s="30">
        <v>5.0</v>
      </c>
      <c r="J30" s="30">
        <v>6.0</v>
      </c>
      <c r="K30" s="31" t="s">
        <v>64</v>
      </c>
      <c r="L30" s="30" t="s">
        <v>1623</v>
      </c>
      <c r="M30" s="26" t="s">
        <v>43</v>
      </c>
      <c r="N30" s="28"/>
      <c r="O30" s="28"/>
    </row>
    <row r="31" ht="57.75" customHeight="1">
      <c r="A31" s="74" t="s">
        <v>1624</v>
      </c>
      <c r="B31" s="17" t="s">
        <v>102</v>
      </c>
      <c r="C31" s="17" t="s">
        <v>74</v>
      </c>
      <c r="D31" s="22" t="s">
        <v>11</v>
      </c>
      <c r="E31" s="21" t="s">
        <v>1625</v>
      </c>
      <c r="F31" s="21">
        <v>16.0</v>
      </c>
      <c r="G31" s="21">
        <v>19.0</v>
      </c>
      <c r="H31" s="21">
        <v>22.0</v>
      </c>
      <c r="I31" s="21">
        <v>25.0</v>
      </c>
      <c r="J31" s="21">
        <v>28.0</v>
      </c>
      <c r="K31" s="23" t="s">
        <v>95</v>
      </c>
      <c r="L31" s="21" t="s">
        <v>1626</v>
      </c>
      <c r="M31" s="26" t="s">
        <v>43</v>
      </c>
      <c r="N31" s="17"/>
      <c r="O31" s="17"/>
    </row>
    <row r="32" ht="57.75" customHeight="1">
      <c r="A32" s="74" t="s">
        <v>1627</v>
      </c>
      <c r="B32" s="28" t="s">
        <v>102</v>
      </c>
      <c r="C32" s="28" t="s">
        <v>74</v>
      </c>
      <c r="D32" s="22" t="s">
        <v>11</v>
      </c>
      <c r="E32" s="30" t="s">
        <v>1628</v>
      </c>
      <c r="F32" s="30" t="s">
        <v>1629</v>
      </c>
      <c r="G32" s="30" t="s">
        <v>1630</v>
      </c>
      <c r="H32" s="30" t="s">
        <v>1631</v>
      </c>
      <c r="I32" s="30" t="s">
        <v>1632</v>
      </c>
      <c r="J32" s="30" t="s">
        <v>1633</v>
      </c>
      <c r="K32" s="31" t="s">
        <v>64</v>
      </c>
      <c r="L32" s="30" t="s">
        <v>1634</v>
      </c>
      <c r="M32" s="26" t="s">
        <v>43</v>
      </c>
      <c r="N32" s="28"/>
      <c r="O32" s="28"/>
    </row>
    <row r="33" ht="57.75" customHeight="1">
      <c r="A33" s="74" t="s">
        <v>1635</v>
      </c>
      <c r="B33" s="17" t="s">
        <v>102</v>
      </c>
      <c r="C33" s="17" t="s">
        <v>74</v>
      </c>
      <c r="D33" s="22" t="s">
        <v>11</v>
      </c>
      <c r="E33" s="21" t="s">
        <v>1636</v>
      </c>
      <c r="F33" s="21">
        <v>1.0</v>
      </c>
      <c r="G33" s="21">
        <v>2.0</v>
      </c>
      <c r="H33" s="21">
        <v>3.0</v>
      </c>
      <c r="I33" s="21">
        <v>4.0</v>
      </c>
      <c r="J33" s="21">
        <v>5.0</v>
      </c>
      <c r="K33" s="23" t="s">
        <v>64</v>
      </c>
      <c r="L33" s="21" t="s">
        <v>1637</v>
      </c>
      <c r="M33" s="26" t="s">
        <v>43</v>
      </c>
      <c r="N33" s="17"/>
      <c r="O33" s="17"/>
    </row>
    <row r="34" ht="57.75" customHeight="1">
      <c r="A34" s="74" t="s">
        <v>1638</v>
      </c>
      <c r="B34" s="28" t="s">
        <v>102</v>
      </c>
      <c r="C34" s="28" t="s">
        <v>74</v>
      </c>
      <c r="D34" s="22" t="s">
        <v>11</v>
      </c>
      <c r="E34" s="30" t="s">
        <v>1639</v>
      </c>
      <c r="F34" s="30">
        <v>-2.0</v>
      </c>
      <c r="G34" s="30">
        <v>-1.0</v>
      </c>
      <c r="H34" s="30">
        <v>0.0</v>
      </c>
      <c r="I34" s="30">
        <v>1.0</v>
      </c>
      <c r="J34" s="30">
        <v>2.0</v>
      </c>
      <c r="K34" s="31" t="s">
        <v>40</v>
      </c>
      <c r="L34" s="30" t="s">
        <v>1640</v>
      </c>
      <c r="M34" s="26" t="s">
        <v>43</v>
      </c>
      <c r="N34" s="28"/>
      <c r="O34" s="28"/>
    </row>
    <row r="35" ht="57.75" customHeight="1">
      <c r="A35" s="74" t="s">
        <v>1641</v>
      </c>
      <c r="B35" s="17" t="s">
        <v>102</v>
      </c>
      <c r="C35" s="17" t="s">
        <v>74</v>
      </c>
      <c r="D35" s="22" t="s">
        <v>11</v>
      </c>
      <c r="E35" s="21" t="s">
        <v>1642</v>
      </c>
      <c r="F35" s="21">
        <v>-1.0</v>
      </c>
      <c r="G35" s="21">
        <v>0.0</v>
      </c>
      <c r="H35" s="21">
        <v>1.0</v>
      </c>
      <c r="I35" s="21">
        <v>2.0</v>
      </c>
      <c r="J35" s="21">
        <v>3.0</v>
      </c>
      <c r="K35" s="23" t="s">
        <v>40</v>
      </c>
      <c r="L35" s="21" t="s">
        <v>1643</v>
      </c>
      <c r="M35" s="26" t="s">
        <v>43</v>
      </c>
      <c r="N35" s="17"/>
      <c r="O35" s="17"/>
    </row>
    <row r="36" ht="57.75" customHeight="1">
      <c r="A36" s="74" t="s">
        <v>1644</v>
      </c>
      <c r="B36" s="28" t="s">
        <v>102</v>
      </c>
      <c r="C36" s="28" t="s">
        <v>74</v>
      </c>
      <c r="D36" s="22" t="s">
        <v>11</v>
      </c>
      <c r="E36" s="30" t="s">
        <v>1645</v>
      </c>
      <c r="F36" s="30">
        <v>15.0</v>
      </c>
      <c r="G36" s="30">
        <v>18.0</v>
      </c>
      <c r="H36" s="30">
        <v>20.0</v>
      </c>
      <c r="I36" s="30">
        <v>22.0</v>
      </c>
      <c r="J36" s="30">
        <v>25.0</v>
      </c>
      <c r="K36" s="31" t="s">
        <v>95</v>
      </c>
      <c r="L36" s="30" t="s">
        <v>1646</v>
      </c>
      <c r="M36" s="26" t="s">
        <v>43</v>
      </c>
      <c r="N36" s="28"/>
      <c r="O36" s="28"/>
    </row>
    <row r="37" ht="19.5" customHeight="1">
      <c r="A37" s="63" t="s">
        <v>279</v>
      </c>
      <c r="B37" s="3"/>
      <c r="C37" s="3"/>
      <c r="D37" s="3"/>
      <c r="E37" s="3"/>
      <c r="F37" s="3"/>
      <c r="G37" s="3"/>
      <c r="H37" s="3"/>
      <c r="I37" s="3"/>
      <c r="J37" s="3"/>
      <c r="K37" s="3"/>
      <c r="L37" s="3"/>
      <c r="M37" s="3"/>
      <c r="N37" s="3"/>
      <c r="O37" s="4"/>
    </row>
    <row r="38" ht="57.75" customHeight="1">
      <c r="A38" s="74" t="s">
        <v>1647</v>
      </c>
      <c r="B38" s="17" t="s">
        <v>102</v>
      </c>
      <c r="C38" s="17" t="s">
        <v>74</v>
      </c>
      <c r="D38" s="24" t="s">
        <v>12</v>
      </c>
      <c r="E38" s="21" t="s">
        <v>1648</v>
      </c>
      <c r="F38" s="21">
        <v>2.0</v>
      </c>
      <c r="G38" s="21">
        <v>3.0</v>
      </c>
      <c r="H38" s="21">
        <v>4.0</v>
      </c>
      <c r="I38" s="21">
        <v>5.0</v>
      </c>
      <c r="J38" s="21">
        <v>6.0</v>
      </c>
      <c r="K38" s="23" t="s">
        <v>95</v>
      </c>
      <c r="L38" s="21" t="s">
        <v>1649</v>
      </c>
      <c r="M38" s="26" t="s">
        <v>43</v>
      </c>
      <c r="N38" s="17"/>
      <c r="O38" s="17"/>
    </row>
    <row r="39" ht="57.75" customHeight="1">
      <c r="A39" s="74" t="s">
        <v>1650</v>
      </c>
      <c r="B39" s="28" t="s">
        <v>102</v>
      </c>
      <c r="C39" s="28" t="s">
        <v>74</v>
      </c>
      <c r="D39" s="24" t="s">
        <v>12</v>
      </c>
      <c r="E39" s="30" t="s">
        <v>1651</v>
      </c>
      <c r="F39" s="30" t="s">
        <v>297</v>
      </c>
      <c r="G39" s="30" t="s">
        <v>342</v>
      </c>
      <c r="H39" s="30" t="s">
        <v>299</v>
      </c>
      <c r="I39" s="30" t="s">
        <v>301</v>
      </c>
      <c r="J39" s="30" t="s">
        <v>302</v>
      </c>
      <c r="K39" s="31" t="s">
        <v>40</v>
      </c>
      <c r="L39" s="30" t="s">
        <v>1652</v>
      </c>
      <c r="M39" s="26" t="s">
        <v>43</v>
      </c>
      <c r="N39" s="28"/>
      <c r="O39" s="28"/>
    </row>
    <row r="40" ht="57.75" customHeight="1">
      <c r="A40" s="74" t="s">
        <v>1653</v>
      </c>
      <c r="B40" s="17" t="s">
        <v>102</v>
      </c>
      <c r="C40" s="17" t="s">
        <v>74</v>
      </c>
      <c r="D40" s="24" t="s">
        <v>12</v>
      </c>
      <c r="E40" s="21" t="s">
        <v>1654</v>
      </c>
      <c r="F40" s="21">
        <v>1.0</v>
      </c>
      <c r="G40" s="21">
        <v>2.0</v>
      </c>
      <c r="H40" s="21">
        <v>3.0</v>
      </c>
      <c r="I40" s="21">
        <v>4.0</v>
      </c>
      <c r="J40" s="21">
        <v>5.0</v>
      </c>
      <c r="K40" s="23" t="s">
        <v>95</v>
      </c>
      <c r="L40" s="21" t="s">
        <v>1655</v>
      </c>
      <c r="M40" s="26" t="s">
        <v>43</v>
      </c>
      <c r="N40" s="17"/>
      <c r="O40" s="17"/>
    </row>
    <row r="41" ht="57.75" customHeight="1">
      <c r="A41" s="74" t="s">
        <v>1656</v>
      </c>
      <c r="B41" s="28" t="s">
        <v>102</v>
      </c>
      <c r="C41" s="28" t="s">
        <v>74</v>
      </c>
      <c r="D41" s="24" t="s">
        <v>12</v>
      </c>
      <c r="E41" s="30" t="s">
        <v>1657</v>
      </c>
      <c r="F41" s="30" t="s">
        <v>315</v>
      </c>
      <c r="G41" s="30" t="s">
        <v>316</v>
      </c>
      <c r="H41" s="30" t="s">
        <v>318</v>
      </c>
      <c r="I41" s="30" t="s">
        <v>320</v>
      </c>
      <c r="J41" s="30" t="s">
        <v>321</v>
      </c>
      <c r="K41" s="31" t="s">
        <v>78</v>
      </c>
      <c r="L41" s="30" t="s">
        <v>1658</v>
      </c>
      <c r="M41" s="26" t="s">
        <v>43</v>
      </c>
      <c r="N41" s="28"/>
      <c r="O41" s="28"/>
    </row>
    <row r="42" ht="57.75" customHeight="1">
      <c r="A42" s="74" t="s">
        <v>1659</v>
      </c>
      <c r="B42" s="17" t="s">
        <v>102</v>
      </c>
      <c r="C42" s="17" t="s">
        <v>74</v>
      </c>
      <c r="D42" s="24" t="s">
        <v>12</v>
      </c>
      <c r="E42" s="21" t="s">
        <v>1660</v>
      </c>
      <c r="F42" s="21">
        <v>1.0</v>
      </c>
      <c r="G42" s="21">
        <v>2.0</v>
      </c>
      <c r="H42" s="21">
        <v>3.0</v>
      </c>
      <c r="I42" s="21">
        <v>4.0</v>
      </c>
      <c r="J42" s="21">
        <v>5.0</v>
      </c>
      <c r="K42" s="23" t="s">
        <v>95</v>
      </c>
      <c r="L42" s="21" t="s">
        <v>1662</v>
      </c>
      <c r="M42" s="26" t="s">
        <v>43</v>
      </c>
      <c r="N42" s="17"/>
      <c r="O42" s="17"/>
    </row>
    <row r="43" ht="57.75" customHeight="1">
      <c r="A43" s="74" t="s">
        <v>1663</v>
      </c>
      <c r="B43" s="28" t="s">
        <v>102</v>
      </c>
      <c r="C43" s="28" t="s">
        <v>74</v>
      </c>
      <c r="D43" s="24" t="s">
        <v>12</v>
      </c>
      <c r="E43" s="30" t="s">
        <v>1664</v>
      </c>
      <c r="F43" s="30">
        <v>2.0</v>
      </c>
      <c r="G43" s="30">
        <v>3.0</v>
      </c>
      <c r="H43" s="30">
        <v>4.0</v>
      </c>
      <c r="I43" s="30">
        <v>5.0</v>
      </c>
      <c r="J43" s="30">
        <v>6.0</v>
      </c>
      <c r="K43" s="31" t="s">
        <v>117</v>
      </c>
      <c r="L43" s="30" t="s">
        <v>1665</v>
      </c>
      <c r="M43" s="26" t="s">
        <v>43</v>
      </c>
      <c r="N43" s="28"/>
      <c r="O43" s="28"/>
    </row>
    <row r="44" ht="57.75" customHeight="1">
      <c r="A44" s="74" t="s">
        <v>1666</v>
      </c>
      <c r="B44" s="17" t="s">
        <v>102</v>
      </c>
      <c r="C44" s="17" t="s">
        <v>74</v>
      </c>
      <c r="D44" s="24" t="s">
        <v>12</v>
      </c>
      <c r="E44" s="21" t="s">
        <v>1667</v>
      </c>
      <c r="F44" s="21" t="s">
        <v>297</v>
      </c>
      <c r="G44" s="21" t="s">
        <v>342</v>
      </c>
      <c r="H44" s="21" t="s">
        <v>299</v>
      </c>
      <c r="I44" s="21" t="s">
        <v>301</v>
      </c>
      <c r="J44" s="21" t="s">
        <v>302</v>
      </c>
      <c r="K44" s="23" t="s">
        <v>64</v>
      </c>
      <c r="L44" s="21" t="s">
        <v>1669</v>
      </c>
      <c r="M44" s="26" t="s">
        <v>43</v>
      </c>
      <c r="N44" s="17"/>
      <c r="O44" s="17"/>
    </row>
    <row r="45" ht="57.75" customHeight="1">
      <c r="A45" s="74" t="s">
        <v>1670</v>
      </c>
      <c r="B45" s="28" t="s">
        <v>102</v>
      </c>
      <c r="C45" s="28" t="s">
        <v>74</v>
      </c>
      <c r="D45" s="24" t="s">
        <v>12</v>
      </c>
      <c r="E45" s="30" t="s">
        <v>1671</v>
      </c>
      <c r="F45" s="30">
        <v>1.0</v>
      </c>
      <c r="G45" s="30">
        <v>2.0</v>
      </c>
      <c r="H45" s="30">
        <v>3.0</v>
      </c>
      <c r="I45" s="30">
        <v>4.0</v>
      </c>
      <c r="J45" s="30">
        <v>5.0</v>
      </c>
      <c r="K45" s="31" t="s">
        <v>40</v>
      </c>
      <c r="L45" s="30" t="s">
        <v>1672</v>
      </c>
      <c r="M45" s="26" t="s">
        <v>43</v>
      </c>
      <c r="N45" s="28"/>
      <c r="O45" s="28"/>
    </row>
    <row r="46" ht="57.75" customHeight="1">
      <c r="A46" s="74" t="s">
        <v>1673</v>
      </c>
      <c r="B46" s="17" t="s">
        <v>102</v>
      </c>
      <c r="C46" s="17" t="s">
        <v>74</v>
      </c>
      <c r="D46" s="24" t="s">
        <v>12</v>
      </c>
      <c r="E46" s="21" t="s">
        <v>1674</v>
      </c>
      <c r="F46" s="21" t="s">
        <v>315</v>
      </c>
      <c r="G46" s="21" t="s">
        <v>316</v>
      </c>
      <c r="H46" s="21" t="s">
        <v>318</v>
      </c>
      <c r="I46" s="21" t="s">
        <v>320</v>
      </c>
      <c r="J46" s="21" t="s">
        <v>321</v>
      </c>
      <c r="K46" s="23" t="s">
        <v>95</v>
      </c>
      <c r="L46" s="21" t="s">
        <v>1675</v>
      </c>
      <c r="M46" s="26" t="s">
        <v>43</v>
      </c>
      <c r="N46" s="17"/>
      <c r="O46" s="17"/>
    </row>
    <row r="47" ht="57.75" customHeight="1">
      <c r="A47" s="74" t="s">
        <v>1676</v>
      </c>
      <c r="B47" s="28" t="s">
        <v>102</v>
      </c>
      <c r="C47" s="28" t="s">
        <v>74</v>
      </c>
      <c r="D47" s="24" t="s">
        <v>12</v>
      </c>
      <c r="E47" s="30" t="s">
        <v>1677</v>
      </c>
      <c r="F47" s="30">
        <v>1.0</v>
      </c>
      <c r="G47" s="30">
        <v>2.0</v>
      </c>
      <c r="H47" s="30">
        <v>3.0</v>
      </c>
      <c r="I47" s="30">
        <v>4.0</v>
      </c>
      <c r="J47" s="30">
        <v>5.0</v>
      </c>
      <c r="K47" s="31" t="s">
        <v>64</v>
      </c>
      <c r="L47" s="30" t="s">
        <v>1678</v>
      </c>
      <c r="M47" s="26" t="s">
        <v>43</v>
      </c>
      <c r="N47" s="28"/>
      <c r="O47" s="28"/>
    </row>
    <row r="48" ht="57.75" customHeight="1">
      <c r="A48" s="74" t="s">
        <v>1679</v>
      </c>
      <c r="B48" s="17" t="s">
        <v>102</v>
      </c>
      <c r="C48" s="17" t="s">
        <v>74</v>
      </c>
      <c r="D48" s="24" t="s">
        <v>12</v>
      </c>
      <c r="E48" s="21" t="s">
        <v>1680</v>
      </c>
      <c r="F48" s="21">
        <v>2.0</v>
      </c>
      <c r="G48" s="21">
        <v>3.0</v>
      </c>
      <c r="H48" s="21">
        <v>4.0</v>
      </c>
      <c r="I48" s="21">
        <v>5.0</v>
      </c>
      <c r="J48" s="21">
        <v>6.0</v>
      </c>
      <c r="K48" s="23" t="s">
        <v>95</v>
      </c>
      <c r="L48" s="21" t="s">
        <v>1681</v>
      </c>
      <c r="M48" s="26" t="s">
        <v>43</v>
      </c>
      <c r="N48" s="17"/>
      <c r="O48" s="17"/>
    </row>
    <row r="49" ht="57.75" customHeight="1">
      <c r="A49" s="74" t="s">
        <v>1682</v>
      </c>
      <c r="B49" s="28" t="s">
        <v>102</v>
      </c>
      <c r="C49" s="28" t="s">
        <v>74</v>
      </c>
      <c r="D49" s="24" t="s">
        <v>12</v>
      </c>
      <c r="E49" s="30" t="s">
        <v>1683</v>
      </c>
      <c r="F49" s="30" t="s">
        <v>297</v>
      </c>
      <c r="G49" s="30" t="s">
        <v>342</v>
      </c>
      <c r="H49" s="30" t="s">
        <v>299</v>
      </c>
      <c r="I49" s="30" t="s">
        <v>301</v>
      </c>
      <c r="J49" s="30" t="s">
        <v>302</v>
      </c>
      <c r="K49" s="31" t="s">
        <v>95</v>
      </c>
      <c r="L49" s="30" t="s">
        <v>1684</v>
      </c>
      <c r="M49" s="26" t="s">
        <v>43</v>
      </c>
      <c r="N49" s="28"/>
      <c r="O49" s="28"/>
    </row>
    <row r="50" ht="57.75" customHeight="1">
      <c r="A50" s="74" t="s">
        <v>1685</v>
      </c>
      <c r="B50" s="17" t="s">
        <v>102</v>
      </c>
      <c r="C50" s="17" t="s">
        <v>74</v>
      </c>
      <c r="D50" s="24" t="s">
        <v>12</v>
      </c>
      <c r="E50" s="21" t="s">
        <v>1686</v>
      </c>
      <c r="F50" s="21">
        <v>1.0</v>
      </c>
      <c r="G50" s="21">
        <v>2.0</v>
      </c>
      <c r="H50" s="21">
        <v>3.0</v>
      </c>
      <c r="I50" s="21">
        <v>4.0</v>
      </c>
      <c r="J50" s="21">
        <v>5.0</v>
      </c>
      <c r="K50" s="23" t="s">
        <v>95</v>
      </c>
      <c r="L50" s="21" t="s">
        <v>1687</v>
      </c>
      <c r="M50" s="26" t="s">
        <v>43</v>
      </c>
      <c r="N50" s="17"/>
      <c r="O50" s="17"/>
    </row>
    <row r="51" ht="57.75" customHeight="1">
      <c r="A51" s="74" t="s">
        <v>1688</v>
      </c>
      <c r="B51" s="28" t="s">
        <v>102</v>
      </c>
      <c r="C51" s="28" t="s">
        <v>74</v>
      </c>
      <c r="D51" s="24" t="s">
        <v>12</v>
      </c>
      <c r="E51" s="30" t="s">
        <v>1689</v>
      </c>
      <c r="F51" s="30" t="s">
        <v>315</v>
      </c>
      <c r="G51" s="30" t="s">
        <v>316</v>
      </c>
      <c r="H51" s="30" t="s">
        <v>318</v>
      </c>
      <c r="I51" s="30" t="s">
        <v>320</v>
      </c>
      <c r="J51" s="30" t="s">
        <v>321</v>
      </c>
      <c r="K51" s="31" t="s">
        <v>40</v>
      </c>
      <c r="L51" s="30" t="s">
        <v>1690</v>
      </c>
      <c r="M51" s="26" t="s">
        <v>43</v>
      </c>
      <c r="N51" s="28"/>
      <c r="O51" s="28"/>
    </row>
    <row r="52" ht="57.75" customHeight="1">
      <c r="A52" s="74" t="s">
        <v>1691</v>
      </c>
      <c r="B52" s="17" t="s">
        <v>102</v>
      </c>
      <c r="C52" s="17" t="s">
        <v>74</v>
      </c>
      <c r="D52" s="24" t="s">
        <v>12</v>
      </c>
      <c r="E52" s="21" t="s">
        <v>1693</v>
      </c>
      <c r="F52" s="21">
        <v>1.0</v>
      </c>
      <c r="G52" s="21">
        <v>2.0</v>
      </c>
      <c r="H52" s="21">
        <v>3.0</v>
      </c>
      <c r="I52" s="21">
        <v>4.0</v>
      </c>
      <c r="J52" s="21">
        <v>5.0</v>
      </c>
      <c r="K52" s="23" t="s">
        <v>95</v>
      </c>
      <c r="L52" s="21" t="s">
        <v>1694</v>
      </c>
      <c r="M52" s="26" t="s">
        <v>43</v>
      </c>
      <c r="N52" s="17"/>
      <c r="O52" s="17"/>
    </row>
    <row r="53" ht="25.5" customHeight="1">
      <c r="A53" s="55" t="s">
        <v>1695</v>
      </c>
      <c r="B53" s="57"/>
      <c r="C53" s="57"/>
      <c r="D53" s="57"/>
      <c r="E53" s="57"/>
      <c r="F53" s="57"/>
      <c r="G53" s="57"/>
      <c r="H53" s="57"/>
      <c r="I53" s="57"/>
      <c r="J53" s="58"/>
      <c r="M53" s="7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72" t="s">
        <v>1661</v>
      </c>
      <c r="B1" s="3"/>
      <c r="C1" s="3"/>
      <c r="D1" s="3"/>
      <c r="E1" s="3"/>
      <c r="F1" s="3"/>
      <c r="G1" s="3"/>
      <c r="H1" s="3"/>
      <c r="I1" s="3"/>
      <c r="J1" s="3"/>
      <c r="K1" s="3"/>
      <c r="L1" s="3"/>
      <c r="M1" s="3"/>
      <c r="N1" s="3"/>
      <c r="O1" s="4"/>
    </row>
    <row r="2" ht="30.0" customHeight="1">
      <c r="A2" s="73" t="s">
        <v>1668</v>
      </c>
      <c r="B2" s="3"/>
      <c r="C2" s="3"/>
      <c r="D2" s="3"/>
      <c r="E2" s="3"/>
      <c r="F2" s="3"/>
      <c r="G2" s="3"/>
      <c r="H2" s="3"/>
      <c r="I2" s="3"/>
      <c r="J2" s="3"/>
      <c r="K2" s="3"/>
      <c r="L2" s="3"/>
      <c r="M2" s="3"/>
      <c r="N2" s="3"/>
      <c r="O2" s="4"/>
    </row>
    <row r="3" ht="19.5" customHeight="1">
      <c r="A3" s="7" t="s">
        <v>6</v>
      </c>
      <c r="B3" s="3"/>
      <c r="C3" s="3"/>
      <c r="D3" s="3"/>
      <c r="E3" s="3"/>
      <c r="F3" s="3"/>
      <c r="G3" s="3"/>
      <c r="H3" s="3"/>
      <c r="I3" s="3"/>
      <c r="J3" s="3"/>
      <c r="K3" s="3"/>
      <c r="L3" s="3"/>
      <c r="M3" s="3"/>
      <c r="N3" s="3"/>
      <c r="O3" s="4"/>
    </row>
    <row r="4" ht="24.75" customHeight="1">
      <c r="A4" s="9" t="s">
        <v>8</v>
      </c>
      <c r="B4" s="9" t="s">
        <v>7</v>
      </c>
      <c r="C4" s="9" t="s">
        <v>13</v>
      </c>
      <c r="D4" s="9" t="s">
        <v>15</v>
      </c>
      <c r="E4" s="9" t="s">
        <v>17</v>
      </c>
      <c r="F4" s="9" t="s">
        <v>18</v>
      </c>
      <c r="G4" s="9" t="s">
        <v>20</v>
      </c>
      <c r="H4" s="9" t="s">
        <v>21</v>
      </c>
      <c r="I4" s="9" t="s">
        <v>22</v>
      </c>
      <c r="J4" s="9" t="s">
        <v>23</v>
      </c>
      <c r="K4" s="9" t="s">
        <v>25</v>
      </c>
      <c r="L4" s="9" t="s">
        <v>26</v>
      </c>
      <c r="M4" s="9" t="s">
        <v>19</v>
      </c>
      <c r="N4" s="9" t="s">
        <v>27</v>
      </c>
      <c r="O4" s="9" t="s">
        <v>28</v>
      </c>
    </row>
    <row r="5" ht="19.5" customHeight="1">
      <c r="A5" s="13" t="s">
        <v>29</v>
      </c>
      <c r="B5" s="3"/>
      <c r="C5" s="3"/>
      <c r="D5" s="3"/>
      <c r="E5" s="3"/>
      <c r="F5" s="3"/>
      <c r="G5" s="3"/>
      <c r="H5" s="3"/>
      <c r="I5" s="3"/>
      <c r="J5" s="3"/>
      <c r="K5" s="3"/>
      <c r="L5" s="3"/>
      <c r="M5" s="3"/>
      <c r="N5" s="3"/>
      <c r="O5" s="4"/>
    </row>
    <row r="6" ht="57.75" customHeight="1">
      <c r="A6" s="74" t="s">
        <v>1692</v>
      </c>
      <c r="B6" s="17" t="s">
        <v>107</v>
      </c>
      <c r="C6" s="17" t="s">
        <v>74</v>
      </c>
      <c r="D6" s="19" t="s">
        <v>9</v>
      </c>
      <c r="E6" s="21" t="s">
        <v>1696</v>
      </c>
      <c r="F6" s="21">
        <v>35.0</v>
      </c>
      <c r="G6" s="21">
        <v>37.0</v>
      </c>
      <c r="H6" s="21">
        <v>39.0</v>
      </c>
      <c r="I6" s="21">
        <v>41.0</v>
      </c>
      <c r="J6" s="21">
        <v>43.0</v>
      </c>
      <c r="K6" s="23" t="s">
        <v>95</v>
      </c>
      <c r="L6" s="21" t="s">
        <v>1697</v>
      </c>
      <c r="M6" s="26" t="s">
        <v>43</v>
      </c>
      <c r="N6" s="17"/>
      <c r="O6" s="17"/>
    </row>
    <row r="7" ht="57.75" customHeight="1">
      <c r="A7" s="74" t="s">
        <v>1698</v>
      </c>
      <c r="B7" s="28" t="s">
        <v>107</v>
      </c>
      <c r="C7" s="28" t="s">
        <v>74</v>
      </c>
      <c r="D7" s="19" t="s">
        <v>9</v>
      </c>
      <c r="E7" s="30" t="s">
        <v>1699</v>
      </c>
      <c r="F7" s="30">
        <v>162.0</v>
      </c>
      <c r="G7" s="30">
        <v>324.0</v>
      </c>
      <c r="H7" s="30">
        <v>486.0</v>
      </c>
      <c r="I7" s="30">
        <v>972.0</v>
      </c>
      <c r="J7" s="30">
        <v>1458.0</v>
      </c>
      <c r="K7" s="31" t="s">
        <v>95</v>
      </c>
      <c r="L7" s="30" t="s">
        <v>1700</v>
      </c>
      <c r="M7" s="26" t="s">
        <v>43</v>
      </c>
      <c r="N7" s="28"/>
      <c r="O7" s="28"/>
    </row>
    <row r="8" ht="57.75" customHeight="1">
      <c r="A8" s="74" t="s">
        <v>1701</v>
      </c>
      <c r="B8" s="17" t="s">
        <v>107</v>
      </c>
      <c r="C8" s="17" t="s">
        <v>74</v>
      </c>
      <c r="D8" s="19" t="s">
        <v>9</v>
      </c>
      <c r="E8" s="21" t="s">
        <v>1702</v>
      </c>
      <c r="F8" s="21">
        <v>35.0</v>
      </c>
      <c r="G8" s="21">
        <v>37.0</v>
      </c>
      <c r="H8" s="21">
        <v>39.0</v>
      </c>
      <c r="I8" s="21">
        <v>40.0</v>
      </c>
      <c r="J8" s="21">
        <v>42.0</v>
      </c>
      <c r="K8" s="23" t="s">
        <v>64</v>
      </c>
      <c r="L8" s="21" t="s">
        <v>1703</v>
      </c>
      <c r="M8" s="26" t="s">
        <v>43</v>
      </c>
      <c r="N8" s="17"/>
      <c r="O8" s="17"/>
    </row>
    <row r="9" ht="57.75" customHeight="1">
      <c r="A9" s="74" t="s">
        <v>1704</v>
      </c>
      <c r="B9" s="28" t="s">
        <v>107</v>
      </c>
      <c r="C9" s="28" t="s">
        <v>74</v>
      </c>
      <c r="D9" s="19" t="s">
        <v>9</v>
      </c>
      <c r="E9" s="30" t="s">
        <v>1705</v>
      </c>
      <c r="F9" s="30">
        <v>2.0</v>
      </c>
      <c r="G9" s="30">
        <v>3.0</v>
      </c>
      <c r="H9" s="30">
        <v>4.0</v>
      </c>
      <c r="I9" s="30">
        <v>5.0</v>
      </c>
      <c r="J9" s="30">
        <v>6.0</v>
      </c>
      <c r="K9" s="31" t="s">
        <v>64</v>
      </c>
      <c r="L9" s="30" t="s">
        <v>1706</v>
      </c>
      <c r="M9" s="26" t="s">
        <v>43</v>
      </c>
      <c r="N9" s="28"/>
      <c r="O9" s="28"/>
    </row>
    <row r="10" ht="57.75" customHeight="1">
      <c r="A10" s="74" t="s">
        <v>1707</v>
      </c>
      <c r="B10" s="17" t="s">
        <v>107</v>
      </c>
      <c r="C10" s="17" t="s">
        <v>74</v>
      </c>
      <c r="D10" s="19" t="s">
        <v>9</v>
      </c>
      <c r="E10" s="21" t="s">
        <v>1708</v>
      </c>
      <c r="F10" s="21">
        <v>2.0</v>
      </c>
      <c r="G10" s="21">
        <v>3.0</v>
      </c>
      <c r="H10" s="21">
        <v>4.0</v>
      </c>
      <c r="I10" s="21">
        <v>5.0</v>
      </c>
      <c r="J10" s="21">
        <v>6.0</v>
      </c>
      <c r="K10" s="23" t="s">
        <v>64</v>
      </c>
      <c r="L10" s="21" t="s">
        <v>1709</v>
      </c>
      <c r="M10" s="26" t="s">
        <v>43</v>
      </c>
      <c r="N10" s="17"/>
      <c r="O10" s="17"/>
    </row>
    <row r="11" ht="57.75" customHeight="1">
      <c r="A11" s="74" t="s">
        <v>1710</v>
      </c>
      <c r="B11" s="28" t="s">
        <v>107</v>
      </c>
      <c r="C11" s="28" t="s">
        <v>74</v>
      </c>
      <c r="D11" s="19" t="s">
        <v>9</v>
      </c>
      <c r="E11" s="30" t="s">
        <v>1711</v>
      </c>
      <c r="F11" s="30">
        <v>80.0</v>
      </c>
      <c r="G11" s="30">
        <v>96.0</v>
      </c>
      <c r="H11" s="30">
        <v>100.0</v>
      </c>
      <c r="I11" s="30">
        <v>104.0</v>
      </c>
      <c r="J11" s="30">
        <v>112.0</v>
      </c>
      <c r="K11" s="31" t="s">
        <v>117</v>
      </c>
      <c r="L11" s="30" t="s">
        <v>1712</v>
      </c>
      <c r="M11" s="26" t="s">
        <v>43</v>
      </c>
      <c r="N11" s="28"/>
      <c r="O11" s="28"/>
    </row>
    <row r="12" ht="57.75" customHeight="1">
      <c r="A12" s="74" t="s">
        <v>1713</v>
      </c>
      <c r="B12" s="17" t="s">
        <v>107</v>
      </c>
      <c r="C12" s="17" t="s">
        <v>74</v>
      </c>
      <c r="D12" s="19" t="s">
        <v>9</v>
      </c>
      <c r="E12" s="21" t="s">
        <v>1714</v>
      </c>
      <c r="F12" s="21" t="s">
        <v>1715</v>
      </c>
      <c r="G12" s="21" t="s">
        <v>1716</v>
      </c>
      <c r="H12" s="21" t="s">
        <v>1717</v>
      </c>
      <c r="I12" s="21" t="s">
        <v>1718</v>
      </c>
      <c r="J12" s="21" t="s">
        <v>1719</v>
      </c>
      <c r="K12" s="23" t="s">
        <v>40</v>
      </c>
      <c r="L12" s="21" t="s">
        <v>1720</v>
      </c>
      <c r="M12" s="26" t="s">
        <v>43</v>
      </c>
      <c r="N12" s="17"/>
      <c r="O12" s="17"/>
    </row>
    <row r="13" ht="57.75" customHeight="1">
      <c r="A13" s="74" t="s">
        <v>1721</v>
      </c>
      <c r="B13" s="28" t="s">
        <v>107</v>
      </c>
      <c r="C13" s="28" t="s">
        <v>74</v>
      </c>
      <c r="D13" s="19" t="s">
        <v>9</v>
      </c>
      <c r="E13" s="30" t="s">
        <v>1722</v>
      </c>
      <c r="F13" s="30">
        <v>33.0</v>
      </c>
      <c r="G13" s="30">
        <v>35.0</v>
      </c>
      <c r="H13" s="30">
        <v>37.0</v>
      </c>
      <c r="I13" s="30">
        <v>39.0</v>
      </c>
      <c r="J13" s="30">
        <v>41.0</v>
      </c>
      <c r="K13" s="31" t="s">
        <v>95</v>
      </c>
      <c r="L13" s="30" t="s">
        <v>1723</v>
      </c>
      <c r="M13" s="26" t="s">
        <v>43</v>
      </c>
      <c r="N13" s="28"/>
      <c r="O13" s="28"/>
    </row>
    <row r="14" ht="57.75" customHeight="1">
      <c r="A14" s="74" t="s">
        <v>1725</v>
      </c>
      <c r="B14" s="17" t="s">
        <v>107</v>
      </c>
      <c r="C14" s="17" t="s">
        <v>74</v>
      </c>
      <c r="D14" s="19" t="s">
        <v>9</v>
      </c>
      <c r="E14" s="21" t="s">
        <v>1726</v>
      </c>
      <c r="F14" s="21">
        <v>8.0</v>
      </c>
      <c r="G14" s="21">
        <v>9.0</v>
      </c>
      <c r="H14" s="21">
        <v>10.0</v>
      </c>
      <c r="I14" s="21">
        <v>11.0</v>
      </c>
      <c r="J14" s="21">
        <v>12.0</v>
      </c>
      <c r="K14" s="23" t="s">
        <v>95</v>
      </c>
      <c r="L14" s="21" t="s">
        <v>1727</v>
      </c>
      <c r="M14" s="26" t="s">
        <v>43</v>
      </c>
      <c r="N14" s="17"/>
      <c r="O14" s="17"/>
    </row>
    <row r="15" ht="57.75" customHeight="1">
      <c r="A15" s="74" t="s">
        <v>1728</v>
      </c>
      <c r="B15" s="28" t="s">
        <v>107</v>
      </c>
      <c r="C15" s="28" t="s">
        <v>74</v>
      </c>
      <c r="D15" s="19" t="s">
        <v>9</v>
      </c>
      <c r="E15" s="30" t="s">
        <v>1729</v>
      </c>
      <c r="F15" s="30">
        <v>48.0</v>
      </c>
      <c r="G15" s="30">
        <v>56.0</v>
      </c>
      <c r="H15" s="30">
        <v>63.0</v>
      </c>
      <c r="I15" s="30">
        <v>72.0</v>
      </c>
      <c r="J15" s="30">
        <v>80.0</v>
      </c>
      <c r="K15" s="31" t="s">
        <v>95</v>
      </c>
      <c r="L15" s="30" t="s">
        <v>1730</v>
      </c>
      <c r="M15" s="26" t="s">
        <v>43</v>
      </c>
      <c r="N15" s="28"/>
      <c r="O15" s="28"/>
    </row>
    <row r="16" ht="57.75" customHeight="1">
      <c r="A16" s="74" t="s">
        <v>1731</v>
      </c>
      <c r="B16" s="17" t="s">
        <v>107</v>
      </c>
      <c r="C16" s="17" t="s">
        <v>74</v>
      </c>
      <c r="D16" s="19" t="s">
        <v>9</v>
      </c>
      <c r="E16" s="21" t="s">
        <v>1732</v>
      </c>
      <c r="F16" s="21">
        <v>21.0</v>
      </c>
      <c r="G16" s="21">
        <v>34.0</v>
      </c>
      <c r="H16" s="21">
        <v>35.0</v>
      </c>
      <c r="I16" s="21">
        <v>42.0</v>
      </c>
      <c r="J16" s="21">
        <v>55.0</v>
      </c>
      <c r="K16" s="23" t="s">
        <v>95</v>
      </c>
      <c r="L16" s="21" t="s">
        <v>1733</v>
      </c>
      <c r="M16" s="26" t="s">
        <v>43</v>
      </c>
      <c r="N16" s="17"/>
      <c r="O16" s="17"/>
    </row>
    <row r="17" ht="57.75" customHeight="1">
      <c r="A17" s="74" t="s">
        <v>1734</v>
      </c>
      <c r="B17" s="28" t="s">
        <v>107</v>
      </c>
      <c r="C17" s="28" t="s">
        <v>74</v>
      </c>
      <c r="D17" s="19" t="s">
        <v>9</v>
      </c>
      <c r="E17" s="30" t="s">
        <v>1735</v>
      </c>
      <c r="F17" s="30">
        <v>18.0</v>
      </c>
      <c r="G17" s="30">
        <v>20.0</v>
      </c>
      <c r="H17" s="30">
        <v>24.0</v>
      </c>
      <c r="I17" s="30">
        <v>28.0</v>
      </c>
      <c r="J17" s="30">
        <v>32.0</v>
      </c>
      <c r="K17" s="31" t="s">
        <v>95</v>
      </c>
      <c r="L17" s="30" t="s">
        <v>1736</v>
      </c>
      <c r="M17" s="26" t="s">
        <v>43</v>
      </c>
      <c r="N17" s="28"/>
      <c r="O17" s="28"/>
    </row>
    <row r="18" ht="57.75" customHeight="1">
      <c r="A18" s="74" t="s">
        <v>1737</v>
      </c>
      <c r="B18" s="17" t="s">
        <v>107</v>
      </c>
      <c r="C18" s="17" t="s">
        <v>74</v>
      </c>
      <c r="D18" s="19" t="s">
        <v>9</v>
      </c>
      <c r="E18" s="21" t="s">
        <v>1738</v>
      </c>
      <c r="F18" s="21">
        <v>36.0</v>
      </c>
      <c r="G18" s="21">
        <v>40.0</v>
      </c>
      <c r="H18" s="21">
        <v>48.0</v>
      </c>
      <c r="I18" s="21">
        <v>60.0</v>
      </c>
      <c r="J18" s="21">
        <v>72.0</v>
      </c>
      <c r="K18" s="23" t="s">
        <v>95</v>
      </c>
      <c r="L18" s="21" t="s">
        <v>1740</v>
      </c>
      <c r="M18" s="26" t="s">
        <v>43</v>
      </c>
      <c r="N18" s="17"/>
      <c r="O18" s="17"/>
    </row>
    <row r="19" ht="57.75" customHeight="1">
      <c r="A19" s="74" t="s">
        <v>1741</v>
      </c>
      <c r="B19" s="28" t="s">
        <v>107</v>
      </c>
      <c r="C19" s="28" t="s">
        <v>74</v>
      </c>
      <c r="D19" s="19" t="s">
        <v>9</v>
      </c>
      <c r="E19" s="30" t="s">
        <v>1742</v>
      </c>
      <c r="F19" s="30">
        <v>7.0</v>
      </c>
      <c r="G19" s="30">
        <v>12.0</v>
      </c>
      <c r="H19" s="30">
        <v>15.0</v>
      </c>
      <c r="I19" s="30">
        <v>16.0</v>
      </c>
      <c r="J19" s="30">
        <v>31.0</v>
      </c>
      <c r="K19" s="31" t="s">
        <v>95</v>
      </c>
      <c r="L19" s="30" t="s">
        <v>1743</v>
      </c>
      <c r="M19" s="26" t="s">
        <v>43</v>
      </c>
      <c r="N19" s="28"/>
      <c r="O19" s="28"/>
    </row>
    <row r="20" ht="57.75" customHeight="1">
      <c r="A20" s="74" t="s">
        <v>1744</v>
      </c>
      <c r="B20" s="17" t="s">
        <v>107</v>
      </c>
      <c r="C20" s="17" t="s">
        <v>74</v>
      </c>
      <c r="D20" s="19" t="s">
        <v>9</v>
      </c>
      <c r="E20" s="21" t="s">
        <v>1745</v>
      </c>
      <c r="F20" s="21" t="s">
        <v>1746</v>
      </c>
      <c r="G20" s="21" t="s">
        <v>1747</v>
      </c>
      <c r="H20" s="21" t="s">
        <v>1748</v>
      </c>
      <c r="I20" s="21" t="s">
        <v>1749</v>
      </c>
      <c r="J20" s="21" t="s">
        <v>1750</v>
      </c>
      <c r="K20" s="23" t="s">
        <v>64</v>
      </c>
      <c r="L20" s="21" t="s">
        <v>1751</v>
      </c>
      <c r="M20" s="26" t="s">
        <v>43</v>
      </c>
      <c r="N20" s="17"/>
      <c r="O20" s="17"/>
    </row>
    <row r="21" ht="19.5" customHeight="1">
      <c r="A21" s="46" t="s">
        <v>166</v>
      </c>
      <c r="B21" s="3"/>
      <c r="C21" s="3"/>
      <c r="D21" s="3"/>
      <c r="E21" s="3"/>
      <c r="F21" s="3"/>
      <c r="G21" s="3"/>
      <c r="H21" s="3"/>
      <c r="I21" s="3"/>
      <c r="J21" s="3"/>
      <c r="K21" s="3"/>
      <c r="L21" s="3"/>
      <c r="M21" s="3"/>
      <c r="N21" s="3"/>
      <c r="O21" s="4"/>
    </row>
    <row r="22" ht="57.75" customHeight="1">
      <c r="A22" s="74" t="s">
        <v>1752</v>
      </c>
      <c r="B22" s="28" t="s">
        <v>107</v>
      </c>
      <c r="C22" s="28" t="s">
        <v>74</v>
      </c>
      <c r="D22" s="22" t="s">
        <v>11</v>
      </c>
      <c r="E22" s="30" t="s">
        <v>1753</v>
      </c>
      <c r="F22" s="30">
        <v>55.0</v>
      </c>
      <c r="G22" s="30">
        <v>59.0</v>
      </c>
      <c r="H22" s="30">
        <v>63.0</v>
      </c>
      <c r="I22" s="30">
        <v>67.0</v>
      </c>
      <c r="J22" s="30">
        <v>71.0</v>
      </c>
      <c r="K22" s="31" t="s">
        <v>64</v>
      </c>
      <c r="L22" s="30" t="s">
        <v>1754</v>
      </c>
      <c r="M22" s="26" t="s">
        <v>43</v>
      </c>
      <c r="N22" s="28"/>
      <c r="O22" s="28"/>
    </row>
    <row r="23" ht="57.75" customHeight="1">
      <c r="A23" s="74" t="s">
        <v>1755</v>
      </c>
      <c r="B23" s="17" t="s">
        <v>107</v>
      </c>
      <c r="C23" s="17" t="s">
        <v>74</v>
      </c>
      <c r="D23" s="22" t="s">
        <v>11</v>
      </c>
      <c r="E23" s="21" t="s">
        <v>1756</v>
      </c>
      <c r="F23" s="21">
        <v>1533.0</v>
      </c>
      <c r="G23" s="21">
        <v>3069.0</v>
      </c>
      <c r="H23" s="21">
        <v>3072.0</v>
      </c>
      <c r="I23" s="21">
        <v>6141.0</v>
      </c>
      <c r="J23" s="21">
        <v>6144.0</v>
      </c>
      <c r="K23" s="23" t="s">
        <v>64</v>
      </c>
      <c r="L23" s="21" t="s">
        <v>1757</v>
      </c>
      <c r="M23" s="26" t="s">
        <v>43</v>
      </c>
      <c r="N23" s="17"/>
      <c r="O23" s="17"/>
    </row>
    <row r="24" ht="57.75" customHeight="1">
      <c r="A24" s="74" t="s">
        <v>1758</v>
      </c>
      <c r="B24" s="28" t="s">
        <v>107</v>
      </c>
      <c r="C24" s="28" t="s">
        <v>74</v>
      </c>
      <c r="D24" s="22" t="s">
        <v>11</v>
      </c>
      <c r="E24" s="30" t="s">
        <v>1759</v>
      </c>
      <c r="F24" s="30">
        <v>9.0</v>
      </c>
      <c r="G24" s="30">
        <v>10.0</v>
      </c>
      <c r="H24" s="30">
        <v>11.0</v>
      </c>
      <c r="I24" s="30">
        <v>12.0</v>
      </c>
      <c r="J24" s="30">
        <v>13.0</v>
      </c>
      <c r="K24" s="31" t="s">
        <v>95</v>
      </c>
      <c r="L24" s="30" t="s">
        <v>1760</v>
      </c>
      <c r="M24" s="26" t="s">
        <v>43</v>
      </c>
      <c r="N24" s="28"/>
      <c r="O24" s="28"/>
    </row>
    <row r="25" ht="57.75" customHeight="1">
      <c r="A25" s="74" t="s">
        <v>1761</v>
      </c>
      <c r="B25" s="17" t="s">
        <v>107</v>
      </c>
      <c r="C25" s="17" t="s">
        <v>74</v>
      </c>
      <c r="D25" s="22" t="s">
        <v>11</v>
      </c>
      <c r="E25" s="21" t="s">
        <v>1762</v>
      </c>
      <c r="F25" s="35">
        <v>46026.0</v>
      </c>
      <c r="G25" s="35">
        <v>46025.0</v>
      </c>
      <c r="H25" s="35">
        <v>46024.0</v>
      </c>
      <c r="I25" s="35">
        <v>46056.0</v>
      </c>
      <c r="J25" s="35">
        <v>46085.0</v>
      </c>
      <c r="K25" s="23" t="s">
        <v>40</v>
      </c>
      <c r="L25" s="21" t="s">
        <v>1763</v>
      </c>
      <c r="M25" s="26" t="s">
        <v>43</v>
      </c>
      <c r="N25" s="17"/>
      <c r="O25" s="17"/>
    </row>
    <row r="26" ht="57.75" customHeight="1">
      <c r="A26" s="74" t="s">
        <v>1764</v>
      </c>
      <c r="B26" s="28" t="s">
        <v>107</v>
      </c>
      <c r="C26" s="28" t="s">
        <v>74</v>
      </c>
      <c r="D26" s="22" t="s">
        <v>11</v>
      </c>
      <c r="E26" s="30" t="s">
        <v>1765</v>
      </c>
      <c r="F26" s="30">
        <v>99.0</v>
      </c>
      <c r="G26" s="30">
        <v>120.0</v>
      </c>
      <c r="H26" s="30">
        <v>143.0</v>
      </c>
      <c r="I26" s="30">
        <v>168.0</v>
      </c>
      <c r="J26" s="30">
        <v>195.0</v>
      </c>
      <c r="K26" s="31" t="s">
        <v>64</v>
      </c>
      <c r="L26" s="30" t="s">
        <v>1766</v>
      </c>
      <c r="M26" s="26" t="s">
        <v>43</v>
      </c>
      <c r="N26" s="28"/>
      <c r="O26" s="28"/>
    </row>
    <row r="27" ht="57.75" customHeight="1">
      <c r="A27" s="74" t="s">
        <v>1767</v>
      </c>
      <c r="B27" s="17" t="s">
        <v>107</v>
      </c>
      <c r="C27" s="17" t="s">
        <v>74</v>
      </c>
      <c r="D27" s="22" t="s">
        <v>11</v>
      </c>
      <c r="E27" s="21" t="s">
        <v>1768</v>
      </c>
      <c r="F27" s="21">
        <v>9.0</v>
      </c>
      <c r="G27" s="21">
        <v>10.0</v>
      </c>
      <c r="H27" s="21">
        <v>11.0</v>
      </c>
      <c r="I27" s="21">
        <v>12.0</v>
      </c>
      <c r="J27" s="21">
        <v>13.0</v>
      </c>
      <c r="K27" s="23" t="s">
        <v>95</v>
      </c>
      <c r="L27" s="21" t="s">
        <v>1769</v>
      </c>
      <c r="M27" s="26" t="s">
        <v>43</v>
      </c>
      <c r="N27" s="17"/>
      <c r="O27" s="17"/>
    </row>
    <row r="28" ht="57.75" customHeight="1">
      <c r="A28" s="74" t="s">
        <v>1770</v>
      </c>
      <c r="B28" s="28" t="s">
        <v>107</v>
      </c>
      <c r="C28" s="28" t="s">
        <v>74</v>
      </c>
      <c r="D28" s="22" t="s">
        <v>11</v>
      </c>
      <c r="E28" s="30" t="s">
        <v>1771</v>
      </c>
      <c r="F28" s="30">
        <v>144.0</v>
      </c>
      <c r="G28" s="30">
        <v>288.0</v>
      </c>
      <c r="H28" s="30">
        <v>576.0</v>
      </c>
      <c r="I28" s="30">
        <v>1152.0</v>
      </c>
      <c r="J28" s="30">
        <v>2304.0</v>
      </c>
      <c r="K28" s="31" t="s">
        <v>95</v>
      </c>
      <c r="L28" s="30" t="s">
        <v>1773</v>
      </c>
      <c r="M28" s="26" t="s">
        <v>43</v>
      </c>
      <c r="N28" s="28"/>
      <c r="O28" s="28"/>
    </row>
    <row r="29" ht="57.75" customHeight="1">
      <c r="A29" s="74" t="s">
        <v>1774</v>
      </c>
      <c r="B29" s="17" t="s">
        <v>107</v>
      </c>
      <c r="C29" s="17" t="s">
        <v>74</v>
      </c>
      <c r="D29" s="22" t="s">
        <v>11</v>
      </c>
      <c r="E29" s="21" t="s">
        <v>1775</v>
      </c>
      <c r="F29" s="21">
        <v>2.0</v>
      </c>
      <c r="G29" s="21">
        <v>3.0</v>
      </c>
      <c r="H29" s="21">
        <v>4.0</v>
      </c>
      <c r="I29" s="21">
        <v>5.0</v>
      </c>
      <c r="J29" s="21">
        <v>6.0</v>
      </c>
      <c r="K29" s="23" t="s">
        <v>95</v>
      </c>
      <c r="L29" s="21" t="s">
        <v>1776</v>
      </c>
      <c r="M29" s="26" t="s">
        <v>43</v>
      </c>
      <c r="N29" s="17"/>
      <c r="O29" s="17"/>
    </row>
    <row r="30" ht="57.75" customHeight="1">
      <c r="A30" s="74" t="s">
        <v>1777</v>
      </c>
      <c r="B30" s="28" t="s">
        <v>107</v>
      </c>
      <c r="C30" s="28" t="s">
        <v>74</v>
      </c>
      <c r="D30" s="22" t="s">
        <v>11</v>
      </c>
      <c r="E30" s="30" t="s">
        <v>1778</v>
      </c>
      <c r="F30" s="30">
        <v>1.0</v>
      </c>
      <c r="G30" s="30">
        <v>3.0</v>
      </c>
      <c r="H30" s="30">
        <v>5.0</v>
      </c>
      <c r="I30" s="30">
        <v>7.0</v>
      </c>
      <c r="J30" s="30">
        <v>9.0</v>
      </c>
      <c r="K30" s="31" t="s">
        <v>40</v>
      </c>
      <c r="L30" s="30" t="s">
        <v>1779</v>
      </c>
      <c r="M30" s="26" t="s">
        <v>43</v>
      </c>
      <c r="N30" s="28"/>
      <c r="O30" s="28"/>
    </row>
    <row r="31" ht="57.75" customHeight="1">
      <c r="A31" s="74" t="s">
        <v>1780</v>
      </c>
      <c r="B31" s="17" t="s">
        <v>107</v>
      </c>
      <c r="C31" s="17" t="s">
        <v>74</v>
      </c>
      <c r="D31" s="22" t="s">
        <v>11</v>
      </c>
      <c r="E31" s="21" t="s">
        <v>1781</v>
      </c>
      <c r="F31" s="21">
        <v>7.0</v>
      </c>
      <c r="G31" s="21">
        <v>8.0</v>
      </c>
      <c r="H31" s="21">
        <v>9.0</v>
      </c>
      <c r="I31" s="21">
        <v>10.0</v>
      </c>
      <c r="J31" s="21">
        <v>11.0</v>
      </c>
      <c r="K31" s="23" t="s">
        <v>95</v>
      </c>
      <c r="L31" s="21" t="s">
        <v>1782</v>
      </c>
      <c r="M31" s="26" t="s">
        <v>43</v>
      </c>
      <c r="N31" s="17"/>
      <c r="O31" s="17"/>
    </row>
    <row r="32" ht="57.75" customHeight="1">
      <c r="A32" s="74" t="s">
        <v>1783</v>
      </c>
      <c r="B32" s="28" t="s">
        <v>107</v>
      </c>
      <c r="C32" s="28" t="s">
        <v>74</v>
      </c>
      <c r="D32" s="22" t="s">
        <v>11</v>
      </c>
      <c r="E32" s="30" t="s">
        <v>1784</v>
      </c>
      <c r="F32" s="30">
        <v>2.0</v>
      </c>
      <c r="G32" s="30">
        <v>3.0</v>
      </c>
      <c r="H32" s="30">
        <v>4.0</v>
      </c>
      <c r="I32" s="30">
        <v>5.0</v>
      </c>
      <c r="J32" s="30">
        <v>6.0</v>
      </c>
      <c r="K32" s="31" t="s">
        <v>64</v>
      </c>
      <c r="L32" s="30" t="s">
        <v>1787</v>
      </c>
      <c r="M32" s="26" t="s">
        <v>43</v>
      </c>
      <c r="N32" s="28"/>
      <c r="O32" s="28"/>
    </row>
    <row r="33" ht="57.75" customHeight="1">
      <c r="A33" s="74" t="s">
        <v>1789</v>
      </c>
      <c r="B33" s="17" t="s">
        <v>107</v>
      </c>
      <c r="C33" s="17" t="s">
        <v>74</v>
      </c>
      <c r="D33" s="22" t="s">
        <v>11</v>
      </c>
      <c r="E33" s="21" t="s">
        <v>1792</v>
      </c>
      <c r="F33" s="21">
        <v>3.0</v>
      </c>
      <c r="G33" s="21">
        <v>4.0</v>
      </c>
      <c r="H33" s="21">
        <v>5.0</v>
      </c>
      <c r="I33" s="21">
        <v>6.0</v>
      </c>
      <c r="J33" s="21">
        <v>7.0</v>
      </c>
      <c r="K33" s="23" t="s">
        <v>64</v>
      </c>
      <c r="L33" s="21" t="s">
        <v>1794</v>
      </c>
      <c r="M33" s="26" t="s">
        <v>43</v>
      </c>
      <c r="N33" s="17"/>
      <c r="O33" s="17"/>
    </row>
    <row r="34" ht="57.75" customHeight="1">
      <c r="A34" s="74" t="s">
        <v>1795</v>
      </c>
      <c r="B34" s="28" t="s">
        <v>107</v>
      </c>
      <c r="C34" s="28" t="s">
        <v>74</v>
      </c>
      <c r="D34" s="22" t="s">
        <v>11</v>
      </c>
      <c r="E34" s="30" t="s">
        <v>1797</v>
      </c>
      <c r="F34" s="30" t="s">
        <v>1798</v>
      </c>
      <c r="G34" s="30" t="s">
        <v>1799</v>
      </c>
      <c r="H34" s="30" t="s">
        <v>1800</v>
      </c>
      <c r="I34" s="30" t="s">
        <v>1801</v>
      </c>
      <c r="J34" s="30" t="s">
        <v>1802</v>
      </c>
      <c r="K34" s="31" t="s">
        <v>95</v>
      </c>
      <c r="L34" s="30" t="s">
        <v>1803</v>
      </c>
      <c r="M34" s="26" t="s">
        <v>43</v>
      </c>
      <c r="N34" s="28"/>
      <c r="O34" s="28"/>
    </row>
    <row r="35" ht="57.75" customHeight="1">
      <c r="A35" s="74" t="s">
        <v>1804</v>
      </c>
      <c r="B35" s="17" t="s">
        <v>107</v>
      </c>
      <c r="C35" s="17" t="s">
        <v>74</v>
      </c>
      <c r="D35" s="22" t="s">
        <v>11</v>
      </c>
      <c r="E35" s="21" t="s">
        <v>1806</v>
      </c>
      <c r="F35" s="21">
        <v>121.0</v>
      </c>
      <c r="G35" s="21">
        <v>242.0</v>
      </c>
      <c r="H35" s="21">
        <v>243.0</v>
      </c>
      <c r="I35" s="21">
        <v>484.0</v>
      </c>
      <c r="J35" s="21">
        <v>486.0</v>
      </c>
      <c r="K35" s="23" t="s">
        <v>64</v>
      </c>
      <c r="L35" s="21" t="s">
        <v>1807</v>
      </c>
      <c r="M35" s="26" t="s">
        <v>43</v>
      </c>
      <c r="N35" s="17"/>
      <c r="O35" s="17"/>
    </row>
    <row r="36" ht="57.75" customHeight="1">
      <c r="A36" s="74" t="s">
        <v>1808</v>
      </c>
      <c r="B36" s="28" t="s">
        <v>107</v>
      </c>
      <c r="C36" s="28" t="s">
        <v>74</v>
      </c>
      <c r="D36" s="22" t="s">
        <v>11</v>
      </c>
      <c r="E36" s="30" t="s">
        <v>1809</v>
      </c>
      <c r="F36" s="30" t="s">
        <v>1810</v>
      </c>
      <c r="G36" s="30" t="s">
        <v>1812</v>
      </c>
      <c r="H36" s="30" t="s">
        <v>1813</v>
      </c>
      <c r="I36" s="30" t="s">
        <v>1815</v>
      </c>
      <c r="J36" s="30" t="s">
        <v>1817</v>
      </c>
      <c r="K36" s="31" t="s">
        <v>64</v>
      </c>
      <c r="L36" s="30" t="s">
        <v>1819</v>
      </c>
      <c r="M36" s="26" t="s">
        <v>43</v>
      </c>
      <c r="N36" s="28"/>
      <c r="O36" s="28"/>
    </row>
    <row r="37" ht="19.5" customHeight="1">
      <c r="A37" s="63" t="s">
        <v>279</v>
      </c>
      <c r="B37" s="3"/>
      <c r="C37" s="3"/>
      <c r="D37" s="3"/>
      <c r="E37" s="3"/>
      <c r="F37" s="3"/>
      <c r="G37" s="3"/>
      <c r="H37" s="3"/>
      <c r="I37" s="3"/>
      <c r="J37" s="3"/>
      <c r="K37" s="3"/>
      <c r="L37" s="3"/>
      <c r="M37" s="3"/>
      <c r="N37" s="3"/>
      <c r="O37" s="4"/>
    </row>
    <row r="38" ht="57.75" customHeight="1">
      <c r="A38" s="74" t="s">
        <v>1825</v>
      </c>
      <c r="B38" s="17" t="s">
        <v>107</v>
      </c>
      <c r="C38" s="17" t="s">
        <v>74</v>
      </c>
      <c r="D38" s="24" t="s">
        <v>12</v>
      </c>
      <c r="E38" s="21" t="s">
        <v>1828</v>
      </c>
      <c r="F38" s="21">
        <v>34.0</v>
      </c>
      <c r="G38" s="21">
        <v>38.0</v>
      </c>
      <c r="H38" s="21">
        <v>42.0</v>
      </c>
      <c r="I38" s="21">
        <v>46.0</v>
      </c>
      <c r="J38" s="21">
        <v>50.0</v>
      </c>
      <c r="K38" s="23" t="s">
        <v>95</v>
      </c>
      <c r="L38" s="21" t="s">
        <v>1830</v>
      </c>
      <c r="M38" s="26" t="s">
        <v>43</v>
      </c>
      <c r="N38" s="17"/>
      <c r="O38" s="17"/>
    </row>
    <row r="39" ht="57.75" customHeight="1">
      <c r="A39" s="74" t="s">
        <v>1832</v>
      </c>
      <c r="B39" s="28" t="s">
        <v>107</v>
      </c>
      <c r="C39" s="28" t="s">
        <v>74</v>
      </c>
      <c r="D39" s="24" t="s">
        <v>12</v>
      </c>
      <c r="E39" s="30" t="s">
        <v>1833</v>
      </c>
      <c r="F39" s="30">
        <v>128.0</v>
      </c>
      <c r="G39" s="30">
        <v>256.0</v>
      </c>
      <c r="H39" s="30">
        <v>512.0</v>
      </c>
      <c r="I39" s="30">
        <v>1024.0</v>
      </c>
      <c r="J39" s="30">
        <v>2048.0</v>
      </c>
      <c r="K39" s="31" t="s">
        <v>95</v>
      </c>
      <c r="L39" s="30" t="s">
        <v>1839</v>
      </c>
      <c r="M39" s="26" t="s">
        <v>43</v>
      </c>
      <c r="N39" s="28"/>
      <c r="O39" s="28"/>
    </row>
    <row r="40" ht="57.75" customHeight="1">
      <c r="A40" s="74" t="s">
        <v>1841</v>
      </c>
      <c r="B40" s="17" t="s">
        <v>107</v>
      </c>
      <c r="C40" s="17" t="s">
        <v>74</v>
      </c>
      <c r="D40" s="24" t="s">
        <v>12</v>
      </c>
      <c r="E40" s="21" t="s">
        <v>1843</v>
      </c>
      <c r="F40" s="21">
        <v>64.0</v>
      </c>
      <c r="G40" s="21">
        <v>81.0</v>
      </c>
      <c r="H40" s="21">
        <v>100.0</v>
      </c>
      <c r="I40" s="21">
        <v>121.0</v>
      </c>
      <c r="J40" s="21">
        <v>144.0</v>
      </c>
      <c r="K40" s="23" t="s">
        <v>95</v>
      </c>
      <c r="L40" s="21" t="s">
        <v>1845</v>
      </c>
      <c r="M40" s="26" t="s">
        <v>43</v>
      </c>
      <c r="N40" s="17"/>
      <c r="O40" s="17"/>
    </row>
    <row r="41" ht="57.75" customHeight="1">
      <c r="A41" s="74" t="s">
        <v>1847</v>
      </c>
      <c r="B41" s="28" t="s">
        <v>107</v>
      </c>
      <c r="C41" s="28" t="s">
        <v>74</v>
      </c>
      <c r="D41" s="24" t="s">
        <v>12</v>
      </c>
      <c r="E41" s="30" t="s">
        <v>1848</v>
      </c>
      <c r="F41" s="30">
        <v>18.0</v>
      </c>
      <c r="G41" s="30">
        <v>21.0</v>
      </c>
      <c r="H41" s="30">
        <v>27.0</v>
      </c>
      <c r="I41" s="30">
        <v>32.0</v>
      </c>
      <c r="J41" s="30">
        <v>36.0</v>
      </c>
      <c r="K41" s="31" t="s">
        <v>95</v>
      </c>
      <c r="L41" s="30" t="s">
        <v>1850</v>
      </c>
      <c r="M41" s="26" t="s">
        <v>43</v>
      </c>
      <c r="N41" s="28"/>
      <c r="O41" s="28"/>
    </row>
    <row r="42" ht="57.75" customHeight="1">
      <c r="A42" s="74" t="s">
        <v>1852</v>
      </c>
      <c r="B42" s="17" t="s">
        <v>107</v>
      </c>
      <c r="C42" s="17" t="s">
        <v>74</v>
      </c>
      <c r="D42" s="24" t="s">
        <v>12</v>
      </c>
      <c r="E42" s="21" t="s">
        <v>1854</v>
      </c>
      <c r="F42" s="21" t="s">
        <v>1855</v>
      </c>
      <c r="G42" s="21" t="s">
        <v>1856</v>
      </c>
      <c r="H42" s="21" t="s">
        <v>1858</v>
      </c>
      <c r="I42" s="21" t="s">
        <v>1859</v>
      </c>
      <c r="J42" s="21" t="s">
        <v>1860</v>
      </c>
      <c r="K42" s="23" t="s">
        <v>95</v>
      </c>
      <c r="L42" s="21" t="s">
        <v>1863</v>
      </c>
      <c r="M42" s="26" t="s">
        <v>43</v>
      </c>
      <c r="N42" s="17"/>
      <c r="O42" s="17"/>
    </row>
    <row r="43" ht="57.75" customHeight="1">
      <c r="A43" s="74" t="s">
        <v>1865</v>
      </c>
      <c r="B43" s="28" t="s">
        <v>107</v>
      </c>
      <c r="C43" s="28" t="s">
        <v>74</v>
      </c>
      <c r="D43" s="24" t="s">
        <v>12</v>
      </c>
      <c r="E43" s="30" t="s">
        <v>1866</v>
      </c>
      <c r="F43" s="30">
        <v>28.0</v>
      </c>
      <c r="G43" s="30">
        <v>30.0</v>
      </c>
      <c r="H43" s="30">
        <v>34.0</v>
      </c>
      <c r="I43" s="30">
        <v>38.0</v>
      </c>
      <c r="J43" s="30">
        <v>42.0</v>
      </c>
      <c r="K43" s="31" t="s">
        <v>95</v>
      </c>
      <c r="L43" s="30" t="s">
        <v>1869</v>
      </c>
      <c r="M43" s="26" t="s">
        <v>43</v>
      </c>
      <c r="N43" s="28"/>
      <c r="O43" s="28"/>
    </row>
    <row r="44" ht="57.75" customHeight="1">
      <c r="A44" s="74" t="s">
        <v>1871</v>
      </c>
      <c r="B44" s="17" t="s">
        <v>107</v>
      </c>
      <c r="C44" s="17" t="s">
        <v>74</v>
      </c>
      <c r="D44" s="24" t="s">
        <v>12</v>
      </c>
      <c r="E44" s="21" t="s">
        <v>1873</v>
      </c>
      <c r="F44" s="21">
        <v>729.0</v>
      </c>
      <c r="G44" s="21">
        <v>1458.0</v>
      </c>
      <c r="H44" s="21">
        <v>2187.0</v>
      </c>
      <c r="I44" s="21">
        <v>2916.0</v>
      </c>
      <c r="J44" s="21">
        <v>6561.0</v>
      </c>
      <c r="K44" s="23" t="s">
        <v>95</v>
      </c>
      <c r="L44" s="21" t="s">
        <v>1875</v>
      </c>
      <c r="M44" s="26" t="s">
        <v>43</v>
      </c>
      <c r="N44" s="17"/>
      <c r="O44" s="17"/>
    </row>
    <row r="45" ht="57.75" customHeight="1">
      <c r="A45" s="74" t="s">
        <v>1877</v>
      </c>
      <c r="B45" s="28" t="s">
        <v>107</v>
      </c>
      <c r="C45" s="28" t="s">
        <v>74</v>
      </c>
      <c r="D45" s="24" t="s">
        <v>12</v>
      </c>
      <c r="E45" s="30" t="s">
        <v>1879</v>
      </c>
      <c r="F45" s="30">
        <v>81.0</v>
      </c>
      <c r="G45" s="30">
        <v>89.0</v>
      </c>
      <c r="H45" s="30">
        <v>97.0</v>
      </c>
      <c r="I45" s="30">
        <v>105.0</v>
      </c>
      <c r="J45" s="30">
        <v>113.0</v>
      </c>
      <c r="K45" s="31" t="s">
        <v>95</v>
      </c>
      <c r="L45" s="30" t="s">
        <v>1884</v>
      </c>
      <c r="M45" s="26" t="s">
        <v>43</v>
      </c>
      <c r="N45" s="28"/>
      <c r="O45" s="28"/>
    </row>
    <row r="46" ht="57.75" customHeight="1">
      <c r="A46" s="74" t="s">
        <v>1886</v>
      </c>
      <c r="B46" s="17" t="s">
        <v>107</v>
      </c>
      <c r="C46" s="17" t="s">
        <v>74</v>
      </c>
      <c r="D46" s="24" t="s">
        <v>12</v>
      </c>
      <c r="E46" s="21" t="s">
        <v>1887</v>
      </c>
      <c r="F46" s="21">
        <v>120.0</v>
      </c>
      <c r="G46" s="21">
        <v>144.0</v>
      </c>
      <c r="H46" s="21">
        <v>162.0</v>
      </c>
      <c r="I46" s="21">
        <v>180.0</v>
      </c>
      <c r="J46" s="21">
        <v>216.0</v>
      </c>
      <c r="K46" s="23" t="s">
        <v>95</v>
      </c>
      <c r="L46" s="21" t="s">
        <v>1890</v>
      </c>
      <c r="M46" s="26" t="s">
        <v>43</v>
      </c>
      <c r="N46" s="17"/>
      <c r="O46" s="17"/>
    </row>
    <row r="47" ht="57.75" customHeight="1">
      <c r="A47" s="74" t="s">
        <v>1891</v>
      </c>
      <c r="B47" s="28" t="s">
        <v>107</v>
      </c>
      <c r="C47" s="28" t="s">
        <v>74</v>
      </c>
      <c r="D47" s="24" t="s">
        <v>12</v>
      </c>
      <c r="E47" s="30" t="s">
        <v>1894</v>
      </c>
      <c r="F47" s="30" t="s">
        <v>1896</v>
      </c>
      <c r="G47" s="30" t="s">
        <v>1897</v>
      </c>
      <c r="H47" s="30" t="s">
        <v>1860</v>
      </c>
      <c r="I47" s="30" t="s">
        <v>1899</v>
      </c>
      <c r="J47" s="30" t="s">
        <v>1798</v>
      </c>
      <c r="K47" s="31" t="s">
        <v>95</v>
      </c>
      <c r="L47" s="30" t="s">
        <v>1900</v>
      </c>
      <c r="M47" s="26" t="s">
        <v>43</v>
      </c>
      <c r="N47" s="28"/>
      <c r="O47" s="28"/>
    </row>
    <row r="48" ht="57.75" customHeight="1">
      <c r="A48" s="74" t="s">
        <v>1902</v>
      </c>
      <c r="B48" s="17" t="s">
        <v>107</v>
      </c>
      <c r="C48" s="17" t="s">
        <v>74</v>
      </c>
      <c r="D48" s="24" t="s">
        <v>12</v>
      </c>
      <c r="E48" s="21" t="s">
        <v>1903</v>
      </c>
      <c r="F48" s="21">
        <v>43.0</v>
      </c>
      <c r="G48" s="21">
        <v>46.0</v>
      </c>
      <c r="H48" s="21">
        <v>49.0</v>
      </c>
      <c r="I48" s="21">
        <v>52.0</v>
      </c>
      <c r="J48" s="21">
        <v>55.0</v>
      </c>
      <c r="K48" s="23" t="s">
        <v>95</v>
      </c>
      <c r="L48" s="21" t="s">
        <v>1906</v>
      </c>
      <c r="M48" s="26" t="s">
        <v>43</v>
      </c>
      <c r="N48" s="17"/>
      <c r="O48" s="17"/>
    </row>
    <row r="49" ht="57.75" customHeight="1">
      <c r="A49" s="74" t="s">
        <v>1907</v>
      </c>
      <c r="B49" s="28" t="s">
        <v>107</v>
      </c>
      <c r="C49" s="28" t="s">
        <v>74</v>
      </c>
      <c r="D49" s="24" t="s">
        <v>12</v>
      </c>
      <c r="E49" s="30" t="s">
        <v>1909</v>
      </c>
      <c r="F49" s="30">
        <v>625.0</v>
      </c>
      <c r="G49" s="30">
        <v>15625.0</v>
      </c>
      <c r="H49" s="30">
        <v>3125.0</v>
      </c>
      <c r="I49" s="30">
        <v>6250.0</v>
      </c>
      <c r="J49" s="30">
        <v>78125.0</v>
      </c>
      <c r="K49" s="31" t="s">
        <v>95</v>
      </c>
      <c r="L49" s="30" t="s">
        <v>1912</v>
      </c>
      <c r="M49" s="26" t="s">
        <v>43</v>
      </c>
      <c r="N49" s="28"/>
      <c r="O49" s="28"/>
    </row>
    <row r="50" ht="57.75" customHeight="1">
      <c r="A50" s="74" t="s">
        <v>1914</v>
      </c>
      <c r="B50" s="17" t="s">
        <v>107</v>
      </c>
      <c r="C50" s="17" t="s">
        <v>74</v>
      </c>
      <c r="D50" s="24" t="s">
        <v>12</v>
      </c>
      <c r="E50" s="21" t="s">
        <v>1917</v>
      </c>
      <c r="F50" s="21">
        <v>140.0</v>
      </c>
      <c r="G50" s="21">
        <v>150.0</v>
      </c>
      <c r="H50" s="21">
        <v>160.0</v>
      </c>
      <c r="I50" s="21">
        <v>170.0</v>
      </c>
      <c r="J50" s="21">
        <v>180.0</v>
      </c>
      <c r="K50" s="23" t="s">
        <v>95</v>
      </c>
      <c r="L50" s="21" t="s">
        <v>1921</v>
      </c>
      <c r="M50" s="26" t="s">
        <v>43</v>
      </c>
      <c r="N50" s="17"/>
      <c r="O50" s="17"/>
    </row>
    <row r="51" ht="57.75" customHeight="1">
      <c r="A51" s="74" t="s">
        <v>1923</v>
      </c>
      <c r="B51" s="28" t="s">
        <v>107</v>
      </c>
      <c r="C51" s="28" t="s">
        <v>74</v>
      </c>
      <c r="D51" s="24" t="s">
        <v>12</v>
      </c>
      <c r="E51" s="30" t="s">
        <v>1926</v>
      </c>
      <c r="F51" s="30">
        <v>720.0</v>
      </c>
      <c r="G51" s="30">
        <v>780.0</v>
      </c>
      <c r="H51" s="30">
        <v>840.0</v>
      </c>
      <c r="I51" s="30">
        <v>900.0</v>
      </c>
      <c r="J51" s="30">
        <v>960.0</v>
      </c>
      <c r="K51" s="31" t="s">
        <v>95</v>
      </c>
      <c r="L51" s="30" t="s">
        <v>1932</v>
      </c>
      <c r="M51" s="26" t="s">
        <v>43</v>
      </c>
      <c r="N51" s="28"/>
      <c r="O51" s="28"/>
    </row>
    <row r="52" ht="57.75" customHeight="1">
      <c r="A52" s="74" t="s">
        <v>1934</v>
      </c>
      <c r="B52" s="17" t="s">
        <v>107</v>
      </c>
      <c r="C52" s="17" t="s">
        <v>74</v>
      </c>
      <c r="D52" s="24" t="s">
        <v>12</v>
      </c>
      <c r="E52" s="21" t="s">
        <v>1936</v>
      </c>
      <c r="F52" s="21" t="s">
        <v>1858</v>
      </c>
      <c r="G52" s="21" t="s">
        <v>1938</v>
      </c>
      <c r="H52" s="21" t="s">
        <v>1896</v>
      </c>
      <c r="I52" s="21" t="s">
        <v>1939</v>
      </c>
      <c r="J52" s="21" t="s">
        <v>1860</v>
      </c>
      <c r="K52" s="23" t="s">
        <v>95</v>
      </c>
      <c r="L52" s="21" t="s">
        <v>1942</v>
      </c>
      <c r="M52" s="26" t="s">
        <v>43</v>
      </c>
      <c r="N52" s="17"/>
      <c r="O52" s="17"/>
    </row>
    <row r="53" ht="25.5" customHeight="1">
      <c r="A53" s="55" t="s">
        <v>1944</v>
      </c>
      <c r="B53" s="57"/>
      <c r="C53" s="57"/>
      <c r="D53" s="57"/>
      <c r="E53" s="57"/>
      <c r="F53" s="57"/>
      <c r="G53" s="57"/>
      <c r="H53" s="57"/>
      <c r="I53" s="57"/>
      <c r="J53" s="58"/>
      <c r="M53" s="7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76" t="s">
        <v>1724</v>
      </c>
      <c r="B1" s="3"/>
      <c r="C1" s="3"/>
      <c r="D1" s="3"/>
      <c r="E1" s="3"/>
      <c r="F1" s="3"/>
      <c r="G1" s="3"/>
      <c r="H1" s="3"/>
      <c r="I1" s="3"/>
      <c r="J1" s="3"/>
      <c r="K1" s="3"/>
      <c r="L1" s="3"/>
      <c r="M1" s="3"/>
      <c r="N1" s="3"/>
      <c r="O1" s="4"/>
    </row>
    <row r="2" ht="30.0" customHeight="1">
      <c r="A2" s="77" t="s">
        <v>1739</v>
      </c>
      <c r="B2" s="3"/>
      <c r="C2" s="3"/>
      <c r="D2" s="3"/>
      <c r="E2" s="3"/>
      <c r="F2" s="3"/>
      <c r="G2" s="3"/>
      <c r="H2" s="3"/>
      <c r="I2" s="3"/>
      <c r="J2" s="3"/>
      <c r="K2" s="3"/>
      <c r="L2" s="3"/>
      <c r="M2" s="3"/>
      <c r="N2" s="3"/>
      <c r="O2" s="4"/>
    </row>
    <row r="3" ht="19.5" customHeight="1">
      <c r="A3" s="7" t="s">
        <v>6</v>
      </c>
      <c r="B3" s="3"/>
      <c r="C3" s="3"/>
      <c r="D3" s="3"/>
      <c r="E3" s="3"/>
      <c r="F3" s="3"/>
      <c r="G3" s="3"/>
      <c r="H3" s="3"/>
      <c r="I3" s="3"/>
      <c r="J3" s="3"/>
      <c r="K3" s="3"/>
      <c r="L3" s="3"/>
      <c r="M3" s="3"/>
      <c r="N3" s="3"/>
      <c r="O3" s="4"/>
    </row>
    <row r="4" ht="24.75" customHeight="1">
      <c r="A4" s="9" t="s">
        <v>8</v>
      </c>
      <c r="B4" s="9" t="s">
        <v>7</v>
      </c>
      <c r="C4" s="9" t="s">
        <v>13</v>
      </c>
      <c r="D4" s="9" t="s">
        <v>15</v>
      </c>
      <c r="E4" s="9" t="s">
        <v>17</v>
      </c>
      <c r="F4" s="9" t="s">
        <v>18</v>
      </c>
      <c r="G4" s="9" t="s">
        <v>20</v>
      </c>
      <c r="H4" s="9" t="s">
        <v>21</v>
      </c>
      <c r="I4" s="9" t="s">
        <v>22</v>
      </c>
      <c r="J4" s="9" t="s">
        <v>23</v>
      </c>
      <c r="K4" s="9" t="s">
        <v>25</v>
      </c>
      <c r="L4" s="9" t="s">
        <v>26</v>
      </c>
      <c r="M4" s="9" t="s">
        <v>19</v>
      </c>
      <c r="N4" s="9" t="s">
        <v>27</v>
      </c>
      <c r="O4" s="9" t="s">
        <v>28</v>
      </c>
    </row>
    <row r="5" ht="19.5" customHeight="1">
      <c r="A5" s="13" t="s">
        <v>29</v>
      </c>
      <c r="B5" s="3"/>
      <c r="C5" s="3"/>
      <c r="D5" s="3"/>
      <c r="E5" s="3"/>
      <c r="F5" s="3"/>
      <c r="G5" s="3"/>
      <c r="H5" s="3"/>
      <c r="I5" s="3"/>
      <c r="J5" s="3"/>
      <c r="K5" s="3"/>
      <c r="L5" s="3"/>
      <c r="M5" s="3"/>
      <c r="N5" s="3"/>
      <c r="O5" s="4"/>
    </row>
    <row r="6" ht="57.75" customHeight="1">
      <c r="A6" s="78" t="s">
        <v>1772</v>
      </c>
      <c r="B6" s="17" t="s">
        <v>120</v>
      </c>
      <c r="C6" s="17" t="s">
        <v>116</v>
      </c>
      <c r="D6" s="19" t="s">
        <v>9</v>
      </c>
      <c r="E6" s="21" t="s">
        <v>1785</v>
      </c>
      <c r="F6" s="21" t="s">
        <v>1786</v>
      </c>
      <c r="G6" s="21" t="s">
        <v>1788</v>
      </c>
      <c r="H6" s="21" t="s">
        <v>1790</v>
      </c>
      <c r="I6" s="21" t="s">
        <v>1791</v>
      </c>
      <c r="J6" s="21" t="s">
        <v>1793</v>
      </c>
      <c r="K6" s="23" t="s">
        <v>95</v>
      </c>
      <c r="L6" s="21" t="s">
        <v>1796</v>
      </c>
      <c r="M6" s="26" t="s">
        <v>43</v>
      </c>
      <c r="N6" s="17"/>
      <c r="O6" s="17"/>
    </row>
    <row r="7" ht="57.75" customHeight="1">
      <c r="A7" s="78" t="s">
        <v>1805</v>
      </c>
      <c r="B7" s="28" t="s">
        <v>120</v>
      </c>
      <c r="C7" s="28" t="s">
        <v>116</v>
      </c>
      <c r="D7" s="19" t="s">
        <v>9</v>
      </c>
      <c r="E7" s="30" t="s">
        <v>1811</v>
      </c>
      <c r="F7" s="30" t="s">
        <v>1814</v>
      </c>
      <c r="G7" s="30" t="s">
        <v>1816</v>
      </c>
      <c r="H7" s="30" t="s">
        <v>1791</v>
      </c>
      <c r="I7" s="30" t="s">
        <v>1818</v>
      </c>
      <c r="J7" s="30" t="s">
        <v>1820</v>
      </c>
      <c r="K7" s="31" t="s">
        <v>64</v>
      </c>
      <c r="L7" s="30" t="s">
        <v>1821</v>
      </c>
      <c r="M7" s="26" t="s">
        <v>43</v>
      </c>
      <c r="N7" s="28"/>
      <c r="O7" s="28"/>
    </row>
    <row r="8" ht="57.75" customHeight="1">
      <c r="A8" s="78" t="s">
        <v>1822</v>
      </c>
      <c r="B8" s="17" t="s">
        <v>120</v>
      </c>
      <c r="C8" s="17" t="s">
        <v>116</v>
      </c>
      <c r="D8" s="19" t="s">
        <v>9</v>
      </c>
      <c r="E8" s="21" t="s">
        <v>1823</v>
      </c>
      <c r="F8" s="21" t="s">
        <v>1824</v>
      </c>
      <c r="G8" s="21" t="s">
        <v>1786</v>
      </c>
      <c r="H8" s="21" t="s">
        <v>1826</v>
      </c>
      <c r="I8" s="21" t="s">
        <v>1827</v>
      </c>
      <c r="J8" s="21" t="s">
        <v>1790</v>
      </c>
      <c r="K8" s="23" t="s">
        <v>64</v>
      </c>
      <c r="L8" s="21" t="s">
        <v>1829</v>
      </c>
      <c r="M8" s="26" t="s">
        <v>43</v>
      </c>
      <c r="N8" s="17"/>
      <c r="O8" s="17"/>
    </row>
    <row r="9" ht="57.75" customHeight="1">
      <c r="A9" s="78" t="s">
        <v>1831</v>
      </c>
      <c r="B9" s="28" t="s">
        <v>120</v>
      </c>
      <c r="C9" s="28" t="s">
        <v>116</v>
      </c>
      <c r="D9" s="19" t="s">
        <v>9</v>
      </c>
      <c r="E9" s="30" t="s">
        <v>1834</v>
      </c>
      <c r="F9" s="30" t="s">
        <v>1835</v>
      </c>
      <c r="G9" s="30" t="s">
        <v>1836</v>
      </c>
      <c r="H9" s="30" t="s">
        <v>1837</v>
      </c>
      <c r="I9" s="30" t="s">
        <v>1838</v>
      </c>
      <c r="J9" s="30" t="s">
        <v>1840</v>
      </c>
      <c r="K9" s="31" t="s">
        <v>64</v>
      </c>
      <c r="L9" s="30" t="s">
        <v>1842</v>
      </c>
      <c r="M9" s="26" t="s">
        <v>43</v>
      </c>
      <c r="N9" s="28"/>
      <c r="O9" s="28"/>
    </row>
    <row r="10" ht="57.75" customHeight="1">
      <c r="A10" s="78" t="s">
        <v>1844</v>
      </c>
      <c r="B10" s="17" t="s">
        <v>120</v>
      </c>
      <c r="C10" s="17" t="s">
        <v>116</v>
      </c>
      <c r="D10" s="19" t="s">
        <v>9</v>
      </c>
      <c r="E10" s="21" t="s">
        <v>1846</v>
      </c>
      <c r="F10" s="21">
        <v>10.0</v>
      </c>
      <c r="G10" s="21">
        <v>20.0</v>
      </c>
      <c r="H10" s="21">
        <v>24.0</v>
      </c>
      <c r="I10" s="21">
        <v>40.0</v>
      </c>
      <c r="J10" s="21">
        <v>48.0</v>
      </c>
      <c r="K10" s="23" t="s">
        <v>64</v>
      </c>
      <c r="L10" s="21" t="s">
        <v>1849</v>
      </c>
      <c r="M10" s="26" t="s">
        <v>43</v>
      </c>
      <c r="N10" s="17"/>
      <c r="O10" s="17"/>
    </row>
    <row r="11" ht="57.75" customHeight="1">
      <c r="A11" s="78" t="s">
        <v>1851</v>
      </c>
      <c r="B11" s="28" t="s">
        <v>120</v>
      </c>
      <c r="C11" s="28" t="s">
        <v>116</v>
      </c>
      <c r="D11" s="19" t="s">
        <v>9</v>
      </c>
      <c r="E11" s="30" t="s">
        <v>1853</v>
      </c>
      <c r="F11" s="30" t="s">
        <v>576</v>
      </c>
      <c r="G11" s="30" t="s">
        <v>1857</v>
      </c>
      <c r="H11" s="30" t="s">
        <v>1788</v>
      </c>
      <c r="I11" s="30" t="s">
        <v>1861</v>
      </c>
      <c r="J11" s="30" t="s">
        <v>1862</v>
      </c>
      <c r="K11" s="31" t="s">
        <v>95</v>
      </c>
      <c r="L11" s="30" t="s">
        <v>1864</v>
      </c>
      <c r="M11" s="26" t="s">
        <v>43</v>
      </c>
      <c r="N11" s="28"/>
      <c r="O11" s="28"/>
    </row>
    <row r="12" ht="57.75" customHeight="1">
      <c r="A12" s="78" t="s">
        <v>1867</v>
      </c>
      <c r="B12" s="17" t="s">
        <v>120</v>
      </c>
      <c r="C12" s="17" t="s">
        <v>116</v>
      </c>
      <c r="D12" s="19" t="s">
        <v>9</v>
      </c>
      <c r="E12" s="21" t="s">
        <v>1868</v>
      </c>
      <c r="F12" s="21" t="s">
        <v>1870</v>
      </c>
      <c r="G12" s="21" t="s">
        <v>1816</v>
      </c>
      <c r="H12" s="21" t="s">
        <v>1861</v>
      </c>
      <c r="I12" s="21" t="s">
        <v>1791</v>
      </c>
      <c r="J12" s="21" t="s">
        <v>1872</v>
      </c>
      <c r="K12" s="23" t="s">
        <v>64</v>
      </c>
      <c r="L12" s="21" t="s">
        <v>1874</v>
      </c>
      <c r="M12" s="26" t="s">
        <v>43</v>
      </c>
      <c r="N12" s="17"/>
      <c r="O12" s="17"/>
    </row>
    <row r="13" ht="57.75" customHeight="1">
      <c r="A13" s="78" t="s">
        <v>1876</v>
      </c>
      <c r="B13" s="28" t="s">
        <v>120</v>
      </c>
      <c r="C13" s="28" t="s">
        <v>116</v>
      </c>
      <c r="D13" s="19" t="s">
        <v>9</v>
      </c>
      <c r="E13" s="30" t="s">
        <v>1878</v>
      </c>
      <c r="F13" s="30" t="s">
        <v>1880</v>
      </c>
      <c r="G13" s="30" t="s">
        <v>1881</v>
      </c>
      <c r="H13" s="30" t="s">
        <v>1882</v>
      </c>
      <c r="I13" s="30" t="s">
        <v>1883</v>
      </c>
      <c r="J13" s="30" t="s">
        <v>1885</v>
      </c>
      <c r="K13" s="31" t="s">
        <v>95</v>
      </c>
      <c r="L13" s="30" t="s">
        <v>1888</v>
      </c>
      <c r="M13" s="26" t="s">
        <v>43</v>
      </c>
      <c r="N13" s="28"/>
      <c r="O13" s="28"/>
    </row>
    <row r="14" ht="57.75" customHeight="1">
      <c r="A14" s="78" t="s">
        <v>1889</v>
      </c>
      <c r="B14" s="17" t="s">
        <v>120</v>
      </c>
      <c r="C14" s="17" t="s">
        <v>116</v>
      </c>
      <c r="D14" s="19" t="s">
        <v>9</v>
      </c>
      <c r="E14" s="21" t="s">
        <v>1892</v>
      </c>
      <c r="F14" s="21" t="s">
        <v>1893</v>
      </c>
      <c r="G14" s="21" t="s">
        <v>1895</v>
      </c>
      <c r="H14" s="21" t="s">
        <v>572</v>
      </c>
      <c r="I14" s="21" t="s">
        <v>1898</v>
      </c>
      <c r="J14" s="21" t="s">
        <v>574</v>
      </c>
      <c r="K14" s="23" t="s">
        <v>40</v>
      </c>
      <c r="L14" s="21" t="s">
        <v>1901</v>
      </c>
      <c r="M14" s="26" t="s">
        <v>43</v>
      </c>
      <c r="N14" s="17"/>
      <c r="O14" s="17"/>
    </row>
    <row r="15" ht="57.75" customHeight="1">
      <c r="A15" s="78" t="s">
        <v>1904</v>
      </c>
      <c r="B15" s="28" t="s">
        <v>120</v>
      </c>
      <c r="C15" s="28" t="s">
        <v>116</v>
      </c>
      <c r="D15" s="19" t="s">
        <v>9</v>
      </c>
      <c r="E15" s="30" t="s">
        <v>1905</v>
      </c>
      <c r="F15" s="30" t="s">
        <v>1786</v>
      </c>
      <c r="G15" s="30" t="s">
        <v>1870</v>
      </c>
      <c r="H15" s="30" t="s">
        <v>1790</v>
      </c>
      <c r="I15" s="30" t="s">
        <v>1908</v>
      </c>
      <c r="J15" s="30" t="s">
        <v>1910</v>
      </c>
      <c r="K15" s="31" t="s">
        <v>95</v>
      </c>
      <c r="L15" s="30" t="s">
        <v>1911</v>
      </c>
      <c r="M15" s="26" t="s">
        <v>43</v>
      </c>
      <c r="N15" s="28"/>
      <c r="O15" s="28"/>
    </row>
    <row r="16" ht="57.75" customHeight="1">
      <c r="A16" s="78" t="s">
        <v>1913</v>
      </c>
      <c r="B16" s="17" t="s">
        <v>120</v>
      </c>
      <c r="C16" s="17" t="s">
        <v>116</v>
      </c>
      <c r="D16" s="19" t="s">
        <v>9</v>
      </c>
      <c r="E16" s="21" t="s">
        <v>1915</v>
      </c>
      <c r="F16" s="21" t="s">
        <v>1916</v>
      </c>
      <c r="G16" s="21" t="s">
        <v>574</v>
      </c>
      <c r="H16" s="21" t="s">
        <v>1918</v>
      </c>
      <c r="I16" s="21" t="s">
        <v>1786</v>
      </c>
      <c r="J16" s="21" t="s">
        <v>1919</v>
      </c>
      <c r="K16" s="23" t="s">
        <v>95</v>
      </c>
      <c r="L16" s="21" t="s">
        <v>1920</v>
      </c>
      <c r="M16" s="26" t="s">
        <v>43</v>
      </c>
      <c r="N16" s="17"/>
      <c r="O16" s="17"/>
    </row>
    <row r="17" ht="57.75" customHeight="1">
      <c r="A17" s="78" t="s">
        <v>1922</v>
      </c>
      <c r="B17" s="28" t="s">
        <v>120</v>
      </c>
      <c r="C17" s="28" t="s">
        <v>116</v>
      </c>
      <c r="D17" s="19" t="s">
        <v>9</v>
      </c>
      <c r="E17" s="30" t="s">
        <v>1924</v>
      </c>
      <c r="F17" s="30" t="s">
        <v>1925</v>
      </c>
      <c r="G17" s="30" t="s">
        <v>1927</v>
      </c>
      <c r="H17" s="30" t="s">
        <v>1928</v>
      </c>
      <c r="I17" s="30" t="s">
        <v>1929</v>
      </c>
      <c r="J17" s="30" t="s">
        <v>1930</v>
      </c>
      <c r="K17" s="31" t="s">
        <v>64</v>
      </c>
      <c r="L17" s="30" t="s">
        <v>1931</v>
      </c>
      <c r="M17" s="26" t="s">
        <v>43</v>
      </c>
      <c r="N17" s="28"/>
      <c r="O17" s="28"/>
    </row>
    <row r="18" ht="57.75" customHeight="1">
      <c r="A18" s="78" t="s">
        <v>1933</v>
      </c>
      <c r="B18" s="17" t="s">
        <v>120</v>
      </c>
      <c r="C18" s="17" t="s">
        <v>116</v>
      </c>
      <c r="D18" s="19" t="s">
        <v>9</v>
      </c>
      <c r="E18" s="21" t="s">
        <v>1935</v>
      </c>
      <c r="F18" s="21" t="s">
        <v>576</v>
      </c>
      <c r="G18" s="21" t="s">
        <v>1937</v>
      </c>
      <c r="H18" s="21" t="s">
        <v>1788</v>
      </c>
      <c r="I18" s="21" t="s">
        <v>1861</v>
      </c>
      <c r="J18" s="21" t="s">
        <v>1940</v>
      </c>
      <c r="K18" s="23" t="s">
        <v>95</v>
      </c>
      <c r="L18" s="21" t="s">
        <v>1941</v>
      </c>
      <c r="M18" s="26" t="s">
        <v>43</v>
      </c>
      <c r="N18" s="17"/>
      <c r="O18" s="17"/>
    </row>
    <row r="19" ht="57.75" customHeight="1">
      <c r="A19" s="78" t="s">
        <v>1943</v>
      </c>
      <c r="B19" s="28" t="s">
        <v>120</v>
      </c>
      <c r="C19" s="28" t="s">
        <v>116</v>
      </c>
      <c r="D19" s="19" t="s">
        <v>9</v>
      </c>
      <c r="E19" s="30" t="s">
        <v>1945</v>
      </c>
      <c r="F19" s="30">
        <v>14.0</v>
      </c>
      <c r="G19" s="30">
        <v>20.0</v>
      </c>
      <c r="H19" s="30">
        <v>28.0</v>
      </c>
      <c r="I19" s="30">
        <v>40.0</v>
      </c>
      <c r="J19" s="30">
        <v>80.0</v>
      </c>
      <c r="K19" s="31" t="s">
        <v>95</v>
      </c>
      <c r="L19" s="30" t="s">
        <v>1946</v>
      </c>
      <c r="M19" s="26" t="s">
        <v>43</v>
      </c>
      <c r="N19" s="28"/>
      <c r="O19" s="28"/>
    </row>
    <row r="20" ht="57.75" customHeight="1">
      <c r="A20" s="78" t="s">
        <v>1947</v>
      </c>
      <c r="B20" s="17" t="s">
        <v>120</v>
      </c>
      <c r="C20" s="17" t="s">
        <v>116</v>
      </c>
      <c r="D20" s="19" t="s">
        <v>9</v>
      </c>
      <c r="E20" s="21" t="s">
        <v>1948</v>
      </c>
      <c r="F20" s="21" t="s">
        <v>573</v>
      </c>
      <c r="G20" s="21" t="s">
        <v>574</v>
      </c>
      <c r="H20" s="21" t="s">
        <v>575</v>
      </c>
      <c r="I20" s="21" t="s">
        <v>576</v>
      </c>
      <c r="J20" s="21" t="s">
        <v>1950</v>
      </c>
      <c r="K20" s="23" t="s">
        <v>95</v>
      </c>
      <c r="L20" s="21" t="s">
        <v>1951</v>
      </c>
      <c r="M20" s="26" t="s">
        <v>43</v>
      </c>
      <c r="N20" s="17"/>
      <c r="O20" s="17"/>
    </row>
    <row r="21" ht="19.5" customHeight="1">
      <c r="A21" s="46" t="s">
        <v>166</v>
      </c>
      <c r="B21" s="3"/>
      <c r="C21" s="3"/>
      <c r="D21" s="3"/>
      <c r="E21" s="3"/>
      <c r="F21" s="3"/>
      <c r="G21" s="3"/>
      <c r="H21" s="3"/>
      <c r="I21" s="3"/>
      <c r="J21" s="3"/>
      <c r="K21" s="3"/>
      <c r="L21" s="3"/>
      <c r="M21" s="3"/>
      <c r="N21" s="3"/>
      <c r="O21" s="4"/>
    </row>
    <row r="22" ht="57.75" customHeight="1">
      <c r="A22" s="78" t="s">
        <v>1953</v>
      </c>
      <c r="B22" s="28" t="s">
        <v>120</v>
      </c>
      <c r="C22" s="28" t="s">
        <v>116</v>
      </c>
      <c r="D22" s="22" t="s">
        <v>11</v>
      </c>
      <c r="E22" s="30" t="s">
        <v>1954</v>
      </c>
      <c r="F22" s="30" t="s">
        <v>1955</v>
      </c>
      <c r="G22" s="30" t="s">
        <v>1956</v>
      </c>
      <c r="H22" s="30" t="s">
        <v>1957</v>
      </c>
      <c r="I22" s="30" t="s">
        <v>1958</v>
      </c>
      <c r="J22" s="30" t="s">
        <v>1959</v>
      </c>
      <c r="K22" s="31" t="s">
        <v>64</v>
      </c>
      <c r="L22" s="30" t="s">
        <v>1961</v>
      </c>
      <c r="M22" s="26" t="s">
        <v>43</v>
      </c>
      <c r="N22" s="28"/>
      <c r="O22" s="28"/>
    </row>
    <row r="23" ht="57.75" customHeight="1">
      <c r="A23" s="78" t="s">
        <v>1962</v>
      </c>
      <c r="B23" s="17" t="s">
        <v>120</v>
      </c>
      <c r="C23" s="17" t="s">
        <v>116</v>
      </c>
      <c r="D23" s="22" t="s">
        <v>11</v>
      </c>
      <c r="E23" s="21" t="s">
        <v>1963</v>
      </c>
      <c r="F23" s="21" t="s">
        <v>1964</v>
      </c>
      <c r="G23" s="21" t="s">
        <v>1826</v>
      </c>
      <c r="H23" s="21" t="s">
        <v>1965</v>
      </c>
      <c r="I23" s="21" t="s">
        <v>1861</v>
      </c>
      <c r="J23" s="21" t="s">
        <v>1966</v>
      </c>
      <c r="K23" s="23" t="s">
        <v>95</v>
      </c>
      <c r="L23" s="21" t="s">
        <v>1968</v>
      </c>
      <c r="M23" s="26" t="s">
        <v>43</v>
      </c>
      <c r="N23" s="17"/>
      <c r="O23" s="17"/>
    </row>
    <row r="24" ht="57.75" customHeight="1">
      <c r="A24" s="78" t="s">
        <v>1969</v>
      </c>
      <c r="B24" s="28" t="s">
        <v>120</v>
      </c>
      <c r="C24" s="28" t="s">
        <v>116</v>
      </c>
      <c r="D24" s="22" t="s">
        <v>11</v>
      </c>
      <c r="E24" s="30" t="s">
        <v>1970</v>
      </c>
      <c r="F24" s="30" t="s">
        <v>619</v>
      </c>
      <c r="G24" s="30" t="s">
        <v>620</v>
      </c>
      <c r="H24" s="30" t="s">
        <v>1971</v>
      </c>
      <c r="I24" s="30" t="s">
        <v>1972</v>
      </c>
      <c r="J24" s="30" t="s">
        <v>622</v>
      </c>
      <c r="K24" s="31" t="s">
        <v>40</v>
      </c>
      <c r="L24" s="30" t="s">
        <v>1973</v>
      </c>
      <c r="M24" s="26" t="s">
        <v>43</v>
      </c>
      <c r="N24" s="28"/>
      <c r="O24" s="28"/>
    </row>
    <row r="25" ht="57.75" customHeight="1">
      <c r="A25" s="78" t="s">
        <v>1974</v>
      </c>
      <c r="B25" s="17" t="s">
        <v>120</v>
      </c>
      <c r="C25" s="17" t="s">
        <v>116</v>
      </c>
      <c r="D25" s="22" t="s">
        <v>11</v>
      </c>
      <c r="E25" s="21" t="s">
        <v>1976</v>
      </c>
      <c r="F25" s="21" t="s">
        <v>1977</v>
      </c>
      <c r="G25" s="21" t="s">
        <v>576</v>
      </c>
      <c r="H25" s="21" t="s">
        <v>1786</v>
      </c>
      <c r="I25" s="21" t="s">
        <v>1826</v>
      </c>
      <c r="J25" s="21" t="s">
        <v>1790</v>
      </c>
      <c r="K25" s="23" t="s">
        <v>95</v>
      </c>
      <c r="L25" s="21" t="s">
        <v>1978</v>
      </c>
      <c r="M25" s="26" t="s">
        <v>43</v>
      </c>
      <c r="N25" s="17"/>
      <c r="O25" s="17"/>
    </row>
    <row r="26" ht="57.75" customHeight="1">
      <c r="A26" s="78" t="s">
        <v>1980</v>
      </c>
      <c r="B26" s="28" t="s">
        <v>120</v>
      </c>
      <c r="C26" s="28" t="s">
        <v>116</v>
      </c>
      <c r="D26" s="22" t="s">
        <v>11</v>
      </c>
      <c r="E26" s="30" t="s">
        <v>1981</v>
      </c>
      <c r="F26" s="30" t="s">
        <v>1982</v>
      </c>
      <c r="G26" s="30" t="s">
        <v>1984</v>
      </c>
      <c r="H26" s="30" t="s">
        <v>1985</v>
      </c>
      <c r="I26" s="30" t="s">
        <v>1986</v>
      </c>
      <c r="J26" s="30" t="s">
        <v>1987</v>
      </c>
      <c r="K26" s="31" t="s">
        <v>64</v>
      </c>
      <c r="L26" s="30" t="s">
        <v>1989</v>
      </c>
      <c r="M26" s="26" t="s">
        <v>43</v>
      </c>
      <c r="N26" s="28"/>
      <c r="O26" s="28"/>
    </row>
    <row r="27" ht="57.75" customHeight="1">
      <c r="A27" s="78" t="s">
        <v>1990</v>
      </c>
      <c r="B27" s="17" t="s">
        <v>120</v>
      </c>
      <c r="C27" s="17" t="s">
        <v>116</v>
      </c>
      <c r="D27" s="22" t="s">
        <v>11</v>
      </c>
      <c r="E27" s="21" t="s">
        <v>1993</v>
      </c>
      <c r="F27" s="21" t="s">
        <v>1994</v>
      </c>
      <c r="G27" s="21" t="s">
        <v>1827</v>
      </c>
      <c r="H27" s="21" t="s">
        <v>1995</v>
      </c>
      <c r="I27" s="21" t="s">
        <v>1872</v>
      </c>
      <c r="J27" s="21" t="s">
        <v>1996</v>
      </c>
      <c r="K27" s="23" t="s">
        <v>64</v>
      </c>
      <c r="L27" s="21" t="s">
        <v>1998</v>
      </c>
      <c r="M27" s="26" t="s">
        <v>43</v>
      </c>
      <c r="N27" s="17"/>
      <c r="O27" s="17"/>
    </row>
    <row r="28" ht="57.75" customHeight="1">
      <c r="A28" s="78" t="s">
        <v>2002</v>
      </c>
      <c r="B28" s="28" t="s">
        <v>120</v>
      </c>
      <c r="C28" s="28" t="s">
        <v>116</v>
      </c>
      <c r="D28" s="22" t="s">
        <v>11</v>
      </c>
      <c r="E28" s="30" t="s">
        <v>2003</v>
      </c>
      <c r="F28" s="30" t="s">
        <v>1837</v>
      </c>
      <c r="G28" s="30" t="s">
        <v>1927</v>
      </c>
      <c r="H28" s="30" t="s">
        <v>2005</v>
      </c>
      <c r="I28" s="30" t="s">
        <v>2007</v>
      </c>
      <c r="J28" s="30" t="s">
        <v>1840</v>
      </c>
      <c r="K28" s="31" t="s">
        <v>40</v>
      </c>
      <c r="L28" s="30" t="s">
        <v>2010</v>
      </c>
      <c r="M28" s="26" t="s">
        <v>43</v>
      </c>
      <c r="N28" s="28"/>
      <c r="O28" s="28"/>
    </row>
    <row r="29" ht="57.75" customHeight="1">
      <c r="A29" s="78" t="s">
        <v>2012</v>
      </c>
      <c r="B29" s="17" t="s">
        <v>120</v>
      </c>
      <c r="C29" s="17" t="s">
        <v>116</v>
      </c>
      <c r="D29" s="22" t="s">
        <v>11</v>
      </c>
      <c r="E29" s="21" t="s">
        <v>2015</v>
      </c>
      <c r="F29" s="21" t="s">
        <v>1919</v>
      </c>
      <c r="G29" s="21" t="s">
        <v>1790</v>
      </c>
      <c r="H29" s="21" t="s">
        <v>1995</v>
      </c>
      <c r="I29" s="21" t="s">
        <v>2018</v>
      </c>
      <c r="J29" s="21" t="s">
        <v>2019</v>
      </c>
      <c r="K29" s="23" t="s">
        <v>64</v>
      </c>
      <c r="L29" s="21" t="s">
        <v>2023</v>
      </c>
      <c r="M29" s="26" t="s">
        <v>43</v>
      </c>
      <c r="N29" s="17"/>
      <c r="O29" s="17"/>
    </row>
    <row r="30" ht="57.75" customHeight="1">
      <c r="A30" s="78" t="s">
        <v>2027</v>
      </c>
      <c r="B30" s="28" t="s">
        <v>120</v>
      </c>
      <c r="C30" s="28" t="s">
        <v>116</v>
      </c>
      <c r="D30" s="22" t="s">
        <v>11</v>
      </c>
      <c r="E30" s="30" t="s">
        <v>2033</v>
      </c>
      <c r="F30" s="30" t="s">
        <v>2036</v>
      </c>
      <c r="G30" s="30" t="s">
        <v>1827</v>
      </c>
      <c r="H30" s="30" t="s">
        <v>1836</v>
      </c>
      <c r="I30" s="30" t="s">
        <v>2038</v>
      </c>
      <c r="J30" s="30" t="s">
        <v>2018</v>
      </c>
      <c r="K30" s="31" t="s">
        <v>95</v>
      </c>
      <c r="L30" s="30" t="s">
        <v>2042</v>
      </c>
      <c r="M30" s="26" t="s">
        <v>43</v>
      </c>
      <c r="N30" s="28"/>
      <c r="O30" s="28"/>
    </row>
    <row r="31" ht="57.75" customHeight="1">
      <c r="A31" s="78" t="s">
        <v>2046</v>
      </c>
      <c r="B31" s="17" t="s">
        <v>120</v>
      </c>
      <c r="C31" s="17" t="s">
        <v>116</v>
      </c>
      <c r="D31" s="22" t="s">
        <v>11</v>
      </c>
      <c r="E31" s="21" t="s">
        <v>2050</v>
      </c>
      <c r="F31" s="21" t="s">
        <v>1964</v>
      </c>
      <c r="G31" s="21" t="s">
        <v>1826</v>
      </c>
      <c r="H31" s="21" t="s">
        <v>1965</v>
      </c>
      <c r="I31" s="21" t="s">
        <v>1790</v>
      </c>
      <c r="J31" s="21" t="s">
        <v>2056</v>
      </c>
      <c r="K31" s="23" t="s">
        <v>95</v>
      </c>
      <c r="L31" s="21" t="s">
        <v>2062</v>
      </c>
      <c r="M31" s="26" t="s">
        <v>43</v>
      </c>
      <c r="N31" s="17"/>
      <c r="O31" s="17"/>
    </row>
    <row r="32" ht="57.75" customHeight="1">
      <c r="A32" s="78" t="s">
        <v>2068</v>
      </c>
      <c r="B32" s="28" t="s">
        <v>120</v>
      </c>
      <c r="C32" s="28" t="s">
        <v>116</v>
      </c>
      <c r="D32" s="22" t="s">
        <v>11</v>
      </c>
      <c r="E32" s="30" t="s">
        <v>2073</v>
      </c>
      <c r="F32" s="30" t="s">
        <v>2075</v>
      </c>
      <c r="G32" s="30" t="s">
        <v>2077</v>
      </c>
      <c r="H32" s="30" t="s">
        <v>2079</v>
      </c>
      <c r="I32" s="30" t="s">
        <v>2081</v>
      </c>
      <c r="J32" s="30" t="s">
        <v>2084</v>
      </c>
      <c r="K32" s="31" t="s">
        <v>117</v>
      </c>
      <c r="L32" s="30" t="s">
        <v>2086</v>
      </c>
      <c r="M32" s="26" t="s">
        <v>43</v>
      </c>
      <c r="N32" s="28"/>
      <c r="O32" s="28"/>
    </row>
    <row r="33" ht="57.75" customHeight="1">
      <c r="A33" s="78" t="s">
        <v>2090</v>
      </c>
      <c r="B33" s="17" t="s">
        <v>120</v>
      </c>
      <c r="C33" s="17" t="s">
        <v>116</v>
      </c>
      <c r="D33" s="22" t="s">
        <v>11</v>
      </c>
      <c r="E33" s="21" t="s">
        <v>2093</v>
      </c>
      <c r="F33" s="21" t="s">
        <v>1836</v>
      </c>
      <c r="G33" s="21" t="s">
        <v>2096</v>
      </c>
      <c r="H33" s="21" t="s">
        <v>2098</v>
      </c>
      <c r="I33" s="21" t="s">
        <v>1837</v>
      </c>
      <c r="J33" s="21" t="s">
        <v>2101</v>
      </c>
      <c r="K33" s="23" t="s">
        <v>95</v>
      </c>
      <c r="L33" s="21" t="s">
        <v>2105</v>
      </c>
      <c r="M33" s="26" t="s">
        <v>43</v>
      </c>
      <c r="N33" s="17"/>
      <c r="O33" s="17"/>
    </row>
    <row r="34" ht="57.75" customHeight="1">
      <c r="A34" s="78" t="s">
        <v>2110</v>
      </c>
      <c r="B34" s="28" t="s">
        <v>120</v>
      </c>
      <c r="C34" s="28" t="s">
        <v>116</v>
      </c>
      <c r="D34" s="22" t="s">
        <v>11</v>
      </c>
      <c r="E34" s="30" t="s">
        <v>2113</v>
      </c>
      <c r="F34" s="30" t="s">
        <v>1916</v>
      </c>
      <c r="G34" s="30" t="s">
        <v>2115</v>
      </c>
      <c r="H34" s="30" t="s">
        <v>1977</v>
      </c>
      <c r="I34" s="30" t="s">
        <v>1918</v>
      </c>
      <c r="J34" s="30" t="s">
        <v>2119</v>
      </c>
      <c r="K34" s="31" t="s">
        <v>40</v>
      </c>
      <c r="L34" s="30" t="s">
        <v>2122</v>
      </c>
      <c r="M34" s="26" t="s">
        <v>43</v>
      </c>
      <c r="N34" s="28"/>
      <c r="O34" s="28"/>
    </row>
    <row r="35" ht="57.75" customHeight="1">
      <c r="A35" s="78" t="s">
        <v>2128</v>
      </c>
      <c r="B35" s="17" t="s">
        <v>120</v>
      </c>
      <c r="C35" s="17" t="s">
        <v>116</v>
      </c>
      <c r="D35" s="22" t="s">
        <v>11</v>
      </c>
      <c r="E35" s="21" t="s">
        <v>2134</v>
      </c>
      <c r="F35" s="21">
        <v>14.0</v>
      </c>
      <c r="G35" s="21">
        <v>20.0</v>
      </c>
      <c r="H35" s="21">
        <v>24.0</v>
      </c>
      <c r="I35" s="21">
        <v>48.0</v>
      </c>
      <c r="J35" s="21">
        <v>60.0</v>
      </c>
      <c r="K35" s="23" t="s">
        <v>95</v>
      </c>
      <c r="L35" s="21" t="s">
        <v>2140</v>
      </c>
      <c r="M35" s="26" t="s">
        <v>43</v>
      </c>
      <c r="N35" s="17"/>
      <c r="O35" s="17"/>
    </row>
    <row r="36" ht="57.75" customHeight="1">
      <c r="A36" s="78" t="s">
        <v>2142</v>
      </c>
      <c r="B36" s="28" t="s">
        <v>120</v>
      </c>
      <c r="C36" s="28" t="s">
        <v>116</v>
      </c>
      <c r="D36" s="22" t="s">
        <v>11</v>
      </c>
      <c r="E36" s="30" t="s">
        <v>2145</v>
      </c>
      <c r="F36" s="30" t="s">
        <v>2146</v>
      </c>
      <c r="G36" s="30" t="s">
        <v>2149</v>
      </c>
      <c r="H36" s="30" t="s">
        <v>2151</v>
      </c>
      <c r="I36" s="30" t="s">
        <v>2153</v>
      </c>
      <c r="J36" s="30" t="s">
        <v>2156</v>
      </c>
      <c r="K36" s="31" t="s">
        <v>64</v>
      </c>
      <c r="L36" s="30" t="s">
        <v>2159</v>
      </c>
      <c r="M36" s="26" t="s">
        <v>43</v>
      </c>
      <c r="N36" s="28"/>
      <c r="O36" s="28"/>
    </row>
    <row r="37" ht="19.5" customHeight="1">
      <c r="A37" s="63" t="s">
        <v>279</v>
      </c>
      <c r="B37" s="3"/>
      <c r="C37" s="3"/>
      <c r="D37" s="3"/>
      <c r="E37" s="3"/>
      <c r="F37" s="3"/>
      <c r="G37" s="3"/>
      <c r="H37" s="3"/>
      <c r="I37" s="3"/>
      <c r="J37" s="3"/>
      <c r="K37" s="3"/>
      <c r="L37" s="3"/>
      <c r="M37" s="3"/>
      <c r="N37" s="3"/>
      <c r="O37" s="4"/>
    </row>
    <row r="38" ht="57.75" customHeight="1">
      <c r="A38" s="78" t="s">
        <v>2179</v>
      </c>
      <c r="B38" s="17" t="s">
        <v>120</v>
      </c>
      <c r="C38" s="17" t="s">
        <v>116</v>
      </c>
      <c r="D38" s="24" t="s">
        <v>12</v>
      </c>
      <c r="E38" s="21" t="s">
        <v>2189</v>
      </c>
      <c r="F38" s="21" t="s">
        <v>858</v>
      </c>
      <c r="G38" s="21" t="s">
        <v>859</v>
      </c>
      <c r="H38" s="21" t="s">
        <v>299</v>
      </c>
      <c r="I38" s="21" t="s">
        <v>301</v>
      </c>
      <c r="J38" s="21" t="s">
        <v>861</v>
      </c>
      <c r="K38" s="23" t="s">
        <v>40</v>
      </c>
      <c r="L38" s="21" t="s">
        <v>2200</v>
      </c>
      <c r="M38" s="26" t="s">
        <v>43</v>
      </c>
      <c r="N38" s="17"/>
      <c r="O38" s="17"/>
    </row>
    <row r="39" ht="57.75" customHeight="1">
      <c r="A39" s="78" t="s">
        <v>2205</v>
      </c>
      <c r="B39" s="28" t="s">
        <v>120</v>
      </c>
      <c r="C39" s="28" t="s">
        <v>116</v>
      </c>
      <c r="D39" s="24" t="s">
        <v>12</v>
      </c>
      <c r="E39" s="30" t="s">
        <v>2210</v>
      </c>
      <c r="F39" s="30" t="s">
        <v>2212</v>
      </c>
      <c r="G39" s="30" t="s">
        <v>2214</v>
      </c>
      <c r="H39" s="30" t="s">
        <v>2217</v>
      </c>
      <c r="I39" s="30" t="s">
        <v>2226</v>
      </c>
      <c r="J39" s="30" t="s">
        <v>2228</v>
      </c>
      <c r="K39" s="31" t="s">
        <v>95</v>
      </c>
      <c r="L39" s="30" t="s">
        <v>2231</v>
      </c>
      <c r="M39" s="26" t="s">
        <v>43</v>
      </c>
      <c r="N39" s="28"/>
      <c r="O39" s="28"/>
    </row>
    <row r="40" ht="57.75" customHeight="1">
      <c r="A40" s="78" t="s">
        <v>2236</v>
      </c>
      <c r="B40" s="17" t="s">
        <v>120</v>
      </c>
      <c r="C40" s="17" t="s">
        <v>116</v>
      </c>
      <c r="D40" s="24" t="s">
        <v>12</v>
      </c>
      <c r="E40" s="21" t="s">
        <v>2243</v>
      </c>
      <c r="F40" s="21">
        <v>24.0</v>
      </c>
      <c r="G40" s="21">
        <v>26.0</v>
      </c>
      <c r="H40" s="21">
        <v>28.0</v>
      </c>
      <c r="I40" s="21">
        <v>30.0</v>
      </c>
      <c r="J40" s="21">
        <v>32.0</v>
      </c>
      <c r="K40" s="23" t="s">
        <v>64</v>
      </c>
      <c r="L40" s="21" t="s">
        <v>2252</v>
      </c>
      <c r="M40" s="26" t="s">
        <v>43</v>
      </c>
      <c r="N40" s="17"/>
      <c r="O40" s="17"/>
    </row>
    <row r="41" ht="57.75" customHeight="1">
      <c r="A41" s="78" t="s">
        <v>2256</v>
      </c>
      <c r="B41" s="28" t="s">
        <v>120</v>
      </c>
      <c r="C41" s="28" t="s">
        <v>116</v>
      </c>
      <c r="D41" s="24" t="s">
        <v>12</v>
      </c>
      <c r="E41" s="30" t="s">
        <v>2264</v>
      </c>
      <c r="F41" s="30" t="s">
        <v>2056</v>
      </c>
      <c r="G41" s="30" t="s">
        <v>2267</v>
      </c>
      <c r="H41" s="30" t="s">
        <v>1996</v>
      </c>
      <c r="I41" s="30" t="s">
        <v>2271</v>
      </c>
      <c r="J41" s="30" t="s">
        <v>2274</v>
      </c>
      <c r="K41" s="31" t="s">
        <v>117</v>
      </c>
      <c r="L41" s="30" t="s">
        <v>2281</v>
      </c>
      <c r="M41" s="26" t="s">
        <v>43</v>
      </c>
      <c r="N41" s="28"/>
      <c r="O41" s="28"/>
    </row>
    <row r="42" ht="57.75" customHeight="1">
      <c r="A42" s="78" t="s">
        <v>2285</v>
      </c>
      <c r="B42" s="17" t="s">
        <v>120</v>
      </c>
      <c r="C42" s="17" t="s">
        <v>116</v>
      </c>
      <c r="D42" s="24" t="s">
        <v>12</v>
      </c>
      <c r="E42" s="21" t="s">
        <v>2288</v>
      </c>
      <c r="F42" s="21" t="s">
        <v>2290</v>
      </c>
      <c r="G42" s="21" t="s">
        <v>2294</v>
      </c>
      <c r="H42" s="21" t="s">
        <v>572</v>
      </c>
      <c r="I42" s="21" t="s">
        <v>1916</v>
      </c>
      <c r="J42" s="21" t="s">
        <v>1898</v>
      </c>
      <c r="K42" s="23" t="s">
        <v>40</v>
      </c>
      <c r="L42" s="21" t="s">
        <v>2300</v>
      </c>
      <c r="M42" s="26" t="s">
        <v>43</v>
      </c>
      <c r="N42" s="17"/>
      <c r="O42" s="17"/>
    </row>
    <row r="43" ht="57.75" customHeight="1">
      <c r="A43" s="78" t="s">
        <v>2304</v>
      </c>
      <c r="B43" s="28" t="s">
        <v>120</v>
      </c>
      <c r="C43" s="28" t="s">
        <v>116</v>
      </c>
      <c r="D43" s="24" t="s">
        <v>12</v>
      </c>
      <c r="E43" s="30" t="s">
        <v>2311</v>
      </c>
      <c r="F43" s="30" t="s">
        <v>1965</v>
      </c>
      <c r="G43" s="30" t="s">
        <v>1790</v>
      </c>
      <c r="H43" s="30" t="s">
        <v>1861</v>
      </c>
      <c r="I43" s="30" t="s">
        <v>1791</v>
      </c>
      <c r="J43" s="30" t="s">
        <v>1925</v>
      </c>
      <c r="K43" s="31" t="s">
        <v>64</v>
      </c>
      <c r="L43" s="30" t="s">
        <v>2319</v>
      </c>
      <c r="M43" s="26" t="s">
        <v>43</v>
      </c>
      <c r="N43" s="28"/>
      <c r="O43" s="28"/>
    </row>
    <row r="44" ht="57.75" customHeight="1">
      <c r="A44" s="78" t="s">
        <v>2324</v>
      </c>
      <c r="B44" s="17" t="s">
        <v>120</v>
      </c>
      <c r="C44" s="17" t="s">
        <v>116</v>
      </c>
      <c r="D44" s="24" t="s">
        <v>12</v>
      </c>
      <c r="E44" s="21" t="s">
        <v>2328</v>
      </c>
      <c r="F44" s="21" t="s">
        <v>1898</v>
      </c>
      <c r="G44" s="21" t="s">
        <v>575</v>
      </c>
      <c r="H44" s="21" t="s">
        <v>1824</v>
      </c>
      <c r="I44" s="21" t="s">
        <v>1937</v>
      </c>
      <c r="J44" s="21" t="s">
        <v>1826</v>
      </c>
      <c r="K44" s="23" t="s">
        <v>95</v>
      </c>
      <c r="L44" s="21" t="s">
        <v>2334</v>
      </c>
      <c r="M44" s="26" t="s">
        <v>43</v>
      </c>
      <c r="N44" s="17"/>
      <c r="O44" s="17"/>
    </row>
    <row r="45" ht="57.75" customHeight="1">
      <c r="A45" s="78" t="s">
        <v>2337</v>
      </c>
      <c r="B45" s="28" t="s">
        <v>120</v>
      </c>
      <c r="C45" s="28" t="s">
        <v>116</v>
      </c>
      <c r="D45" s="24" t="s">
        <v>12</v>
      </c>
      <c r="E45" s="30" t="s">
        <v>2340</v>
      </c>
      <c r="F45" s="30" t="s">
        <v>2294</v>
      </c>
      <c r="G45" s="30" t="s">
        <v>572</v>
      </c>
      <c r="H45" s="30" t="s">
        <v>1916</v>
      </c>
      <c r="I45" s="30" t="s">
        <v>1898</v>
      </c>
      <c r="J45" s="30" t="s">
        <v>574</v>
      </c>
      <c r="K45" s="31" t="s">
        <v>40</v>
      </c>
      <c r="L45" s="30" t="s">
        <v>2350</v>
      </c>
      <c r="M45" s="26" t="s">
        <v>43</v>
      </c>
      <c r="N45" s="28"/>
      <c r="O45" s="28"/>
    </row>
    <row r="46" ht="57.75" customHeight="1">
      <c r="A46" s="78" t="s">
        <v>2358</v>
      </c>
      <c r="B46" s="17" t="s">
        <v>120</v>
      </c>
      <c r="C46" s="17" t="s">
        <v>116</v>
      </c>
      <c r="D46" s="24" t="s">
        <v>12</v>
      </c>
      <c r="E46" s="21" t="s">
        <v>2362</v>
      </c>
      <c r="F46" s="21" t="s">
        <v>1836</v>
      </c>
      <c r="G46" s="21" t="s">
        <v>1925</v>
      </c>
      <c r="H46" s="21" t="s">
        <v>2364</v>
      </c>
      <c r="I46" s="21" t="s">
        <v>1837</v>
      </c>
      <c r="J46" s="21" t="s">
        <v>1927</v>
      </c>
      <c r="K46" s="23" t="s">
        <v>117</v>
      </c>
      <c r="L46" s="21" t="s">
        <v>2367</v>
      </c>
      <c r="M46" s="26" t="s">
        <v>43</v>
      </c>
      <c r="N46" s="17"/>
      <c r="O46" s="17"/>
    </row>
    <row r="47" ht="57.75" customHeight="1">
      <c r="A47" s="78" t="s">
        <v>2369</v>
      </c>
      <c r="B47" s="28" t="s">
        <v>120</v>
      </c>
      <c r="C47" s="28" t="s">
        <v>116</v>
      </c>
      <c r="D47" s="24" t="s">
        <v>12</v>
      </c>
      <c r="E47" s="30" t="s">
        <v>2373</v>
      </c>
      <c r="F47" s="30" t="s">
        <v>858</v>
      </c>
      <c r="G47" s="30" t="s">
        <v>859</v>
      </c>
      <c r="H47" s="30" t="s">
        <v>299</v>
      </c>
      <c r="I47" s="30" t="s">
        <v>301</v>
      </c>
      <c r="J47" s="30" t="s">
        <v>861</v>
      </c>
      <c r="K47" s="31" t="s">
        <v>40</v>
      </c>
      <c r="L47" s="30" t="s">
        <v>2388</v>
      </c>
      <c r="M47" s="26" t="s">
        <v>43</v>
      </c>
      <c r="N47" s="28"/>
      <c r="O47" s="28"/>
    </row>
    <row r="48" ht="57.75" customHeight="1">
      <c r="A48" s="78" t="s">
        <v>2392</v>
      </c>
      <c r="B48" s="17" t="s">
        <v>120</v>
      </c>
      <c r="C48" s="17" t="s">
        <v>116</v>
      </c>
      <c r="D48" s="24" t="s">
        <v>12</v>
      </c>
      <c r="E48" s="21" t="s">
        <v>2399</v>
      </c>
      <c r="F48" s="21" t="s">
        <v>1836</v>
      </c>
      <c r="G48" s="21" t="s">
        <v>1925</v>
      </c>
      <c r="H48" s="21" t="s">
        <v>1837</v>
      </c>
      <c r="I48" s="21" t="s">
        <v>1927</v>
      </c>
      <c r="J48" s="21" t="s">
        <v>2005</v>
      </c>
      <c r="K48" s="23" t="s">
        <v>95</v>
      </c>
      <c r="L48" s="21" t="s">
        <v>2406</v>
      </c>
      <c r="M48" s="26" t="s">
        <v>43</v>
      </c>
      <c r="N48" s="17"/>
      <c r="O48" s="17"/>
    </row>
    <row r="49" ht="57.75" customHeight="1">
      <c r="A49" s="78" t="s">
        <v>2409</v>
      </c>
      <c r="B49" s="28" t="s">
        <v>120</v>
      </c>
      <c r="C49" s="28" t="s">
        <v>116</v>
      </c>
      <c r="D49" s="24" t="s">
        <v>12</v>
      </c>
      <c r="E49" s="30" t="s">
        <v>2413</v>
      </c>
      <c r="F49" s="30" t="s">
        <v>1916</v>
      </c>
      <c r="G49" s="30" t="s">
        <v>574</v>
      </c>
      <c r="H49" s="30" t="s">
        <v>1918</v>
      </c>
      <c r="I49" s="30" t="s">
        <v>576</v>
      </c>
      <c r="J49" s="30" t="s">
        <v>1786</v>
      </c>
      <c r="K49" s="31" t="s">
        <v>64</v>
      </c>
      <c r="L49" s="30" t="s">
        <v>2420</v>
      </c>
      <c r="M49" s="26" t="s">
        <v>43</v>
      </c>
      <c r="N49" s="28"/>
      <c r="O49" s="28"/>
    </row>
    <row r="50" ht="57.75" customHeight="1">
      <c r="A50" s="78" t="s">
        <v>2425</v>
      </c>
      <c r="B50" s="17" t="s">
        <v>120</v>
      </c>
      <c r="C50" s="17" t="s">
        <v>116</v>
      </c>
      <c r="D50" s="24" t="s">
        <v>12</v>
      </c>
      <c r="E50" s="21" t="s">
        <v>2429</v>
      </c>
      <c r="F50" s="21">
        <v>24.0</v>
      </c>
      <c r="G50" s="21">
        <v>28.0</v>
      </c>
      <c r="H50" s="21">
        <v>32.0</v>
      </c>
      <c r="I50" s="21">
        <v>36.0</v>
      </c>
      <c r="J50" s="21">
        <v>40.0</v>
      </c>
      <c r="K50" s="23" t="s">
        <v>64</v>
      </c>
      <c r="L50" s="21" t="s">
        <v>2435</v>
      </c>
      <c r="M50" s="26" t="s">
        <v>43</v>
      </c>
      <c r="N50" s="17"/>
      <c r="O50" s="17"/>
    </row>
    <row r="51" ht="57.75" customHeight="1">
      <c r="A51" s="78" t="s">
        <v>2437</v>
      </c>
      <c r="B51" s="28" t="s">
        <v>120</v>
      </c>
      <c r="C51" s="28" t="s">
        <v>116</v>
      </c>
      <c r="D51" s="24" t="s">
        <v>12</v>
      </c>
      <c r="E51" s="30" t="s">
        <v>2441</v>
      </c>
      <c r="F51" s="30" t="s">
        <v>2294</v>
      </c>
      <c r="G51" s="30" t="s">
        <v>572</v>
      </c>
      <c r="H51" s="30" t="s">
        <v>1916</v>
      </c>
      <c r="I51" s="30" t="s">
        <v>1898</v>
      </c>
      <c r="J51" s="30" t="s">
        <v>574</v>
      </c>
      <c r="K51" s="31" t="s">
        <v>95</v>
      </c>
      <c r="L51" s="30" t="s">
        <v>2447</v>
      </c>
      <c r="M51" s="26" t="s">
        <v>43</v>
      </c>
      <c r="N51" s="28"/>
      <c r="O51" s="28"/>
    </row>
    <row r="52" ht="57.75" customHeight="1">
      <c r="A52" s="78" t="s">
        <v>2451</v>
      </c>
      <c r="B52" s="17" t="s">
        <v>120</v>
      </c>
      <c r="C52" s="17" t="s">
        <v>116</v>
      </c>
      <c r="D52" s="24" t="s">
        <v>12</v>
      </c>
      <c r="E52" s="21" t="s">
        <v>2455</v>
      </c>
      <c r="F52" s="21" t="s">
        <v>858</v>
      </c>
      <c r="G52" s="21" t="s">
        <v>859</v>
      </c>
      <c r="H52" s="21" t="s">
        <v>299</v>
      </c>
      <c r="I52" s="21" t="s">
        <v>301</v>
      </c>
      <c r="J52" s="21" t="s">
        <v>861</v>
      </c>
      <c r="K52" s="23" t="s">
        <v>64</v>
      </c>
      <c r="L52" s="21" t="s">
        <v>2463</v>
      </c>
      <c r="M52" s="26" t="s">
        <v>43</v>
      </c>
      <c r="N52" s="17"/>
      <c r="O52" s="17"/>
    </row>
    <row r="53" ht="25.5" customHeight="1">
      <c r="A53" s="55" t="s">
        <v>2469</v>
      </c>
      <c r="B53" s="57"/>
      <c r="C53" s="57"/>
      <c r="D53" s="57"/>
      <c r="E53" s="57"/>
      <c r="F53" s="57"/>
      <c r="G53" s="57"/>
      <c r="H53" s="57"/>
      <c r="I53" s="57"/>
      <c r="J53" s="58"/>
      <c r="M53" s="79">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76" t="s">
        <v>1949</v>
      </c>
      <c r="B1" s="3"/>
      <c r="C1" s="3"/>
      <c r="D1" s="3"/>
      <c r="E1" s="3"/>
      <c r="F1" s="3"/>
      <c r="G1" s="3"/>
      <c r="H1" s="3"/>
      <c r="I1" s="3"/>
      <c r="J1" s="3"/>
      <c r="K1" s="3"/>
      <c r="L1" s="3"/>
      <c r="M1" s="3"/>
      <c r="N1" s="3"/>
      <c r="O1" s="4"/>
    </row>
    <row r="2" ht="30.0" customHeight="1">
      <c r="A2" s="77" t="s">
        <v>1952</v>
      </c>
      <c r="B2" s="3"/>
      <c r="C2" s="3"/>
      <c r="D2" s="3"/>
      <c r="E2" s="3"/>
      <c r="F2" s="3"/>
      <c r="G2" s="3"/>
      <c r="H2" s="3"/>
      <c r="I2" s="3"/>
      <c r="J2" s="3"/>
      <c r="K2" s="3"/>
      <c r="L2" s="3"/>
      <c r="M2" s="3"/>
      <c r="N2" s="3"/>
      <c r="O2" s="4"/>
    </row>
    <row r="3" ht="19.5" customHeight="1">
      <c r="A3" s="7" t="s">
        <v>6</v>
      </c>
      <c r="B3" s="3"/>
      <c r="C3" s="3"/>
      <c r="D3" s="3"/>
      <c r="E3" s="3"/>
      <c r="F3" s="3"/>
      <c r="G3" s="3"/>
      <c r="H3" s="3"/>
      <c r="I3" s="3"/>
      <c r="J3" s="3"/>
      <c r="K3" s="3"/>
      <c r="L3" s="3"/>
      <c r="M3" s="3"/>
      <c r="N3" s="3"/>
      <c r="O3" s="4"/>
    </row>
    <row r="4" ht="24.75" customHeight="1">
      <c r="A4" s="9" t="s">
        <v>8</v>
      </c>
      <c r="B4" s="9" t="s">
        <v>7</v>
      </c>
      <c r="C4" s="9" t="s">
        <v>13</v>
      </c>
      <c r="D4" s="9" t="s">
        <v>15</v>
      </c>
      <c r="E4" s="9" t="s">
        <v>17</v>
      </c>
      <c r="F4" s="9" t="s">
        <v>18</v>
      </c>
      <c r="G4" s="9" t="s">
        <v>20</v>
      </c>
      <c r="H4" s="9" t="s">
        <v>21</v>
      </c>
      <c r="I4" s="9" t="s">
        <v>22</v>
      </c>
      <c r="J4" s="9" t="s">
        <v>23</v>
      </c>
      <c r="K4" s="9" t="s">
        <v>25</v>
      </c>
      <c r="L4" s="9" t="s">
        <v>26</v>
      </c>
      <c r="M4" s="9" t="s">
        <v>19</v>
      </c>
      <c r="N4" s="9" t="s">
        <v>27</v>
      </c>
      <c r="O4" s="9" t="s">
        <v>28</v>
      </c>
    </row>
    <row r="5" ht="19.5" customHeight="1">
      <c r="A5" s="13" t="s">
        <v>29</v>
      </c>
      <c r="B5" s="3"/>
      <c r="C5" s="3"/>
      <c r="D5" s="3"/>
      <c r="E5" s="3"/>
      <c r="F5" s="3"/>
      <c r="G5" s="3"/>
      <c r="H5" s="3"/>
      <c r="I5" s="3"/>
      <c r="J5" s="3"/>
      <c r="K5" s="3"/>
      <c r="L5" s="3"/>
      <c r="M5" s="3"/>
      <c r="N5" s="3"/>
      <c r="O5" s="4"/>
    </row>
    <row r="6" ht="57.75" customHeight="1">
      <c r="A6" s="78" t="s">
        <v>1975</v>
      </c>
      <c r="B6" s="17" t="s">
        <v>130</v>
      </c>
      <c r="C6" s="17" t="s">
        <v>116</v>
      </c>
      <c r="D6" s="19" t="s">
        <v>9</v>
      </c>
      <c r="E6" s="21" t="s">
        <v>1979</v>
      </c>
      <c r="F6" s="21">
        <v>64.0</v>
      </c>
      <c r="G6" s="21">
        <v>256.0</v>
      </c>
      <c r="H6" s="21">
        <v>384.0</v>
      </c>
      <c r="I6" s="21">
        <v>512.0</v>
      </c>
      <c r="J6" s="21">
        <v>1024.0</v>
      </c>
      <c r="K6" s="23" t="s">
        <v>117</v>
      </c>
      <c r="L6" s="21" t="s">
        <v>1983</v>
      </c>
      <c r="M6" s="26" t="s">
        <v>43</v>
      </c>
      <c r="N6" s="17"/>
      <c r="O6" s="17"/>
    </row>
    <row r="7" ht="57.75" customHeight="1">
      <c r="A7" s="78" t="s">
        <v>1988</v>
      </c>
      <c r="B7" s="28" t="s">
        <v>130</v>
      </c>
      <c r="C7" s="28" t="s">
        <v>116</v>
      </c>
      <c r="D7" s="19" t="s">
        <v>9</v>
      </c>
      <c r="E7" s="30" t="s">
        <v>1991</v>
      </c>
      <c r="F7" s="30">
        <v>240.0</v>
      </c>
      <c r="G7" s="30">
        <v>120.0</v>
      </c>
      <c r="H7" s="30">
        <v>100.0</v>
      </c>
      <c r="I7" s="30">
        <v>60.0</v>
      </c>
      <c r="J7" s="30">
        <v>40.0</v>
      </c>
      <c r="K7" s="31" t="s">
        <v>40</v>
      </c>
      <c r="L7" s="30" t="s">
        <v>1997</v>
      </c>
      <c r="M7" s="26" t="s">
        <v>43</v>
      </c>
      <c r="N7" s="28"/>
      <c r="O7" s="28"/>
    </row>
    <row r="8" ht="57.75" customHeight="1">
      <c r="A8" s="78" t="s">
        <v>1999</v>
      </c>
      <c r="B8" s="17" t="s">
        <v>130</v>
      </c>
      <c r="C8" s="17" t="s">
        <v>116</v>
      </c>
      <c r="D8" s="19" t="s">
        <v>9</v>
      </c>
      <c r="E8" s="21" t="s">
        <v>2001</v>
      </c>
      <c r="F8" s="21">
        <v>154.0</v>
      </c>
      <c r="G8" s="21">
        <v>440.0</v>
      </c>
      <c r="H8" s="21">
        <v>1540.0</v>
      </c>
      <c r="I8" s="21">
        <v>3080.0</v>
      </c>
      <c r="J8" s="21">
        <v>4620.0</v>
      </c>
      <c r="K8" s="23" t="s">
        <v>95</v>
      </c>
      <c r="L8" s="21" t="s">
        <v>2004</v>
      </c>
      <c r="M8" s="26" t="s">
        <v>43</v>
      </c>
      <c r="N8" s="17"/>
      <c r="O8" s="17"/>
    </row>
    <row r="9" ht="57.75" customHeight="1">
      <c r="A9" s="78" t="s">
        <v>2008</v>
      </c>
      <c r="B9" s="28" t="s">
        <v>130</v>
      </c>
      <c r="C9" s="28" t="s">
        <v>116</v>
      </c>
      <c r="D9" s="19" t="s">
        <v>9</v>
      </c>
      <c r="E9" s="30" t="s">
        <v>2009</v>
      </c>
      <c r="F9" s="30">
        <v>132.0</v>
      </c>
      <c r="G9" s="30">
        <v>264.0</v>
      </c>
      <c r="H9" s="30">
        <v>528.0</v>
      </c>
      <c r="I9" s="30">
        <v>792.0</v>
      </c>
      <c r="J9" s="30">
        <v>1584.0</v>
      </c>
      <c r="K9" s="31" t="s">
        <v>95</v>
      </c>
      <c r="L9" s="30" t="s">
        <v>2013</v>
      </c>
      <c r="M9" s="26" t="s">
        <v>43</v>
      </c>
      <c r="N9" s="28"/>
      <c r="O9" s="28"/>
    </row>
    <row r="10" ht="57.75" customHeight="1">
      <c r="A10" s="78" t="s">
        <v>2014</v>
      </c>
      <c r="B10" s="17" t="s">
        <v>130</v>
      </c>
      <c r="C10" s="17" t="s">
        <v>116</v>
      </c>
      <c r="D10" s="19" t="s">
        <v>9</v>
      </c>
      <c r="E10" s="21" t="s">
        <v>2017</v>
      </c>
      <c r="F10" s="21">
        <v>540.0</v>
      </c>
      <c r="G10" s="21">
        <v>360.0</v>
      </c>
      <c r="H10" s="21">
        <v>180.0</v>
      </c>
      <c r="I10" s="21">
        <v>135.0</v>
      </c>
      <c r="J10" s="21">
        <v>90.0</v>
      </c>
      <c r="K10" s="23" t="s">
        <v>95</v>
      </c>
      <c r="L10" s="21" t="s">
        <v>2020</v>
      </c>
      <c r="M10" s="26" t="s">
        <v>43</v>
      </c>
      <c r="N10" s="17"/>
      <c r="O10" s="17"/>
    </row>
    <row r="11" ht="57.75" customHeight="1">
      <c r="A11" s="78" t="s">
        <v>2022</v>
      </c>
      <c r="B11" s="28" t="s">
        <v>130</v>
      </c>
      <c r="C11" s="28" t="s">
        <v>116</v>
      </c>
      <c r="D11" s="19" t="s">
        <v>9</v>
      </c>
      <c r="E11" s="30" t="s">
        <v>2024</v>
      </c>
      <c r="F11" s="30" t="s">
        <v>2026</v>
      </c>
      <c r="G11" s="30" t="s">
        <v>2028</v>
      </c>
      <c r="H11" s="30" t="s">
        <v>2029</v>
      </c>
      <c r="I11" s="30" t="s">
        <v>2031</v>
      </c>
      <c r="J11" s="30" t="s">
        <v>2032</v>
      </c>
      <c r="K11" s="31" t="s">
        <v>64</v>
      </c>
      <c r="L11" s="30" t="s">
        <v>2035</v>
      </c>
      <c r="M11" s="26" t="s">
        <v>43</v>
      </c>
      <c r="N11" s="28"/>
      <c r="O11" s="28"/>
    </row>
    <row r="12" ht="57.75" customHeight="1">
      <c r="A12" s="78" t="s">
        <v>2037</v>
      </c>
      <c r="B12" s="17" t="s">
        <v>130</v>
      </c>
      <c r="C12" s="17" t="s">
        <v>116</v>
      </c>
      <c r="D12" s="19" t="s">
        <v>9</v>
      </c>
      <c r="E12" s="21" t="s">
        <v>2040</v>
      </c>
      <c r="F12" s="21">
        <v>100.0</v>
      </c>
      <c r="G12" s="21">
        <v>150.0</v>
      </c>
      <c r="H12" s="21">
        <v>200.0</v>
      </c>
      <c r="I12" s="21">
        <v>300.0</v>
      </c>
      <c r="J12" s="21">
        <v>600.0</v>
      </c>
      <c r="K12" s="23" t="s">
        <v>95</v>
      </c>
      <c r="L12" s="21" t="s">
        <v>2044</v>
      </c>
      <c r="M12" s="26" t="s">
        <v>43</v>
      </c>
      <c r="N12" s="17"/>
      <c r="O12" s="17"/>
    </row>
    <row r="13" ht="57.75" customHeight="1">
      <c r="A13" s="78" t="s">
        <v>2045</v>
      </c>
      <c r="B13" s="28" t="s">
        <v>130</v>
      </c>
      <c r="C13" s="28" t="s">
        <v>116</v>
      </c>
      <c r="D13" s="19" t="s">
        <v>9</v>
      </c>
      <c r="E13" s="30" t="s">
        <v>2048</v>
      </c>
      <c r="F13" s="30">
        <v>3.0</v>
      </c>
      <c r="G13" s="30">
        <v>6.0</v>
      </c>
      <c r="H13" s="30">
        <v>9.0</v>
      </c>
      <c r="I13" s="30">
        <v>12.0</v>
      </c>
      <c r="J13" s="30">
        <v>81.0</v>
      </c>
      <c r="K13" s="31" t="s">
        <v>40</v>
      </c>
      <c r="L13" s="30" t="s">
        <v>2051</v>
      </c>
      <c r="M13" s="26" t="s">
        <v>43</v>
      </c>
      <c r="N13" s="28"/>
      <c r="O13" s="28"/>
    </row>
    <row r="14" ht="57.75" customHeight="1">
      <c r="A14" s="78" t="s">
        <v>2053</v>
      </c>
      <c r="B14" s="17" t="s">
        <v>130</v>
      </c>
      <c r="C14" s="17" t="s">
        <v>116</v>
      </c>
      <c r="D14" s="19" t="s">
        <v>9</v>
      </c>
      <c r="E14" s="21" t="s">
        <v>2058</v>
      </c>
      <c r="F14" s="21" t="s">
        <v>2060</v>
      </c>
      <c r="G14" s="21" t="s">
        <v>2061</v>
      </c>
      <c r="H14" s="21" t="s">
        <v>2063</v>
      </c>
      <c r="I14" s="21" t="s">
        <v>2065</v>
      </c>
      <c r="J14" s="21" t="s">
        <v>2066</v>
      </c>
      <c r="K14" s="23" t="s">
        <v>117</v>
      </c>
      <c r="L14" s="21" t="s">
        <v>2069</v>
      </c>
      <c r="M14" s="26" t="s">
        <v>43</v>
      </c>
      <c r="N14" s="17"/>
      <c r="O14" s="17"/>
    </row>
    <row r="15" ht="57.75" customHeight="1">
      <c r="A15" s="78" t="s">
        <v>2071</v>
      </c>
      <c r="B15" s="28" t="s">
        <v>130</v>
      </c>
      <c r="C15" s="28" t="s">
        <v>116</v>
      </c>
      <c r="D15" s="19" t="s">
        <v>9</v>
      </c>
      <c r="E15" s="30" t="s">
        <v>2074</v>
      </c>
      <c r="F15" s="30">
        <v>100.0</v>
      </c>
      <c r="G15" s="30">
        <v>200.0</v>
      </c>
      <c r="H15" s="30">
        <v>300.0</v>
      </c>
      <c r="I15" s="30">
        <v>400.0</v>
      </c>
      <c r="J15" s="30">
        <v>1800.0</v>
      </c>
      <c r="K15" s="31" t="s">
        <v>64</v>
      </c>
      <c r="L15" s="30" t="s">
        <v>2080</v>
      </c>
      <c r="M15" s="26" t="s">
        <v>43</v>
      </c>
      <c r="N15" s="28"/>
      <c r="O15" s="28"/>
    </row>
    <row r="16" ht="57.75" customHeight="1">
      <c r="A16" s="78" t="s">
        <v>2083</v>
      </c>
      <c r="B16" s="17" t="s">
        <v>130</v>
      </c>
      <c r="C16" s="17" t="s">
        <v>116</v>
      </c>
      <c r="D16" s="19" t="s">
        <v>9</v>
      </c>
      <c r="E16" s="21" t="s">
        <v>2085</v>
      </c>
      <c r="F16" s="21">
        <v>6.0</v>
      </c>
      <c r="G16" s="21">
        <v>8.0</v>
      </c>
      <c r="H16" s="21">
        <v>9.0</v>
      </c>
      <c r="I16" s="21">
        <v>12.0</v>
      </c>
      <c r="J16" s="21">
        <v>15.0</v>
      </c>
      <c r="K16" s="23" t="s">
        <v>95</v>
      </c>
      <c r="L16" s="21" t="s">
        <v>2089</v>
      </c>
      <c r="M16" s="26" t="s">
        <v>43</v>
      </c>
      <c r="N16" s="17"/>
      <c r="O16" s="17"/>
    </row>
    <row r="17" ht="57.75" customHeight="1">
      <c r="A17" s="78" t="s">
        <v>2092</v>
      </c>
      <c r="B17" s="28" t="s">
        <v>130</v>
      </c>
      <c r="C17" s="28" t="s">
        <v>116</v>
      </c>
      <c r="D17" s="19" t="s">
        <v>9</v>
      </c>
      <c r="E17" s="30" t="s">
        <v>2094</v>
      </c>
      <c r="F17" s="30">
        <v>120.0</v>
      </c>
      <c r="G17" s="30">
        <v>240.0</v>
      </c>
      <c r="H17" s="30">
        <v>360.0</v>
      </c>
      <c r="I17" s="30">
        <v>480.0</v>
      </c>
      <c r="J17" s="30">
        <v>960.0</v>
      </c>
      <c r="K17" s="31" t="s">
        <v>64</v>
      </c>
      <c r="L17" s="30" t="s">
        <v>2099</v>
      </c>
      <c r="M17" s="26" t="s">
        <v>43</v>
      </c>
      <c r="N17" s="28"/>
      <c r="O17" s="28"/>
    </row>
    <row r="18" ht="57.75" customHeight="1">
      <c r="A18" s="78" t="s">
        <v>2102</v>
      </c>
      <c r="B18" s="17" t="s">
        <v>130</v>
      </c>
      <c r="C18" s="17" t="s">
        <v>116</v>
      </c>
      <c r="D18" s="19" t="s">
        <v>9</v>
      </c>
      <c r="E18" s="21" t="s">
        <v>2106</v>
      </c>
      <c r="F18" s="21">
        <v>100.0</v>
      </c>
      <c r="G18" s="21">
        <v>300.0</v>
      </c>
      <c r="H18" s="21">
        <v>600.0</v>
      </c>
      <c r="I18" s="21">
        <v>1000.0</v>
      </c>
      <c r="J18" s="21">
        <v>10000.0</v>
      </c>
      <c r="K18" s="23" t="s">
        <v>117</v>
      </c>
      <c r="L18" s="21" t="s">
        <v>2108</v>
      </c>
      <c r="M18" s="26" t="s">
        <v>43</v>
      </c>
      <c r="N18" s="17"/>
      <c r="O18" s="17"/>
    </row>
    <row r="19" ht="57.75" customHeight="1">
      <c r="A19" s="78" t="s">
        <v>2111</v>
      </c>
      <c r="B19" s="28" t="s">
        <v>130</v>
      </c>
      <c r="C19" s="28" t="s">
        <v>116</v>
      </c>
      <c r="D19" s="19" t="s">
        <v>9</v>
      </c>
      <c r="E19" s="30" t="s">
        <v>2114</v>
      </c>
      <c r="F19" s="30">
        <v>12.0</v>
      </c>
      <c r="G19" s="30">
        <v>24.0</v>
      </c>
      <c r="H19" s="30">
        <v>36.0</v>
      </c>
      <c r="I19" s="30">
        <v>48.0</v>
      </c>
      <c r="J19" s="30">
        <v>72.0</v>
      </c>
      <c r="K19" s="31" t="s">
        <v>95</v>
      </c>
      <c r="L19" s="30" t="s">
        <v>2117</v>
      </c>
      <c r="M19" s="26" t="s">
        <v>43</v>
      </c>
      <c r="N19" s="28"/>
      <c r="O19" s="28"/>
    </row>
    <row r="20" ht="57.75" customHeight="1">
      <c r="A20" s="78" t="s">
        <v>2120</v>
      </c>
      <c r="B20" s="17" t="s">
        <v>130</v>
      </c>
      <c r="C20" s="17" t="s">
        <v>116</v>
      </c>
      <c r="D20" s="19" t="s">
        <v>9</v>
      </c>
      <c r="E20" s="21" t="s">
        <v>2124</v>
      </c>
      <c r="F20" s="21" t="s">
        <v>2125</v>
      </c>
      <c r="G20" s="21" t="s">
        <v>2126</v>
      </c>
      <c r="H20" s="21" t="s">
        <v>2127</v>
      </c>
      <c r="I20" s="21" t="s">
        <v>2130</v>
      </c>
      <c r="J20" s="21" t="s">
        <v>2131</v>
      </c>
      <c r="K20" s="23" t="s">
        <v>117</v>
      </c>
      <c r="L20" s="21" t="s">
        <v>2133</v>
      </c>
      <c r="M20" s="26" t="s">
        <v>43</v>
      </c>
      <c r="N20" s="17"/>
      <c r="O20" s="17"/>
    </row>
    <row r="21" ht="19.5" customHeight="1">
      <c r="A21" s="46" t="s">
        <v>166</v>
      </c>
      <c r="B21" s="3"/>
      <c r="C21" s="3"/>
      <c r="D21" s="3"/>
      <c r="E21" s="3"/>
      <c r="F21" s="3"/>
      <c r="G21" s="3"/>
      <c r="H21" s="3"/>
      <c r="I21" s="3"/>
      <c r="J21" s="3"/>
      <c r="K21" s="3"/>
      <c r="L21" s="3"/>
      <c r="M21" s="3"/>
      <c r="N21" s="3"/>
      <c r="O21" s="4"/>
    </row>
    <row r="22" ht="57.75" customHeight="1">
      <c r="A22" s="78" t="s">
        <v>2147</v>
      </c>
      <c r="B22" s="28" t="s">
        <v>130</v>
      </c>
      <c r="C22" s="28" t="s">
        <v>116</v>
      </c>
      <c r="D22" s="22" t="s">
        <v>11</v>
      </c>
      <c r="E22" s="30" t="s">
        <v>2158</v>
      </c>
      <c r="F22" s="30">
        <v>36.0</v>
      </c>
      <c r="G22" s="30">
        <v>144.0</v>
      </c>
      <c r="H22" s="30">
        <v>216.0</v>
      </c>
      <c r="I22" s="30">
        <v>288.0</v>
      </c>
      <c r="J22" s="30">
        <v>324.0</v>
      </c>
      <c r="K22" s="31" t="s">
        <v>95</v>
      </c>
      <c r="L22" s="30" t="s">
        <v>2162</v>
      </c>
      <c r="M22" s="26" t="s">
        <v>43</v>
      </c>
      <c r="N22" s="28"/>
      <c r="O22" s="28"/>
    </row>
    <row r="23" ht="57.75" customHeight="1">
      <c r="A23" s="78" t="s">
        <v>2164</v>
      </c>
      <c r="B23" s="17" t="s">
        <v>130</v>
      </c>
      <c r="C23" s="17" t="s">
        <v>116</v>
      </c>
      <c r="D23" s="22" t="s">
        <v>11</v>
      </c>
      <c r="E23" s="21" t="s">
        <v>2165</v>
      </c>
      <c r="F23" s="21" t="s">
        <v>2167</v>
      </c>
      <c r="G23" s="21" t="s">
        <v>2168</v>
      </c>
      <c r="H23" s="21" t="s">
        <v>2169</v>
      </c>
      <c r="I23" s="21" t="s">
        <v>2170</v>
      </c>
      <c r="J23" s="21" t="s">
        <v>2171</v>
      </c>
      <c r="K23" s="23" t="s">
        <v>117</v>
      </c>
      <c r="L23" s="21" t="s">
        <v>2172</v>
      </c>
      <c r="M23" s="26" t="s">
        <v>43</v>
      </c>
      <c r="N23" s="17"/>
      <c r="O23" s="17"/>
    </row>
    <row r="24" ht="57.75" customHeight="1">
      <c r="A24" s="78" t="s">
        <v>2173</v>
      </c>
      <c r="B24" s="28" t="s">
        <v>130</v>
      </c>
      <c r="C24" s="28" t="s">
        <v>116</v>
      </c>
      <c r="D24" s="22" t="s">
        <v>11</v>
      </c>
      <c r="E24" s="30" t="s">
        <v>2174</v>
      </c>
      <c r="F24" s="30" t="s">
        <v>2028</v>
      </c>
      <c r="G24" s="30" t="s">
        <v>2175</v>
      </c>
      <c r="H24" s="30" t="s">
        <v>2031</v>
      </c>
      <c r="I24" s="30" t="s">
        <v>2032</v>
      </c>
      <c r="J24" s="30" t="s">
        <v>2176</v>
      </c>
      <c r="K24" s="31" t="s">
        <v>95</v>
      </c>
      <c r="L24" s="30" t="s">
        <v>2178</v>
      </c>
      <c r="M24" s="26" t="s">
        <v>43</v>
      </c>
      <c r="N24" s="28"/>
      <c r="O24" s="28"/>
    </row>
    <row r="25" ht="57.75" customHeight="1">
      <c r="A25" s="78" t="s">
        <v>2180</v>
      </c>
      <c r="B25" s="17" t="s">
        <v>130</v>
      </c>
      <c r="C25" s="17" t="s">
        <v>116</v>
      </c>
      <c r="D25" s="22" t="s">
        <v>11</v>
      </c>
      <c r="E25" s="21" t="s">
        <v>2181</v>
      </c>
      <c r="F25" s="21">
        <v>2.0</v>
      </c>
      <c r="G25" s="21">
        <v>4.0</v>
      </c>
      <c r="H25" s="21">
        <v>6.0</v>
      </c>
      <c r="I25" s="21">
        <v>8.0</v>
      </c>
      <c r="J25" s="21">
        <v>12.0</v>
      </c>
      <c r="K25" s="23" t="s">
        <v>64</v>
      </c>
      <c r="L25" s="21" t="s">
        <v>2188</v>
      </c>
      <c r="M25" s="26" t="s">
        <v>43</v>
      </c>
      <c r="N25" s="17"/>
      <c r="O25" s="17"/>
    </row>
    <row r="26" ht="57.75" customHeight="1">
      <c r="A26" s="78" t="s">
        <v>2190</v>
      </c>
      <c r="B26" s="28" t="s">
        <v>130</v>
      </c>
      <c r="C26" s="28" t="s">
        <v>116</v>
      </c>
      <c r="D26" s="22" t="s">
        <v>11</v>
      </c>
      <c r="E26" s="30" t="s">
        <v>2192</v>
      </c>
      <c r="F26" s="30">
        <v>12.0</v>
      </c>
      <c r="G26" s="30">
        <v>18.0</v>
      </c>
      <c r="H26" s="30">
        <v>24.0</v>
      </c>
      <c r="I26" s="30">
        <v>36.0</v>
      </c>
      <c r="J26" s="30">
        <v>48.0</v>
      </c>
      <c r="K26" s="31" t="s">
        <v>95</v>
      </c>
      <c r="L26" s="30" t="s">
        <v>2197</v>
      </c>
      <c r="M26" s="26" t="s">
        <v>43</v>
      </c>
      <c r="N26" s="28"/>
      <c r="O26" s="28"/>
    </row>
    <row r="27" ht="57.75" customHeight="1">
      <c r="A27" s="78" t="s">
        <v>2201</v>
      </c>
      <c r="B27" s="17" t="s">
        <v>130</v>
      </c>
      <c r="C27" s="17" t="s">
        <v>116</v>
      </c>
      <c r="D27" s="22" t="s">
        <v>11</v>
      </c>
      <c r="E27" s="21" t="s">
        <v>2203</v>
      </c>
      <c r="F27" s="21">
        <v>325.0</v>
      </c>
      <c r="G27" s="21">
        <v>400.0</v>
      </c>
      <c r="H27" s="21">
        <v>600.0</v>
      </c>
      <c r="I27" s="21">
        <v>1200.0</v>
      </c>
      <c r="J27" s="21">
        <v>1300.0</v>
      </c>
      <c r="K27" s="23" t="s">
        <v>64</v>
      </c>
      <c r="L27" s="21" t="s">
        <v>2208</v>
      </c>
      <c r="M27" s="26" t="s">
        <v>43</v>
      </c>
      <c r="N27" s="17"/>
      <c r="O27" s="17"/>
    </row>
    <row r="28" ht="57.75" customHeight="1">
      <c r="A28" s="78" t="s">
        <v>2209</v>
      </c>
      <c r="B28" s="28" t="s">
        <v>130</v>
      </c>
      <c r="C28" s="28" t="s">
        <v>116</v>
      </c>
      <c r="D28" s="22" t="s">
        <v>11</v>
      </c>
      <c r="E28" s="30" t="s">
        <v>2213</v>
      </c>
      <c r="F28" s="30" t="s">
        <v>2216</v>
      </c>
      <c r="G28" s="30" t="s">
        <v>2219</v>
      </c>
      <c r="H28" s="30" t="s">
        <v>2221</v>
      </c>
      <c r="I28" s="30" t="s">
        <v>2223</v>
      </c>
      <c r="J28" s="30" t="s">
        <v>2032</v>
      </c>
      <c r="K28" s="31" t="s">
        <v>95</v>
      </c>
      <c r="L28" s="30" t="s">
        <v>2225</v>
      </c>
      <c r="M28" s="26" t="s">
        <v>43</v>
      </c>
      <c r="N28" s="28"/>
      <c r="O28" s="28"/>
    </row>
    <row r="29" ht="57.75" customHeight="1">
      <c r="A29" s="78" t="s">
        <v>2229</v>
      </c>
      <c r="B29" s="17" t="s">
        <v>130</v>
      </c>
      <c r="C29" s="17" t="s">
        <v>116</v>
      </c>
      <c r="D29" s="22" t="s">
        <v>11</v>
      </c>
      <c r="E29" s="21" t="s">
        <v>2233</v>
      </c>
      <c r="F29" s="21">
        <v>3.0</v>
      </c>
      <c r="G29" s="21">
        <v>5.0</v>
      </c>
      <c r="H29" s="21">
        <v>6.0</v>
      </c>
      <c r="I29" s="21">
        <v>8.0</v>
      </c>
      <c r="J29" s="21">
        <v>10.0</v>
      </c>
      <c r="K29" s="23" t="s">
        <v>64</v>
      </c>
      <c r="L29" s="21" t="s">
        <v>2240</v>
      </c>
      <c r="M29" s="26" t="s">
        <v>43</v>
      </c>
      <c r="N29" s="17"/>
      <c r="O29" s="17"/>
    </row>
    <row r="30" ht="57.75" customHeight="1">
      <c r="A30" s="78" t="s">
        <v>2242</v>
      </c>
      <c r="B30" s="28" t="s">
        <v>130</v>
      </c>
      <c r="C30" s="28" t="s">
        <v>116</v>
      </c>
      <c r="D30" s="22" t="s">
        <v>11</v>
      </c>
      <c r="E30" s="30" t="s">
        <v>2245</v>
      </c>
      <c r="F30" s="30">
        <v>214.0</v>
      </c>
      <c r="G30" s="30">
        <v>314.0</v>
      </c>
      <c r="H30" s="30">
        <v>570.0</v>
      </c>
      <c r="I30" s="30">
        <v>785.0</v>
      </c>
      <c r="J30" s="30">
        <v>1000.0</v>
      </c>
      <c r="K30" s="31" t="s">
        <v>95</v>
      </c>
      <c r="L30" s="30" t="s">
        <v>2251</v>
      </c>
      <c r="M30" s="26" t="s">
        <v>43</v>
      </c>
      <c r="N30" s="28"/>
      <c r="O30" s="28"/>
    </row>
    <row r="31" ht="57.75" customHeight="1">
      <c r="A31" s="78" t="s">
        <v>2254</v>
      </c>
      <c r="B31" s="17" t="s">
        <v>130</v>
      </c>
      <c r="C31" s="17" t="s">
        <v>116</v>
      </c>
      <c r="D31" s="22" t="s">
        <v>11</v>
      </c>
      <c r="E31" s="21" t="s">
        <v>2255</v>
      </c>
      <c r="F31" s="21">
        <v>2.0</v>
      </c>
      <c r="G31" s="21">
        <v>4.0</v>
      </c>
      <c r="H31" s="21">
        <v>6.0</v>
      </c>
      <c r="I31" s="21">
        <v>8.0</v>
      </c>
      <c r="J31" s="21">
        <v>12.0</v>
      </c>
      <c r="K31" s="23" t="s">
        <v>95</v>
      </c>
      <c r="L31" s="21" t="s">
        <v>2262</v>
      </c>
      <c r="M31" s="26" t="s">
        <v>43</v>
      </c>
      <c r="N31" s="17"/>
      <c r="O31" s="17"/>
    </row>
    <row r="32" ht="57.75" customHeight="1">
      <c r="A32" s="78" t="s">
        <v>2265</v>
      </c>
      <c r="B32" s="28" t="s">
        <v>130</v>
      </c>
      <c r="C32" s="28" t="s">
        <v>116</v>
      </c>
      <c r="D32" s="22" t="s">
        <v>11</v>
      </c>
      <c r="E32" s="30" t="s">
        <v>2268</v>
      </c>
      <c r="F32" s="30" t="s">
        <v>2269</v>
      </c>
      <c r="G32" s="30" t="s">
        <v>2272</v>
      </c>
      <c r="H32" s="30" t="s">
        <v>2275</v>
      </c>
      <c r="I32" s="30" t="s">
        <v>2277</v>
      </c>
      <c r="J32" s="30" t="s">
        <v>2278</v>
      </c>
      <c r="K32" s="31" t="s">
        <v>95</v>
      </c>
      <c r="L32" s="30" t="s">
        <v>2282</v>
      </c>
      <c r="M32" s="26" t="s">
        <v>43</v>
      </c>
      <c r="N32" s="28"/>
      <c r="O32" s="28"/>
    </row>
    <row r="33" ht="57.75" customHeight="1">
      <c r="A33" s="78" t="s">
        <v>2284</v>
      </c>
      <c r="B33" s="17" t="s">
        <v>130</v>
      </c>
      <c r="C33" s="17" t="s">
        <v>116</v>
      </c>
      <c r="D33" s="22" t="s">
        <v>11</v>
      </c>
      <c r="E33" s="21" t="s">
        <v>2287</v>
      </c>
      <c r="F33" s="21">
        <v>3.0</v>
      </c>
      <c r="G33" s="21">
        <v>5.0</v>
      </c>
      <c r="H33" s="21">
        <v>6.0</v>
      </c>
      <c r="I33" s="21">
        <v>8.0</v>
      </c>
      <c r="J33" s="21">
        <v>10.0</v>
      </c>
      <c r="K33" s="23" t="s">
        <v>40</v>
      </c>
      <c r="L33" s="21" t="s">
        <v>2292</v>
      </c>
      <c r="M33" s="26" t="s">
        <v>43</v>
      </c>
      <c r="N33" s="17"/>
      <c r="O33" s="17"/>
    </row>
    <row r="34" ht="57.75" customHeight="1">
      <c r="A34" s="78" t="s">
        <v>2295</v>
      </c>
      <c r="B34" s="28" t="s">
        <v>130</v>
      </c>
      <c r="C34" s="28" t="s">
        <v>116</v>
      </c>
      <c r="D34" s="22" t="s">
        <v>11</v>
      </c>
      <c r="E34" s="30" t="s">
        <v>2296</v>
      </c>
      <c r="F34" s="30" t="s">
        <v>2297</v>
      </c>
      <c r="G34" s="30">
        <v>1.0</v>
      </c>
      <c r="H34" s="30" t="s">
        <v>2299</v>
      </c>
      <c r="I34" s="30">
        <v>2.0</v>
      </c>
      <c r="J34" s="30" t="s">
        <v>404</v>
      </c>
      <c r="K34" s="31" t="s">
        <v>40</v>
      </c>
      <c r="L34" s="30" t="s">
        <v>2302</v>
      </c>
      <c r="M34" s="26" t="s">
        <v>43</v>
      </c>
      <c r="N34" s="28"/>
      <c r="O34" s="28"/>
    </row>
    <row r="35" ht="57.75" customHeight="1">
      <c r="A35" s="78" t="s">
        <v>2306</v>
      </c>
      <c r="B35" s="17" t="s">
        <v>130</v>
      </c>
      <c r="C35" s="17" t="s">
        <v>116</v>
      </c>
      <c r="D35" s="22" t="s">
        <v>11</v>
      </c>
      <c r="E35" s="21" t="s">
        <v>2309</v>
      </c>
      <c r="F35" s="21">
        <v>36.0</v>
      </c>
      <c r="G35" s="21">
        <v>108.0</v>
      </c>
      <c r="H35" s="21">
        <v>216.0</v>
      </c>
      <c r="I35" s="21">
        <v>324.0</v>
      </c>
      <c r="J35" s="21">
        <v>432.0</v>
      </c>
      <c r="K35" s="23" t="s">
        <v>95</v>
      </c>
      <c r="L35" s="21" t="s">
        <v>2312</v>
      </c>
      <c r="M35" s="26" t="s">
        <v>43</v>
      </c>
      <c r="N35" s="17"/>
      <c r="O35" s="17"/>
    </row>
    <row r="36" ht="57.75" customHeight="1">
      <c r="A36" s="78" t="s">
        <v>2314</v>
      </c>
      <c r="B36" s="28" t="s">
        <v>130</v>
      </c>
      <c r="C36" s="28" t="s">
        <v>116</v>
      </c>
      <c r="D36" s="22" t="s">
        <v>11</v>
      </c>
      <c r="E36" s="30" t="s">
        <v>2315</v>
      </c>
      <c r="F36" s="30" t="s">
        <v>2317</v>
      </c>
      <c r="G36" s="30" t="s">
        <v>2318</v>
      </c>
      <c r="H36" s="30" t="s">
        <v>2320</v>
      </c>
      <c r="I36" s="30" t="s">
        <v>2321</v>
      </c>
      <c r="J36" s="30" t="s">
        <v>2322</v>
      </c>
      <c r="K36" s="31" t="s">
        <v>64</v>
      </c>
      <c r="L36" s="30" t="s">
        <v>2325</v>
      </c>
      <c r="M36" s="26" t="s">
        <v>43</v>
      </c>
      <c r="N36" s="28"/>
      <c r="O36" s="28"/>
    </row>
    <row r="37" ht="19.5" customHeight="1">
      <c r="A37" s="63" t="s">
        <v>279</v>
      </c>
      <c r="B37" s="3"/>
      <c r="C37" s="3"/>
      <c r="D37" s="3"/>
      <c r="E37" s="3"/>
      <c r="F37" s="3"/>
      <c r="G37" s="3"/>
      <c r="H37" s="3"/>
      <c r="I37" s="3"/>
      <c r="J37" s="3"/>
      <c r="K37" s="3"/>
      <c r="L37" s="3"/>
      <c r="M37" s="3"/>
      <c r="N37" s="3"/>
      <c r="O37" s="4"/>
    </row>
    <row r="38" ht="57.75" customHeight="1">
      <c r="A38" s="78" t="s">
        <v>2336</v>
      </c>
      <c r="B38" s="17" t="s">
        <v>130</v>
      </c>
      <c r="C38" s="17" t="s">
        <v>116</v>
      </c>
      <c r="D38" s="24" t="s">
        <v>12</v>
      </c>
      <c r="E38" s="21" t="s">
        <v>2339</v>
      </c>
      <c r="F38" s="21">
        <v>32.0</v>
      </c>
      <c r="G38" s="21">
        <v>48.0</v>
      </c>
      <c r="H38" s="21">
        <v>54.0</v>
      </c>
      <c r="I38" s="21">
        <v>64.0</v>
      </c>
      <c r="J38" s="21">
        <v>72.0</v>
      </c>
      <c r="K38" s="23" t="s">
        <v>64</v>
      </c>
      <c r="L38" s="21" t="s">
        <v>2344</v>
      </c>
      <c r="M38" s="26" t="s">
        <v>43</v>
      </c>
      <c r="N38" s="17"/>
      <c r="O38" s="17"/>
    </row>
    <row r="39" ht="57.75" customHeight="1">
      <c r="A39" s="78" t="s">
        <v>2348</v>
      </c>
      <c r="B39" s="28" t="s">
        <v>130</v>
      </c>
      <c r="C39" s="28" t="s">
        <v>116</v>
      </c>
      <c r="D39" s="24" t="s">
        <v>12</v>
      </c>
      <c r="E39" s="30" t="s">
        <v>2351</v>
      </c>
      <c r="F39" s="30" t="s">
        <v>2352</v>
      </c>
      <c r="G39" s="30" t="s">
        <v>2354</v>
      </c>
      <c r="H39" s="30" t="s">
        <v>2028</v>
      </c>
      <c r="I39" s="30" t="s">
        <v>2355</v>
      </c>
      <c r="J39" s="30" t="s">
        <v>2356</v>
      </c>
      <c r="K39" s="31" t="s">
        <v>95</v>
      </c>
      <c r="L39" s="30" t="s">
        <v>2360</v>
      </c>
      <c r="M39" s="26" t="s">
        <v>43</v>
      </c>
      <c r="N39" s="28"/>
      <c r="O39" s="28"/>
    </row>
    <row r="40" ht="57.75" customHeight="1">
      <c r="A40" s="78" t="s">
        <v>2361</v>
      </c>
      <c r="B40" s="17" t="s">
        <v>130</v>
      </c>
      <c r="C40" s="17" t="s">
        <v>116</v>
      </c>
      <c r="D40" s="24" t="s">
        <v>12</v>
      </c>
      <c r="E40" s="21" t="s">
        <v>2363</v>
      </c>
      <c r="F40" s="21" t="s">
        <v>297</v>
      </c>
      <c r="G40" s="21" t="s">
        <v>342</v>
      </c>
      <c r="H40" s="21" t="s">
        <v>299</v>
      </c>
      <c r="I40" s="21" t="s">
        <v>2365</v>
      </c>
      <c r="J40" s="21" t="s">
        <v>367</v>
      </c>
      <c r="K40" s="23" t="s">
        <v>40</v>
      </c>
      <c r="L40" s="21" t="s">
        <v>2366</v>
      </c>
      <c r="M40" s="26" t="s">
        <v>43</v>
      </c>
      <c r="N40" s="17"/>
      <c r="O40" s="17"/>
    </row>
    <row r="41" ht="57.75" customHeight="1">
      <c r="A41" s="78" t="s">
        <v>2368</v>
      </c>
      <c r="B41" s="28" t="s">
        <v>130</v>
      </c>
      <c r="C41" s="28" t="s">
        <v>116</v>
      </c>
      <c r="D41" s="24" t="s">
        <v>12</v>
      </c>
      <c r="E41" s="30" t="s">
        <v>2370</v>
      </c>
      <c r="F41" s="30">
        <v>3.0</v>
      </c>
      <c r="G41" s="30">
        <v>4.0</v>
      </c>
      <c r="H41" s="30">
        <v>5.0</v>
      </c>
      <c r="I41" s="30">
        <v>6.0</v>
      </c>
      <c r="J41" s="30">
        <v>7.0</v>
      </c>
      <c r="K41" s="31" t="s">
        <v>95</v>
      </c>
      <c r="L41" s="30" t="s">
        <v>2372</v>
      </c>
      <c r="M41" s="26" t="s">
        <v>43</v>
      </c>
      <c r="N41" s="28"/>
      <c r="O41" s="28"/>
    </row>
    <row r="42" ht="57.75" customHeight="1">
      <c r="A42" s="78" t="s">
        <v>2375</v>
      </c>
      <c r="B42" s="17" t="s">
        <v>130</v>
      </c>
      <c r="C42" s="17" t="s">
        <v>116</v>
      </c>
      <c r="D42" s="24" t="s">
        <v>12</v>
      </c>
      <c r="E42" s="21" t="s">
        <v>2378</v>
      </c>
      <c r="F42" s="21" t="s">
        <v>2380</v>
      </c>
      <c r="G42" s="21" t="s">
        <v>2382</v>
      </c>
      <c r="H42" s="21" t="s">
        <v>2384</v>
      </c>
      <c r="I42" s="21" t="s">
        <v>2385</v>
      </c>
      <c r="J42" s="21" t="s">
        <v>2387</v>
      </c>
      <c r="K42" s="23" t="s">
        <v>40</v>
      </c>
      <c r="L42" s="21" t="s">
        <v>2389</v>
      </c>
      <c r="M42" s="26" t="s">
        <v>43</v>
      </c>
      <c r="N42" s="17"/>
      <c r="O42" s="17"/>
    </row>
    <row r="43" ht="57.75" customHeight="1">
      <c r="A43" s="78" t="s">
        <v>2391</v>
      </c>
      <c r="B43" s="28" t="s">
        <v>130</v>
      </c>
      <c r="C43" s="28" t="s">
        <v>116</v>
      </c>
      <c r="D43" s="24" t="s">
        <v>12</v>
      </c>
      <c r="E43" s="30" t="s">
        <v>2396</v>
      </c>
      <c r="F43" s="30">
        <v>110.0</v>
      </c>
      <c r="G43" s="30">
        <v>170.0</v>
      </c>
      <c r="H43" s="30">
        <v>230.0</v>
      </c>
      <c r="I43" s="30">
        <v>290.0</v>
      </c>
      <c r="J43" s="30">
        <v>330.0</v>
      </c>
      <c r="K43" s="31" t="s">
        <v>95</v>
      </c>
      <c r="L43" s="30" t="s">
        <v>2402</v>
      </c>
      <c r="M43" s="26" t="s">
        <v>43</v>
      </c>
      <c r="N43" s="28"/>
      <c r="O43" s="28"/>
    </row>
    <row r="44" ht="57.75" customHeight="1">
      <c r="A44" s="78" t="s">
        <v>2404</v>
      </c>
      <c r="B44" s="17" t="s">
        <v>130</v>
      </c>
      <c r="C44" s="17" t="s">
        <v>116</v>
      </c>
      <c r="D44" s="24" t="s">
        <v>12</v>
      </c>
      <c r="E44" s="21" t="s">
        <v>2407</v>
      </c>
      <c r="F44" s="21" t="s">
        <v>297</v>
      </c>
      <c r="G44" s="21" t="s">
        <v>342</v>
      </c>
      <c r="H44" s="21" t="s">
        <v>299</v>
      </c>
      <c r="I44" s="21" t="s">
        <v>2365</v>
      </c>
      <c r="J44" s="21" t="s">
        <v>367</v>
      </c>
      <c r="K44" s="23" t="s">
        <v>64</v>
      </c>
      <c r="L44" s="21" t="s">
        <v>2411</v>
      </c>
      <c r="M44" s="26" t="s">
        <v>43</v>
      </c>
      <c r="N44" s="17"/>
      <c r="O44" s="17"/>
    </row>
    <row r="45" ht="57.75" customHeight="1">
      <c r="A45" s="78" t="s">
        <v>2414</v>
      </c>
      <c r="B45" s="28" t="s">
        <v>130</v>
      </c>
      <c r="C45" s="28" t="s">
        <v>116</v>
      </c>
      <c r="D45" s="24" t="s">
        <v>12</v>
      </c>
      <c r="E45" s="30" t="s">
        <v>2417</v>
      </c>
      <c r="F45" s="30">
        <v>3.0</v>
      </c>
      <c r="G45" s="30">
        <v>4.0</v>
      </c>
      <c r="H45" s="30">
        <v>6.0</v>
      </c>
      <c r="I45" s="30">
        <v>8.0</v>
      </c>
      <c r="J45" s="30">
        <v>9.0</v>
      </c>
      <c r="K45" s="31" t="s">
        <v>95</v>
      </c>
      <c r="L45" s="30" t="s">
        <v>2422</v>
      </c>
      <c r="M45" s="26" t="s">
        <v>43</v>
      </c>
      <c r="N45" s="28"/>
      <c r="O45" s="28"/>
    </row>
    <row r="46" ht="57.75" customHeight="1">
      <c r="A46" s="78" t="s">
        <v>2424</v>
      </c>
      <c r="B46" s="17" t="s">
        <v>130</v>
      </c>
      <c r="C46" s="17" t="s">
        <v>116</v>
      </c>
      <c r="D46" s="24" t="s">
        <v>12</v>
      </c>
      <c r="E46" s="21" t="s">
        <v>2427</v>
      </c>
      <c r="F46" s="21" t="s">
        <v>2380</v>
      </c>
      <c r="G46" s="21" t="s">
        <v>2382</v>
      </c>
      <c r="H46" s="21" t="s">
        <v>2384</v>
      </c>
      <c r="I46" s="21" t="s">
        <v>2385</v>
      </c>
      <c r="J46" s="21" t="s">
        <v>2387</v>
      </c>
      <c r="K46" s="23" t="s">
        <v>40</v>
      </c>
      <c r="L46" s="21" t="s">
        <v>2432</v>
      </c>
      <c r="M46" s="26" t="s">
        <v>43</v>
      </c>
      <c r="N46" s="17"/>
      <c r="O46" s="17"/>
    </row>
    <row r="47" ht="57.75" customHeight="1">
      <c r="A47" s="78" t="s">
        <v>2433</v>
      </c>
      <c r="B47" s="28" t="s">
        <v>130</v>
      </c>
      <c r="C47" s="28" t="s">
        <v>116</v>
      </c>
      <c r="D47" s="24" t="s">
        <v>12</v>
      </c>
      <c r="E47" s="30" t="s">
        <v>2436</v>
      </c>
      <c r="F47" s="30">
        <v>1440.0</v>
      </c>
      <c r="G47" s="30">
        <v>1584.0</v>
      </c>
      <c r="H47" s="30">
        <v>1620.0</v>
      </c>
      <c r="I47" s="30">
        <v>1680.0</v>
      </c>
      <c r="J47" s="30">
        <v>1728.0</v>
      </c>
      <c r="K47" s="31" t="s">
        <v>64</v>
      </c>
      <c r="L47" s="30" t="s">
        <v>2440</v>
      </c>
      <c r="M47" s="26" t="s">
        <v>43</v>
      </c>
      <c r="N47" s="28"/>
      <c r="O47" s="28"/>
    </row>
    <row r="48" ht="57.75" customHeight="1">
      <c r="A48" s="78" t="s">
        <v>2443</v>
      </c>
      <c r="B48" s="17" t="s">
        <v>130</v>
      </c>
      <c r="C48" s="17" t="s">
        <v>116</v>
      </c>
      <c r="D48" s="24" t="s">
        <v>12</v>
      </c>
      <c r="E48" s="21" t="s">
        <v>2444</v>
      </c>
      <c r="F48" s="21">
        <v>72.0</v>
      </c>
      <c r="G48" s="21">
        <v>144.0</v>
      </c>
      <c r="H48" s="21">
        <v>288.0</v>
      </c>
      <c r="I48" s="21">
        <v>432.0</v>
      </c>
      <c r="J48" s="21">
        <v>504.0</v>
      </c>
      <c r="K48" s="23" t="s">
        <v>78</v>
      </c>
      <c r="L48" s="21" t="s">
        <v>2448</v>
      </c>
      <c r="M48" s="26" t="s">
        <v>43</v>
      </c>
      <c r="N48" s="17"/>
      <c r="O48" s="17"/>
    </row>
    <row r="49" ht="57.75" customHeight="1">
      <c r="A49" s="78" t="s">
        <v>2450</v>
      </c>
      <c r="B49" s="28" t="s">
        <v>130</v>
      </c>
      <c r="C49" s="28" t="s">
        <v>116</v>
      </c>
      <c r="D49" s="24" t="s">
        <v>12</v>
      </c>
      <c r="E49" s="30" t="s">
        <v>2453</v>
      </c>
      <c r="F49" s="30" t="s">
        <v>297</v>
      </c>
      <c r="G49" s="30" t="s">
        <v>342</v>
      </c>
      <c r="H49" s="30" t="s">
        <v>299</v>
      </c>
      <c r="I49" s="30" t="s">
        <v>2365</v>
      </c>
      <c r="J49" s="30" t="s">
        <v>367</v>
      </c>
      <c r="K49" s="31" t="s">
        <v>95</v>
      </c>
      <c r="L49" s="30" t="s">
        <v>2459</v>
      </c>
      <c r="M49" s="26" t="s">
        <v>43</v>
      </c>
      <c r="N49" s="28"/>
      <c r="O49" s="28"/>
    </row>
    <row r="50" ht="57.75" customHeight="1">
      <c r="A50" s="78" t="s">
        <v>2461</v>
      </c>
      <c r="B50" s="17" t="s">
        <v>130</v>
      </c>
      <c r="C50" s="17" t="s">
        <v>116</v>
      </c>
      <c r="D50" s="24" t="s">
        <v>12</v>
      </c>
      <c r="E50" s="21" t="s">
        <v>2465</v>
      </c>
      <c r="F50" s="21">
        <v>4.0</v>
      </c>
      <c r="G50" s="21">
        <v>5.0</v>
      </c>
      <c r="H50" s="21">
        <v>6.0</v>
      </c>
      <c r="I50" s="21">
        <v>8.0</v>
      </c>
      <c r="J50" s="21">
        <v>10.0</v>
      </c>
      <c r="K50" s="23" t="s">
        <v>117</v>
      </c>
      <c r="L50" s="21" t="s">
        <v>2468</v>
      </c>
      <c r="M50" s="26" t="s">
        <v>43</v>
      </c>
      <c r="N50" s="17"/>
      <c r="O50" s="17"/>
    </row>
    <row r="51" ht="57.75" customHeight="1">
      <c r="A51" s="78" t="s">
        <v>2470</v>
      </c>
      <c r="B51" s="28" t="s">
        <v>130</v>
      </c>
      <c r="C51" s="28" t="s">
        <v>116</v>
      </c>
      <c r="D51" s="24" t="s">
        <v>12</v>
      </c>
      <c r="E51" s="30" t="s">
        <v>2473</v>
      </c>
      <c r="F51" s="30" t="s">
        <v>2380</v>
      </c>
      <c r="G51" s="30" t="s">
        <v>2382</v>
      </c>
      <c r="H51" s="30" t="s">
        <v>2384</v>
      </c>
      <c r="I51" s="30" t="s">
        <v>2385</v>
      </c>
      <c r="J51" s="30" t="s">
        <v>2387</v>
      </c>
      <c r="K51" s="31" t="s">
        <v>64</v>
      </c>
      <c r="L51" s="30" t="s">
        <v>2477</v>
      </c>
      <c r="M51" s="26" t="s">
        <v>43</v>
      </c>
      <c r="N51" s="28"/>
      <c r="O51" s="28"/>
    </row>
    <row r="52" ht="57.75" customHeight="1">
      <c r="A52" s="78" t="s">
        <v>2479</v>
      </c>
      <c r="B52" s="17" t="s">
        <v>130</v>
      </c>
      <c r="C52" s="17" t="s">
        <v>116</v>
      </c>
      <c r="D52" s="24" t="s">
        <v>12</v>
      </c>
      <c r="E52" s="21" t="s">
        <v>2481</v>
      </c>
      <c r="F52" s="21">
        <v>8.0</v>
      </c>
      <c r="G52" s="21">
        <v>9.0</v>
      </c>
      <c r="H52" s="21">
        <v>10.0</v>
      </c>
      <c r="I52" s="21">
        <v>12.0</v>
      </c>
      <c r="J52" s="21">
        <v>15.0</v>
      </c>
      <c r="K52" s="23" t="s">
        <v>117</v>
      </c>
      <c r="L52" s="21" t="s">
        <v>2485</v>
      </c>
      <c r="M52" s="26" t="s">
        <v>43</v>
      </c>
      <c r="N52" s="17"/>
      <c r="O52" s="17"/>
    </row>
    <row r="53" ht="25.5" customHeight="1">
      <c r="A53" s="55" t="s">
        <v>2489</v>
      </c>
      <c r="B53" s="57"/>
      <c r="C53" s="57"/>
      <c r="D53" s="57"/>
      <c r="E53" s="57"/>
      <c r="F53" s="57"/>
      <c r="G53" s="57"/>
      <c r="H53" s="57"/>
      <c r="I53" s="57"/>
      <c r="J53" s="58"/>
      <c r="M53" s="79">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76" t="s">
        <v>1960</v>
      </c>
      <c r="B1" s="3"/>
      <c r="C1" s="3"/>
      <c r="D1" s="3"/>
      <c r="E1" s="3"/>
      <c r="F1" s="3"/>
      <c r="G1" s="3"/>
      <c r="H1" s="3"/>
      <c r="I1" s="3"/>
      <c r="J1" s="3"/>
      <c r="K1" s="3"/>
      <c r="L1" s="3"/>
      <c r="M1" s="3"/>
      <c r="N1" s="3"/>
      <c r="O1" s="4"/>
    </row>
    <row r="2" ht="30.0" customHeight="1">
      <c r="A2" s="77" t="s">
        <v>1967</v>
      </c>
      <c r="B2" s="3"/>
      <c r="C2" s="3"/>
      <c r="D2" s="3"/>
      <c r="E2" s="3"/>
      <c r="F2" s="3"/>
      <c r="G2" s="3"/>
      <c r="H2" s="3"/>
      <c r="I2" s="3"/>
      <c r="J2" s="3"/>
      <c r="K2" s="3"/>
      <c r="L2" s="3"/>
      <c r="M2" s="3"/>
      <c r="N2" s="3"/>
      <c r="O2" s="4"/>
    </row>
    <row r="3" ht="19.5" customHeight="1">
      <c r="A3" s="7" t="s">
        <v>6</v>
      </c>
      <c r="B3" s="3"/>
      <c r="C3" s="3"/>
      <c r="D3" s="3"/>
      <c r="E3" s="3"/>
      <c r="F3" s="3"/>
      <c r="G3" s="3"/>
      <c r="H3" s="3"/>
      <c r="I3" s="3"/>
      <c r="J3" s="3"/>
      <c r="K3" s="3"/>
      <c r="L3" s="3"/>
      <c r="M3" s="3"/>
      <c r="N3" s="3"/>
      <c r="O3" s="4"/>
    </row>
    <row r="4" ht="24.75" customHeight="1">
      <c r="A4" s="9" t="s">
        <v>8</v>
      </c>
      <c r="B4" s="9" t="s">
        <v>7</v>
      </c>
      <c r="C4" s="9" t="s">
        <v>13</v>
      </c>
      <c r="D4" s="9" t="s">
        <v>15</v>
      </c>
      <c r="E4" s="9" t="s">
        <v>17</v>
      </c>
      <c r="F4" s="9" t="s">
        <v>18</v>
      </c>
      <c r="G4" s="9" t="s">
        <v>20</v>
      </c>
      <c r="H4" s="9" t="s">
        <v>21</v>
      </c>
      <c r="I4" s="9" t="s">
        <v>22</v>
      </c>
      <c r="J4" s="9" t="s">
        <v>23</v>
      </c>
      <c r="K4" s="9" t="s">
        <v>25</v>
      </c>
      <c r="L4" s="9" t="s">
        <v>26</v>
      </c>
      <c r="M4" s="9" t="s">
        <v>19</v>
      </c>
      <c r="N4" s="9" t="s">
        <v>27</v>
      </c>
      <c r="O4" s="9" t="s">
        <v>28</v>
      </c>
    </row>
    <row r="5" ht="19.5" customHeight="1">
      <c r="A5" s="13" t="s">
        <v>29</v>
      </c>
      <c r="B5" s="3"/>
      <c r="C5" s="3"/>
      <c r="D5" s="3"/>
      <c r="E5" s="3"/>
      <c r="F5" s="3"/>
      <c r="G5" s="3"/>
      <c r="H5" s="3"/>
      <c r="I5" s="3"/>
      <c r="J5" s="3"/>
      <c r="K5" s="3"/>
      <c r="L5" s="3"/>
      <c r="M5" s="3"/>
      <c r="N5" s="3"/>
      <c r="O5" s="4"/>
    </row>
    <row r="6" ht="57.75" customHeight="1">
      <c r="A6" s="78" t="s">
        <v>1992</v>
      </c>
      <c r="B6" s="17" t="s">
        <v>136</v>
      </c>
      <c r="C6" s="17" t="s">
        <v>116</v>
      </c>
      <c r="D6" s="19" t="s">
        <v>9</v>
      </c>
      <c r="E6" s="21" t="s">
        <v>2000</v>
      </c>
      <c r="F6" s="35">
        <v>46085.0</v>
      </c>
      <c r="G6" s="35">
        <v>46117.0</v>
      </c>
      <c r="H6" s="35">
        <v>46146.0</v>
      </c>
      <c r="I6" s="35">
        <v>46115.0</v>
      </c>
      <c r="J6" s="35">
        <v>46145.0</v>
      </c>
      <c r="K6" s="23" t="s">
        <v>64</v>
      </c>
      <c r="L6" s="21" t="s">
        <v>2006</v>
      </c>
      <c r="M6" s="26" t="s">
        <v>43</v>
      </c>
      <c r="N6" s="17"/>
      <c r="O6" s="17"/>
    </row>
    <row r="7" ht="57.75" customHeight="1">
      <c r="A7" s="78" t="s">
        <v>2011</v>
      </c>
      <c r="B7" s="28" t="s">
        <v>136</v>
      </c>
      <c r="C7" s="28" t="s">
        <v>116</v>
      </c>
      <c r="D7" s="19" t="s">
        <v>9</v>
      </c>
      <c r="E7" s="30" t="s">
        <v>2016</v>
      </c>
      <c r="F7" s="40">
        <v>46369.0</v>
      </c>
      <c r="G7" s="40">
        <v>46154.0</v>
      </c>
      <c r="H7" s="40">
        <v>46361.0</v>
      </c>
      <c r="I7" s="30" t="s">
        <v>2021</v>
      </c>
      <c r="J7" s="30" t="s">
        <v>281</v>
      </c>
      <c r="K7" s="31" t="s">
        <v>95</v>
      </c>
      <c r="L7" s="30" t="s">
        <v>2025</v>
      </c>
      <c r="M7" s="26" t="s">
        <v>43</v>
      </c>
      <c r="N7" s="28"/>
      <c r="O7" s="28"/>
    </row>
    <row r="8" ht="57.75" customHeight="1">
      <c r="A8" s="78" t="s">
        <v>2030</v>
      </c>
      <c r="B8" s="17" t="s">
        <v>136</v>
      </c>
      <c r="C8" s="17" t="s">
        <v>116</v>
      </c>
      <c r="D8" s="19" t="s">
        <v>9</v>
      </c>
      <c r="E8" s="21" t="s">
        <v>2034</v>
      </c>
      <c r="F8" s="21">
        <v>10.0</v>
      </c>
      <c r="G8" s="21">
        <v>15.0</v>
      </c>
      <c r="H8" s="21">
        <v>20.0</v>
      </c>
      <c r="I8" s="21">
        <v>25.0</v>
      </c>
      <c r="J8" s="21">
        <v>30.0</v>
      </c>
      <c r="K8" s="23" t="s">
        <v>95</v>
      </c>
      <c r="L8" s="21" t="s">
        <v>2039</v>
      </c>
      <c r="M8" s="26" t="s">
        <v>43</v>
      </c>
      <c r="N8" s="17"/>
      <c r="O8" s="17"/>
    </row>
    <row r="9" ht="57.75" customHeight="1">
      <c r="A9" s="78" t="s">
        <v>2041</v>
      </c>
      <c r="B9" s="28" t="s">
        <v>136</v>
      </c>
      <c r="C9" s="28" t="s">
        <v>116</v>
      </c>
      <c r="D9" s="19" t="s">
        <v>9</v>
      </c>
      <c r="E9" s="30" t="s">
        <v>2043</v>
      </c>
      <c r="F9" s="30">
        <v>20.0</v>
      </c>
      <c r="G9" s="30">
        <v>30.0</v>
      </c>
      <c r="H9" s="30">
        <v>40.0</v>
      </c>
      <c r="I9" s="30">
        <v>50.0</v>
      </c>
      <c r="J9" s="30">
        <v>60.0</v>
      </c>
      <c r="K9" s="31" t="s">
        <v>64</v>
      </c>
      <c r="L9" s="30" t="s">
        <v>2047</v>
      </c>
      <c r="M9" s="26" t="s">
        <v>43</v>
      </c>
      <c r="N9" s="28"/>
      <c r="O9" s="28"/>
    </row>
    <row r="10" ht="57.75" customHeight="1">
      <c r="A10" s="78" t="s">
        <v>2049</v>
      </c>
      <c r="B10" s="17" t="s">
        <v>136</v>
      </c>
      <c r="C10" s="17" t="s">
        <v>116</v>
      </c>
      <c r="D10" s="19" t="s">
        <v>9</v>
      </c>
      <c r="E10" s="21" t="s">
        <v>2052</v>
      </c>
      <c r="F10" s="35">
        <v>46249.0</v>
      </c>
      <c r="G10" s="21" t="s">
        <v>2054</v>
      </c>
      <c r="H10" s="21" t="s">
        <v>2055</v>
      </c>
      <c r="I10" s="21" t="s">
        <v>2057</v>
      </c>
      <c r="J10" s="21" t="s">
        <v>2059</v>
      </c>
      <c r="K10" s="23" t="s">
        <v>64</v>
      </c>
      <c r="L10" s="21" t="s">
        <v>2064</v>
      </c>
      <c r="M10" s="26" t="s">
        <v>43</v>
      </c>
      <c r="N10" s="17"/>
      <c r="O10" s="17"/>
    </row>
    <row r="11" ht="57.75" customHeight="1">
      <c r="A11" s="78" t="s">
        <v>2067</v>
      </c>
      <c r="B11" s="28" t="s">
        <v>136</v>
      </c>
      <c r="C11" s="28" t="s">
        <v>116</v>
      </c>
      <c r="D11" s="19" t="s">
        <v>9</v>
      </c>
      <c r="E11" s="30" t="s">
        <v>2070</v>
      </c>
      <c r="F11" s="30">
        <v>-2.0</v>
      </c>
      <c r="G11" s="30" t="s">
        <v>2072</v>
      </c>
      <c r="H11" s="40">
        <v>46024.0</v>
      </c>
      <c r="I11" s="30">
        <v>2.0</v>
      </c>
      <c r="J11" s="30">
        <v>4.0</v>
      </c>
      <c r="K11" s="31" t="s">
        <v>117</v>
      </c>
      <c r="L11" s="30" t="s">
        <v>2076</v>
      </c>
      <c r="M11" s="26" t="s">
        <v>43</v>
      </c>
      <c r="N11" s="28"/>
      <c r="O11" s="28"/>
    </row>
    <row r="12" ht="57.75" customHeight="1">
      <c r="A12" s="78" t="s">
        <v>2078</v>
      </c>
      <c r="B12" s="17" t="s">
        <v>136</v>
      </c>
      <c r="C12" s="17" t="s">
        <v>116</v>
      </c>
      <c r="D12" s="19" t="s">
        <v>9</v>
      </c>
      <c r="E12" s="21" t="s">
        <v>2082</v>
      </c>
      <c r="F12" s="21">
        <v>-2.0</v>
      </c>
      <c r="G12" s="21" t="s">
        <v>2072</v>
      </c>
      <c r="H12" s="35">
        <v>46024.0</v>
      </c>
      <c r="I12" s="21">
        <v>2.0</v>
      </c>
      <c r="J12" s="21">
        <v>3.0</v>
      </c>
      <c r="K12" s="23" t="s">
        <v>117</v>
      </c>
      <c r="L12" s="21" t="s">
        <v>2087</v>
      </c>
      <c r="M12" s="26" t="s">
        <v>43</v>
      </c>
      <c r="N12" s="17"/>
      <c r="O12" s="17"/>
    </row>
    <row r="13" ht="57.75" customHeight="1">
      <c r="A13" s="78" t="s">
        <v>2088</v>
      </c>
      <c r="B13" s="28" t="s">
        <v>136</v>
      </c>
      <c r="C13" s="28" t="s">
        <v>116</v>
      </c>
      <c r="D13" s="19" t="s">
        <v>9</v>
      </c>
      <c r="E13" s="30" t="s">
        <v>2091</v>
      </c>
      <c r="F13" s="30">
        <v>10.0</v>
      </c>
      <c r="G13" s="30">
        <v>15.0</v>
      </c>
      <c r="H13" s="30">
        <v>20.0</v>
      </c>
      <c r="I13" s="30">
        <v>25.0</v>
      </c>
      <c r="J13" s="30">
        <v>30.0</v>
      </c>
      <c r="K13" s="31" t="s">
        <v>95</v>
      </c>
      <c r="L13" s="30" t="s">
        <v>2095</v>
      </c>
      <c r="M13" s="26" t="s">
        <v>43</v>
      </c>
      <c r="N13" s="28"/>
      <c r="O13" s="28"/>
    </row>
    <row r="14" ht="57.75" customHeight="1">
      <c r="A14" s="78" t="s">
        <v>2097</v>
      </c>
      <c r="B14" s="17" t="s">
        <v>136</v>
      </c>
      <c r="C14" s="17" t="s">
        <v>116</v>
      </c>
      <c r="D14" s="19" t="s">
        <v>9</v>
      </c>
      <c r="E14" s="21" t="s">
        <v>2100</v>
      </c>
      <c r="F14" s="35">
        <v>46026.0</v>
      </c>
      <c r="G14" s="35">
        <v>46024.0</v>
      </c>
      <c r="H14" s="21" t="s">
        <v>2103</v>
      </c>
      <c r="I14" s="21">
        <v>1.0</v>
      </c>
      <c r="J14" s="21" t="s">
        <v>2104</v>
      </c>
      <c r="K14" s="23" t="s">
        <v>64</v>
      </c>
      <c r="L14" s="21" t="s">
        <v>2107</v>
      </c>
      <c r="M14" s="26" t="s">
        <v>43</v>
      </c>
      <c r="N14" s="17"/>
      <c r="O14" s="17"/>
    </row>
    <row r="15" ht="57.75" customHeight="1">
      <c r="A15" s="78" t="s">
        <v>2109</v>
      </c>
      <c r="B15" s="28" t="s">
        <v>136</v>
      </c>
      <c r="C15" s="28" t="s">
        <v>116</v>
      </c>
      <c r="D15" s="19" t="s">
        <v>9</v>
      </c>
      <c r="E15" s="30" t="s">
        <v>2112</v>
      </c>
      <c r="F15" s="30">
        <v>10.0</v>
      </c>
      <c r="G15" s="30">
        <v>15.0</v>
      </c>
      <c r="H15" s="30">
        <v>20.0</v>
      </c>
      <c r="I15" s="30">
        <v>25.0</v>
      </c>
      <c r="J15" s="30">
        <v>30.0</v>
      </c>
      <c r="K15" s="31" t="s">
        <v>117</v>
      </c>
      <c r="L15" s="30" t="s">
        <v>2116</v>
      </c>
      <c r="M15" s="26" t="s">
        <v>43</v>
      </c>
      <c r="N15" s="28"/>
      <c r="O15" s="28"/>
    </row>
    <row r="16" ht="57.75" customHeight="1">
      <c r="A16" s="78" t="s">
        <v>2118</v>
      </c>
      <c r="B16" s="17" t="s">
        <v>136</v>
      </c>
      <c r="C16" s="17" t="s">
        <v>116</v>
      </c>
      <c r="D16" s="19" t="s">
        <v>9</v>
      </c>
      <c r="E16" s="21" t="s">
        <v>2121</v>
      </c>
      <c r="F16" s="35">
        <v>46024.0</v>
      </c>
      <c r="G16" s="21" t="s">
        <v>2103</v>
      </c>
      <c r="H16" s="21" t="s">
        <v>2123</v>
      </c>
      <c r="I16" s="21">
        <v>1.0</v>
      </c>
      <c r="J16" s="21">
        <v>0.0</v>
      </c>
      <c r="K16" s="23" t="s">
        <v>40</v>
      </c>
      <c r="L16" s="21" t="s">
        <v>2129</v>
      </c>
      <c r="M16" s="26" t="s">
        <v>43</v>
      </c>
      <c r="N16" s="17"/>
      <c r="O16" s="17"/>
    </row>
    <row r="17" ht="57.75" customHeight="1">
      <c r="A17" s="78" t="s">
        <v>2132</v>
      </c>
      <c r="B17" s="28" t="s">
        <v>136</v>
      </c>
      <c r="C17" s="28" t="s">
        <v>116</v>
      </c>
      <c r="D17" s="19" t="s">
        <v>9</v>
      </c>
      <c r="E17" s="30" t="s">
        <v>2135</v>
      </c>
      <c r="F17" s="30" t="s">
        <v>2136</v>
      </c>
      <c r="G17" s="30" t="s">
        <v>2137</v>
      </c>
      <c r="H17" s="40">
        <v>46085.0</v>
      </c>
      <c r="I17" s="40">
        <v>46115.0</v>
      </c>
      <c r="J17" s="30">
        <v>3.0</v>
      </c>
      <c r="K17" s="31" t="s">
        <v>117</v>
      </c>
      <c r="L17" s="30" t="s">
        <v>2138</v>
      </c>
      <c r="M17" s="26" t="s">
        <v>43</v>
      </c>
      <c r="N17" s="28"/>
      <c r="O17" s="28"/>
    </row>
    <row r="18" ht="57.75" customHeight="1">
      <c r="A18" s="78" t="s">
        <v>2139</v>
      </c>
      <c r="B18" s="17" t="s">
        <v>136</v>
      </c>
      <c r="C18" s="17" t="s">
        <v>116</v>
      </c>
      <c r="D18" s="19" t="s">
        <v>9</v>
      </c>
      <c r="E18" s="21" t="s">
        <v>2141</v>
      </c>
      <c r="F18" s="21">
        <v>10.0</v>
      </c>
      <c r="G18" s="21">
        <v>15.0</v>
      </c>
      <c r="H18" s="21">
        <v>20.0</v>
      </c>
      <c r="I18" s="21">
        <v>25.0</v>
      </c>
      <c r="J18" s="21">
        <v>30.0</v>
      </c>
      <c r="K18" s="23" t="s">
        <v>95</v>
      </c>
      <c r="L18" s="21" t="s">
        <v>2143</v>
      </c>
      <c r="M18" s="26" t="s">
        <v>43</v>
      </c>
      <c r="N18" s="17"/>
      <c r="O18" s="17"/>
    </row>
    <row r="19" ht="57.75" customHeight="1">
      <c r="A19" s="78" t="s">
        <v>2144</v>
      </c>
      <c r="B19" s="28" t="s">
        <v>136</v>
      </c>
      <c r="C19" s="28" t="s">
        <v>116</v>
      </c>
      <c r="D19" s="19" t="s">
        <v>9</v>
      </c>
      <c r="E19" s="30" t="s">
        <v>2148</v>
      </c>
      <c r="F19" s="30" t="s">
        <v>2150</v>
      </c>
      <c r="G19" s="30" t="s">
        <v>2152</v>
      </c>
      <c r="H19" s="30" t="s">
        <v>2154</v>
      </c>
      <c r="I19" s="30" t="s">
        <v>2155</v>
      </c>
      <c r="J19" s="30" t="s">
        <v>2157</v>
      </c>
      <c r="K19" s="31" t="s">
        <v>117</v>
      </c>
      <c r="L19" s="30" t="s">
        <v>2160</v>
      </c>
      <c r="M19" s="26" t="s">
        <v>43</v>
      </c>
      <c r="N19" s="28"/>
      <c r="O19" s="28"/>
    </row>
    <row r="20" ht="57.75" customHeight="1">
      <c r="A20" s="78" t="s">
        <v>2161</v>
      </c>
      <c r="B20" s="17" t="s">
        <v>136</v>
      </c>
      <c r="C20" s="17" t="s">
        <v>116</v>
      </c>
      <c r="D20" s="19" t="s">
        <v>9</v>
      </c>
      <c r="E20" s="21" t="s">
        <v>2163</v>
      </c>
      <c r="F20" s="35">
        <v>46086.0</v>
      </c>
      <c r="G20" s="35">
        <v>46117.0</v>
      </c>
      <c r="H20" s="35">
        <v>46208.0</v>
      </c>
      <c r="I20" s="21">
        <v>1.0</v>
      </c>
      <c r="J20" s="35">
        <v>46381.0</v>
      </c>
      <c r="K20" s="23" t="s">
        <v>95</v>
      </c>
      <c r="L20" s="21" t="s">
        <v>2166</v>
      </c>
      <c r="M20" s="26" t="s">
        <v>43</v>
      </c>
      <c r="N20" s="17"/>
      <c r="O20" s="17"/>
    </row>
    <row r="21" ht="19.5" customHeight="1">
      <c r="A21" s="46" t="s">
        <v>166</v>
      </c>
      <c r="B21" s="3"/>
      <c r="C21" s="3"/>
      <c r="D21" s="3"/>
      <c r="E21" s="3"/>
      <c r="F21" s="3"/>
      <c r="G21" s="3"/>
      <c r="H21" s="3"/>
      <c r="I21" s="3"/>
      <c r="J21" s="3"/>
      <c r="K21" s="3"/>
      <c r="L21" s="3"/>
      <c r="M21" s="3"/>
      <c r="N21" s="3"/>
      <c r="O21" s="4"/>
    </row>
    <row r="22" ht="57.75" customHeight="1">
      <c r="A22" s="78" t="s">
        <v>2177</v>
      </c>
      <c r="B22" s="28" t="s">
        <v>136</v>
      </c>
      <c r="C22" s="28" t="s">
        <v>116</v>
      </c>
      <c r="D22" s="22" t="s">
        <v>11</v>
      </c>
      <c r="E22" s="30" t="s">
        <v>2182</v>
      </c>
      <c r="F22" s="30" t="s">
        <v>2183</v>
      </c>
      <c r="G22" s="30" t="s">
        <v>2184</v>
      </c>
      <c r="H22" s="30" t="s">
        <v>2185</v>
      </c>
      <c r="I22" s="30" t="s">
        <v>2186</v>
      </c>
      <c r="J22" s="30" t="s">
        <v>2187</v>
      </c>
      <c r="K22" s="31" t="s">
        <v>40</v>
      </c>
      <c r="L22" s="28"/>
      <c r="M22" s="26" t="s">
        <v>43</v>
      </c>
      <c r="N22" s="28"/>
      <c r="O22" s="28"/>
    </row>
    <row r="23" ht="57.75" customHeight="1">
      <c r="A23" s="78" t="s">
        <v>2191</v>
      </c>
      <c r="B23" s="17" t="s">
        <v>136</v>
      </c>
      <c r="C23" s="17" t="s">
        <v>116</v>
      </c>
      <c r="D23" s="22" t="s">
        <v>11</v>
      </c>
      <c r="E23" s="21" t="s">
        <v>2193</v>
      </c>
      <c r="F23" s="21" t="s">
        <v>2194</v>
      </c>
      <c r="G23" s="21" t="s">
        <v>2195</v>
      </c>
      <c r="H23" s="21" t="s">
        <v>2196</v>
      </c>
      <c r="I23" s="21" t="s">
        <v>2198</v>
      </c>
      <c r="J23" s="21" t="s">
        <v>2199</v>
      </c>
      <c r="K23" s="23" t="s">
        <v>95</v>
      </c>
      <c r="L23" s="17"/>
      <c r="M23" s="26" t="s">
        <v>43</v>
      </c>
      <c r="N23" s="17"/>
      <c r="O23" s="17"/>
    </row>
    <row r="24" ht="57.75" customHeight="1">
      <c r="A24" s="78" t="s">
        <v>2202</v>
      </c>
      <c r="B24" s="28" t="s">
        <v>136</v>
      </c>
      <c r="C24" s="28" t="s">
        <v>116</v>
      </c>
      <c r="D24" s="22" t="s">
        <v>11</v>
      </c>
      <c r="E24" s="30" t="s">
        <v>2204</v>
      </c>
      <c r="F24" s="40">
        <v>46228.0</v>
      </c>
      <c r="G24" s="40">
        <v>46381.0</v>
      </c>
      <c r="H24" s="30" t="s">
        <v>2206</v>
      </c>
      <c r="I24" s="30">
        <v>1.0</v>
      </c>
      <c r="J24" s="30" t="s">
        <v>2207</v>
      </c>
      <c r="K24" s="31" t="s">
        <v>117</v>
      </c>
      <c r="L24" s="28"/>
      <c r="M24" s="26" t="s">
        <v>43</v>
      </c>
      <c r="N24" s="28"/>
      <c r="O24" s="28"/>
    </row>
    <row r="25" ht="57.75" customHeight="1">
      <c r="A25" s="78" t="s">
        <v>2211</v>
      </c>
      <c r="B25" s="17" t="s">
        <v>136</v>
      </c>
      <c r="C25" s="17" t="s">
        <v>116</v>
      </c>
      <c r="D25" s="22" t="s">
        <v>11</v>
      </c>
      <c r="E25" s="21" t="s">
        <v>2215</v>
      </c>
      <c r="F25" s="21" t="s">
        <v>2218</v>
      </c>
      <c r="G25" s="21" t="s">
        <v>2220</v>
      </c>
      <c r="H25" s="21" t="s">
        <v>2222</v>
      </c>
      <c r="I25" s="21" t="s">
        <v>2224</v>
      </c>
      <c r="J25" s="21" t="s">
        <v>2227</v>
      </c>
      <c r="K25" s="23" t="s">
        <v>40</v>
      </c>
      <c r="L25" s="17"/>
      <c r="M25" s="26" t="s">
        <v>43</v>
      </c>
      <c r="N25" s="17"/>
      <c r="O25" s="17"/>
    </row>
    <row r="26" ht="57.75" customHeight="1">
      <c r="A26" s="78" t="s">
        <v>2230</v>
      </c>
      <c r="B26" s="28" t="s">
        <v>136</v>
      </c>
      <c r="C26" s="28" t="s">
        <v>116</v>
      </c>
      <c r="D26" s="22" t="s">
        <v>11</v>
      </c>
      <c r="E26" s="30" t="s">
        <v>2232</v>
      </c>
      <c r="F26" s="30" t="s">
        <v>2234</v>
      </c>
      <c r="G26" s="30" t="s">
        <v>2235</v>
      </c>
      <c r="H26" s="30" t="s">
        <v>2237</v>
      </c>
      <c r="I26" s="30" t="s">
        <v>2238</v>
      </c>
      <c r="J26" s="30" t="s">
        <v>2239</v>
      </c>
      <c r="K26" s="31" t="s">
        <v>95</v>
      </c>
      <c r="L26" s="28"/>
      <c r="M26" s="26" t="s">
        <v>43</v>
      </c>
      <c r="N26" s="28"/>
      <c r="O26" s="28"/>
    </row>
    <row r="27" ht="57.75" customHeight="1">
      <c r="A27" s="78" t="s">
        <v>2241</v>
      </c>
      <c r="B27" s="17" t="s">
        <v>136</v>
      </c>
      <c r="C27" s="17" t="s">
        <v>116</v>
      </c>
      <c r="D27" s="22" t="s">
        <v>11</v>
      </c>
      <c r="E27" s="21" t="s">
        <v>2244</v>
      </c>
      <c r="F27" s="21" t="s">
        <v>2246</v>
      </c>
      <c r="G27" s="21" t="s">
        <v>2247</v>
      </c>
      <c r="H27" s="21" t="s">
        <v>2248</v>
      </c>
      <c r="I27" s="21" t="s">
        <v>2249</v>
      </c>
      <c r="J27" s="21" t="s">
        <v>2250</v>
      </c>
      <c r="K27" s="23" t="s">
        <v>64</v>
      </c>
      <c r="L27" s="17"/>
      <c r="M27" s="26" t="s">
        <v>43</v>
      </c>
      <c r="N27" s="17"/>
      <c r="O27" s="17"/>
    </row>
    <row r="28" ht="57.75" customHeight="1">
      <c r="A28" s="78" t="s">
        <v>2253</v>
      </c>
      <c r="B28" s="28" t="s">
        <v>136</v>
      </c>
      <c r="C28" s="28" t="s">
        <v>116</v>
      </c>
      <c r="D28" s="22" t="s">
        <v>11</v>
      </c>
      <c r="E28" s="30" t="s">
        <v>2257</v>
      </c>
      <c r="F28" s="30" t="s">
        <v>2258</v>
      </c>
      <c r="G28" s="30" t="s">
        <v>2259</v>
      </c>
      <c r="H28" s="30" t="s">
        <v>2260</v>
      </c>
      <c r="I28" s="30" t="s">
        <v>2261</v>
      </c>
      <c r="J28" s="30" t="s">
        <v>2263</v>
      </c>
      <c r="K28" s="31" t="s">
        <v>40</v>
      </c>
      <c r="L28" s="28"/>
      <c r="M28" s="26" t="s">
        <v>43</v>
      </c>
      <c r="N28" s="28"/>
      <c r="O28" s="28"/>
    </row>
    <row r="29" ht="57.75" customHeight="1">
      <c r="A29" s="78" t="s">
        <v>2266</v>
      </c>
      <c r="B29" s="17" t="s">
        <v>136</v>
      </c>
      <c r="C29" s="17" t="s">
        <v>116</v>
      </c>
      <c r="D29" s="22" t="s">
        <v>11</v>
      </c>
      <c r="E29" s="21" t="s">
        <v>2270</v>
      </c>
      <c r="F29" s="21" t="s">
        <v>2273</v>
      </c>
      <c r="G29" s="21" t="s">
        <v>2276</v>
      </c>
      <c r="H29" s="21" t="s">
        <v>2279</v>
      </c>
      <c r="I29" s="21" t="s">
        <v>2280</v>
      </c>
      <c r="J29" s="21" t="s">
        <v>2283</v>
      </c>
      <c r="K29" s="23" t="s">
        <v>78</v>
      </c>
      <c r="L29" s="17"/>
      <c r="M29" s="26" t="s">
        <v>43</v>
      </c>
      <c r="N29" s="17"/>
      <c r="O29" s="17"/>
    </row>
    <row r="30" ht="57.75" customHeight="1">
      <c r="A30" s="78" t="s">
        <v>2286</v>
      </c>
      <c r="B30" s="28" t="s">
        <v>136</v>
      </c>
      <c r="C30" s="28" t="s">
        <v>116</v>
      </c>
      <c r="D30" s="22" t="s">
        <v>11</v>
      </c>
      <c r="E30" s="30" t="s">
        <v>2289</v>
      </c>
      <c r="F30" s="30" t="s">
        <v>2291</v>
      </c>
      <c r="G30" s="30" t="s">
        <v>2293</v>
      </c>
      <c r="H30" s="40">
        <v>46361.0</v>
      </c>
      <c r="I30" s="30" t="s">
        <v>281</v>
      </c>
      <c r="J30" s="30">
        <v>2.0</v>
      </c>
      <c r="K30" s="31" t="s">
        <v>40</v>
      </c>
      <c r="L30" s="28"/>
      <c r="M30" s="26" t="s">
        <v>43</v>
      </c>
      <c r="N30" s="28"/>
      <c r="O30" s="28"/>
    </row>
    <row r="31" ht="57.75" customHeight="1">
      <c r="A31" s="78" t="s">
        <v>2298</v>
      </c>
      <c r="B31" s="17" t="s">
        <v>136</v>
      </c>
      <c r="C31" s="17" t="s">
        <v>116</v>
      </c>
      <c r="D31" s="22" t="s">
        <v>11</v>
      </c>
      <c r="E31" s="21" t="s">
        <v>2301</v>
      </c>
      <c r="F31" s="21" t="s">
        <v>2303</v>
      </c>
      <c r="G31" s="21" t="s">
        <v>2305</v>
      </c>
      <c r="H31" s="21" t="s">
        <v>2307</v>
      </c>
      <c r="I31" s="21" t="s">
        <v>2308</v>
      </c>
      <c r="J31" s="21" t="s">
        <v>2310</v>
      </c>
      <c r="K31" s="23" t="s">
        <v>40</v>
      </c>
      <c r="L31" s="17"/>
      <c r="M31" s="26" t="s">
        <v>43</v>
      </c>
      <c r="N31" s="17"/>
      <c r="O31" s="17"/>
    </row>
    <row r="32" ht="57.75" customHeight="1">
      <c r="A32" s="78" t="s">
        <v>2313</v>
      </c>
      <c r="B32" s="28" t="s">
        <v>136</v>
      </c>
      <c r="C32" s="28" t="s">
        <v>116</v>
      </c>
      <c r="D32" s="22" t="s">
        <v>11</v>
      </c>
      <c r="E32" s="30" t="s">
        <v>2316</v>
      </c>
      <c r="F32" s="40">
        <v>46027.0</v>
      </c>
      <c r="G32" s="40">
        <v>46086.0</v>
      </c>
      <c r="H32" s="40">
        <v>46117.0</v>
      </c>
      <c r="I32" s="30">
        <v>1.0</v>
      </c>
      <c r="J32" s="40">
        <v>46208.0</v>
      </c>
      <c r="K32" s="31" t="s">
        <v>64</v>
      </c>
      <c r="L32" s="28"/>
      <c r="M32" s="26" t="s">
        <v>43</v>
      </c>
      <c r="N32" s="28"/>
      <c r="O32" s="28"/>
    </row>
    <row r="33" ht="57.75" customHeight="1">
      <c r="A33" s="78" t="s">
        <v>2323</v>
      </c>
      <c r="B33" s="17" t="s">
        <v>136</v>
      </c>
      <c r="C33" s="17" t="s">
        <v>116</v>
      </c>
      <c r="D33" s="22" t="s">
        <v>11</v>
      </c>
      <c r="E33" s="21" t="s">
        <v>2326</v>
      </c>
      <c r="F33" s="21" t="s">
        <v>2327</v>
      </c>
      <c r="G33" s="21" t="s">
        <v>2329</v>
      </c>
      <c r="H33" s="21" t="s">
        <v>2330</v>
      </c>
      <c r="I33" s="21" t="s">
        <v>2331</v>
      </c>
      <c r="J33" s="21" t="s">
        <v>2332</v>
      </c>
      <c r="K33" s="23" t="s">
        <v>40</v>
      </c>
      <c r="L33" s="17"/>
      <c r="M33" s="26" t="s">
        <v>43</v>
      </c>
      <c r="N33" s="17"/>
      <c r="O33" s="17"/>
    </row>
    <row r="34" ht="57.75" customHeight="1">
      <c r="A34" s="78" t="s">
        <v>2333</v>
      </c>
      <c r="B34" s="28" t="s">
        <v>136</v>
      </c>
      <c r="C34" s="28" t="s">
        <v>116</v>
      </c>
      <c r="D34" s="22" t="s">
        <v>11</v>
      </c>
      <c r="E34" s="30" t="s">
        <v>2335</v>
      </c>
      <c r="F34" s="30">
        <v>2.0</v>
      </c>
      <c r="G34" s="30">
        <v>4.0</v>
      </c>
      <c r="H34" s="30">
        <v>7.0</v>
      </c>
      <c r="I34" s="30">
        <v>9.0</v>
      </c>
      <c r="J34" s="30">
        <v>14.0</v>
      </c>
      <c r="K34" s="31" t="s">
        <v>95</v>
      </c>
      <c r="L34" s="28"/>
      <c r="M34" s="26" t="s">
        <v>43</v>
      </c>
      <c r="N34" s="28"/>
      <c r="O34" s="28"/>
    </row>
    <row r="35" ht="57.75" customHeight="1">
      <c r="A35" s="78" t="s">
        <v>2338</v>
      </c>
      <c r="B35" s="17" t="s">
        <v>136</v>
      </c>
      <c r="C35" s="17" t="s">
        <v>116</v>
      </c>
      <c r="D35" s="22" t="s">
        <v>11</v>
      </c>
      <c r="E35" s="21" t="s">
        <v>2341</v>
      </c>
      <c r="F35" s="21" t="s">
        <v>2342</v>
      </c>
      <c r="G35" s="21" t="s">
        <v>2343</v>
      </c>
      <c r="H35" s="21" t="s">
        <v>2345</v>
      </c>
      <c r="I35" s="21" t="s">
        <v>2346</v>
      </c>
      <c r="J35" s="21" t="s">
        <v>2347</v>
      </c>
      <c r="K35" s="23" t="s">
        <v>64</v>
      </c>
      <c r="L35" s="17"/>
      <c r="M35" s="26" t="s">
        <v>43</v>
      </c>
      <c r="N35" s="17"/>
      <c r="O35" s="17"/>
    </row>
    <row r="36" ht="57.75" customHeight="1">
      <c r="A36" s="78" t="s">
        <v>2349</v>
      </c>
      <c r="B36" s="28" t="s">
        <v>136</v>
      </c>
      <c r="C36" s="28" t="s">
        <v>116</v>
      </c>
      <c r="D36" s="22" t="s">
        <v>11</v>
      </c>
      <c r="E36" s="30" t="s">
        <v>2353</v>
      </c>
      <c r="F36" s="40">
        <v>46025.0</v>
      </c>
      <c r="G36" s="40">
        <v>46056.0</v>
      </c>
      <c r="H36" s="30" t="s">
        <v>2357</v>
      </c>
      <c r="I36" s="30" t="s">
        <v>2359</v>
      </c>
      <c r="J36" s="30">
        <v>1.0</v>
      </c>
      <c r="K36" s="31" t="s">
        <v>40</v>
      </c>
      <c r="L36" s="28"/>
      <c r="M36" s="26" t="s">
        <v>43</v>
      </c>
      <c r="N36" s="28"/>
      <c r="O36" s="28"/>
    </row>
    <row r="37" ht="19.5" customHeight="1">
      <c r="A37" s="63" t="s">
        <v>279</v>
      </c>
      <c r="B37" s="3"/>
      <c r="C37" s="3"/>
      <c r="D37" s="3"/>
      <c r="E37" s="3"/>
      <c r="F37" s="3"/>
      <c r="G37" s="3"/>
      <c r="H37" s="3"/>
      <c r="I37" s="3"/>
      <c r="J37" s="3"/>
      <c r="K37" s="3"/>
      <c r="L37" s="3"/>
      <c r="M37" s="3"/>
      <c r="N37" s="3"/>
      <c r="O37" s="4"/>
    </row>
    <row r="38" ht="57.75" customHeight="1">
      <c r="A38" s="78" t="s">
        <v>2371</v>
      </c>
      <c r="B38" s="17" t="s">
        <v>136</v>
      </c>
      <c r="C38" s="17" t="s">
        <v>116</v>
      </c>
      <c r="D38" s="24" t="s">
        <v>12</v>
      </c>
      <c r="E38" s="21" t="s">
        <v>2374</v>
      </c>
      <c r="F38" s="21" t="s">
        <v>2376</v>
      </c>
      <c r="G38" s="21" t="s">
        <v>2377</v>
      </c>
      <c r="H38" s="21" t="s">
        <v>2379</v>
      </c>
      <c r="I38" s="21" t="s">
        <v>2381</v>
      </c>
      <c r="J38" s="21" t="s">
        <v>2383</v>
      </c>
      <c r="K38" s="23" t="s">
        <v>117</v>
      </c>
      <c r="L38" s="21" t="s">
        <v>2386</v>
      </c>
      <c r="M38" s="26" t="s">
        <v>43</v>
      </c>
      <c r="N38" s="17"/>
      <c r="O38" s="17"/>
    </row>
    <row r="39" ht="57.75" customHeight="1">
      <c r="A39" s="78" t="s">
        <v>2390</v>
      </c>
      <c r="B39" s="28" t="s">
        <v>136</v>
      </c>
      <c r="C39" s="28" t="s">
        <v>116</v>
      </c>
      <c r="D39" s="24" t="s">
        <v>12</v>
      </c>
      <c r="E39" s="30" t="s">
        <v>2393</v>
      </c>
      <c r="F39" s="30" t="s">
        <v>2394</v>
      </c>
      <c r="G39" s="30" t="s">
        <v>2395</v>
      </c>
      <c r="H39" s="30" t="s">
        <v>2397</v>
      </c>
      <c r="I39" s="30" t="s">
        <v>2400</v>
      </c>
      <c r="J39" s="30" t="s">
        <v>2401</v>
      </c>
      <c r="K39" s="31" t="s">
        <v>40</v>
      </c>
      <c r="L39" s="30" t="s">
        <v>2403</v>
      </c>
      <c r="M39" s="26" t="s">
        <v>43</v>
      </c>
      <c r="N39" s="28"/>
      <c r="O39" s="28"/>
    </row>
    <row r="40" ht="57.75" customHeight="1">
      <c r="A40" s="78" t="s">
        <v>2405</v>
      </c>
      <c r="B40" s="17" t="s">
        <v>136</v>
      </c>
      <c r="C40" s="17" t="s">
        <v>116</v>
      </c>
      <c r="D40" s="24" t="s">
        <v>12</v>
      </c>
      <c r="E40" s="21" t="s">
        <v>2408</v>
      </c>
      <c r="F40" s="21">
        <v>6.0</v>
      </c>
      <c r="G40" s="21">
        <v>8.0</v>
      </c>
      <c r="H40" s="21">
        <v>10.0</v>
      </c>
      <c r="I40" s="21">
        <v>12.0</v>
      </c>
      <c r="J40" s="21">
        <v>14.0</v>
      </c>
      <c r="K40" s="23" t="s">
        <v>64</v>
      </c>
      <c r="L40" s="21" t="s">
        <v>2410</v>
      </c>
      <c r="M40" s="26" t="s">
        <v>43</v>
      </c>
      <c r="N40" s="17"/>
      <c r="O40" s="17"/>
    </row>
    <row r="41" ht="57.75" customHeight="1">
      <c r="A41" s="78" t="s">
        <v>2412</v>
      </c>
      <c r="B41" s="28" t="s">
        <v>136</v>
      </c>
      <c r="C41" s="28" t="s">
        <v>116</v>
      </c>
      <c r="D41" s="24" t="s">
        <v>12</v>
      </c>
      <c r="E41" s="30" t="s">
        <v>2416</v>
      </c>
      <c r="F41" s="30" t="s">
        <v>2273</v>
      </c>
      <c r="G41" s="30" t="s">
        <v>2418</v>
      </c>
      <c r="H41" s="30" t="s">
        <v>2419</v>
      </c>
      <c r="I41" s="30" t="s">
        <v>2238</v>
      </c>
      <c r="J41" s="30" t="s">
        <v>2421</v>
      </c>
      <c r="K41" s="31" t="s">
        <v>95</v>
      </c>
      <c r="L41" s="30" t="s">
        <v>2423</v>
      </c>
      <c r="M41" s="26" t="s">
        <v>43</v>
      </c>
      <c r="N41" s="28"/>
      <c r="O41" s="28"/>
    </row>
    <row r="42" ht="57.75" customHeight="1">
      <c r="A42" s="78" t="s">
        <v>2426</v>
      </c>
      <c r="B42" s="17" t="s">
        <v>136</v>
      </c>
      <c r="C42" s="17" t="s">
        <v>116</v>
      </c>
      <c r="D42" s="24" t="s">
        <v>12</v>
      </c>
      <c r="E42" s="21" t="s">
        <v>2428</v>
      </c>
      <c r="F42" s="21">
        <v>10.0</v>
      </c>
      <c r="G42" s="21">
        <v>12.0</v>
      </c>
      <c r="H42" s="21">
        <v>14.0</v>
      </c>
      <c r="I42" s="21">
        <v>15.0</v>
      </c>
      <c r="J42" s="21">
        <v>18.0</v>
      </c>
      <c r="K42" s="23" t="s">
        <v>64</v>
      </c>
      <c r="L42" s="21" t="s">
        <v>2430</v>
      </c>
      <c r="M42" s="26" t="s">
        <v>43</v>
      </c>
      <c r="N42" s="17"/>
      <c r="O42" s="17"/>
    </row>
    <row r="43" ht="57.75" customHeight="1">
      <c r="A43" s="78" t="s">
        <v>2431</v>
      </c>
      <c r="B43" s="28" t="s">
        <v>136</v>
      </c>
      <c r="C43" s="28" t="s">
        <v>116</v>
      </c>
      <c r="D43" s="24" t="s">
        <v>12</v>
      </c>
      <c r="E43" s="30" t="s">
        <v>2434</v>
      </c>
      <c r="F43" s="30">
        <v>25.0</v>
      </c>
      <c r="G43" s="30">
        <v>36.0</v>
      </c>
      <c r="H43" s="30">
        <v>50.0</v>
      </c>
      <c r="I43" s="30">
        <v>64.0</v>
      </c>
      <c r="J43" s="30">
        <v>100.0</v>
      </c>
      <c r="K43" s="31" t="s">
        <v>95</v>
      </c>
      <c r="L43" s="30" t="s">
        <v>2438</v>
      </c>
      <c r="M43" s="26" t="s">
        <v>43</v>
      </c>
      <c r="N43" s="28"/>
      <c r="O43" s="28"/>
    </row>
    <row r="44" ht="57.75" customHeight="1">
      <c r="A44" s="78" t="s">
        <v>2439</v>
      </c>
      <c r="B44" s="17" t="s">
        <v>136</v>
      </c>
      <c r="C44" s="17" t="s">
        <v>116</v>
      </c>
      <c r="D44" s="24" t="s">
        <v>12</v>
      </c>
      <c r="E44" s="21" t="s">
        <v>2442</v>
      </c>
      <c r="F44" s="21">
        <v>16.0</v>
      </c>
      <c r="G44" s="21">
        <v>25.0</v>
      </c>
      <c r="H44" s="21">
        <v>36.0</v>
      </c>
      <c r="I44" s="21">
        <v>49.0</v>
      </c>
      <c r="J44" s="21">
        <v>50.0</v>
      </c>
      <c r="K44" s="23" t="s">
        <v>64</v>
      </c>
      <c r="L44" s="21" t="s">
        <v>2445</v>
      </c>
      <c r="M44" s="26" t="s">
        <v>43</v>
      </c>
      <c r="N44" s="17"/>
      <c r="O44" s="17"/>
    </row>
    <row r="45" ht="57.75" customHeight="1">
      <c r="A45" s="78" t="s">
        <v>2446</v>
      </c>
      <c r="B45" s="28" t="s">
        <v>136</v>
      </c>
      <c r="C45" s="28" t="s">
        <v>116</v>
      </c>
      <c r="D45" s="24" t="s">
        <v>12</v>
      </c>
      <c r="E45" s="30" t="s">
        <v>2449</v>
      </c>
      <c r="F45" s="30">
        <v>35.0</v>
      </c>
      <c r="G45" s="30">
        <v>42.0</v>
      </c>
      <c r="H45" s="30">
        <v>48.0</v>
      </c>
      <c r="I45" s="30">
        <v>52.0</v>
      </c>
      <c r="J45" s="30">
        <v>60.0</v>
      </c>
      <c r="K45" s="31" t="s">
        <v>40</v>
      </c>
      <c r="L45" s="30" t="s">
        <v>2452</v>
      </c>
      <c r="M45" s="26" t="s">
        <v>43</v>
      </c>
      <c r="N45" s="28"/>
      <c r="O45" s="28"/>
    </row>
    <row r="46" ht="57.75" customHeight="1">
      <c r="A46" s="78" t="s">
        <v>2454</v>
      </c>
      <c r="B46" s="17" t="s">
        <v>136</v>
      </c>
      <c r="C46" s="17" t="s">
        <v>116</v>
      </c>
      <c r="D46" s="24" t="s">
        <v>12</v>
      </c>
      <c r="E46" s="21" t="s">
        <v>2456</v>
      </c>
      <c r="F46" s="21" t="s">
        <v>2457</v>
      </c>
      <c r="G46" s="21" t="s">
        <v>2419</v>
      </c>
      <c r="H46" s="21" t="s">
        <v>2458</v>
      </c>
      <c r="I46" s="21" t="s">
        <v>2238</v>
      </c>
      <c r="J46" s="21" t="s">
        <v>2460</v>
      </c>
      <c r="K46" s="23" t="s">
        <v>117</v>
      </c>
      <c r="L46" s="21" t="s">
        <v>2462</v>
      </c>
      <c r="M46" s="26" t="s">
        <v>43</v>
      </c>
      <c r="N46" s="17"/>
      <c r="O46" s="17"/>
    </row>
    <row r="47" ht="57.75" customHeight="1">
      <c r="A47" s="78" t="s">
        <v>2464</v>
      </c>
      <c r="B47" s="28" t="s">
        <v>136</v>
      </c>
      <c r="C47" s="28" t="s">
        <v>116</v>
      </c>
      <c r="D47" s="24" t="s">
        <v>12</v>
      </c>
      <c r="E47" s="30" t="s">
        <v>2466</v>
      </c>
      <c r="F47" s="30">
        <v>10.0</v>
      </c>
      <c r="G47" s="30">
        <v>13.0</v>
      </c>
      <c r="H47" s="30">
        <v>18.0</v>
      </c>
      <c r="I47" s="30">
        <v>25.0</v>
      </c>
      <c r="J47" s="30">
        <v>32.0</v>
      </c>
      <c r="K47" s="31" t="s">
        <v>95</v>
      </c>
      <c r="L47" s="30" t="s">
        <v>2471</v>
      </c>
      <c r="M47" s="26" t="s">
        <v>43</v>
      </c>
      <c r="N47" s="28"/>
      <c r="O47" s="28"/>
    </row>
    <row r="48" ht="57.75" customHeight="1">
      <c r="A48" s="78" t="s">
        <v>2472</v>
      </c>
      <c r="B48" s="17" t="s">
        <v>136</v>
      </c>
      <c r="C48" s="17" t="s">
        <v>116</v>
      </c>
      <c r="D48" s="24" t="s">
        <v>12</v>
      </c>
      <c r="E48" s="21" t="s">
        <v>2474</v>
      </c>
      <c r="F48" s="21">
        <v>16.0</v>
      </c>
      <c r="G48" s="21">
        <v>25.0</v>
      </c>
      <c r="H48" s="21">
        <v>36.0</v>
      </c>
      <c r="I48" s="21">
        <v>49.0</v>
      </c>
      <c r="J48" s="21">
        <v>64.0</v>
      </c>
      <c r="K48" s="23" t="s">
        <v>64</v>
      </c>
      <c r="L48" s="21" t="s">
        <v>2476</v>
      </c>
      <c r="M48" s="26" t="s">
        <v>43</v>
      </c>
      <c r="N48" s="17"/>
      <c r="O48" s="17"/>
    </row>
    <row r="49" ht="57.75" customHeight="1">
      <c r="A49" s="78" t="s">
        <v>2478</v>
      </c>
      <c r="B49" s="28" t="s">
        <v>136</v>
      </c>
      <c r="C49" s="28" t="s">
        <v>116</v>
      </c>
      <c r="D49" s="24" t="s">
        <v>12</v>
      </c>
      <c r="E49" s="30" t="s">
        <v>2480</v>
      </c>
      <c r="F49" s="30">
        <v>10.0</v>
      </c>
      <c r="G49" s="30">
        <v>11.0</v>
      </c>
      <c r="H49" s="30">
        <v>12.0</v>
      </c>
      <c r="I49" s="30">
        <v>14.0</v>
      </c>
      <c r="J49" s="30">
        <v>18.0</v>
      </c>
      <c r="K49" s="31" t="s">
        <v>95</v>
      </c>
      <c r="L49" s="30" t="s">
        <v>2483</v>
      </c>
      <c r="M49" s="26" t="s">
        <v>43</v>
      </c>
      <c r="N49" s="28"/>
      <c r="O49" s="28"/>
    </row>
    <row r="50" ht="57.75" customHeight="1">
      <c r="A50" s="78" t="s">
        <v>2484</v>
      </c>
      <c r="B50" s="17" t="s">
        <v>136</v>
      </c>
      <c r="C50" s="17" t="s">
        <v>116</v>
      </c>
      <c r="D50" s="24" t="s">
        <v>12</v>
      </c>
      <c r="E50" s="21" t="s">
        <v>2486</v>
      </c>
      <c r="F50" s="21" t="s">
        <v>2234</v>
      </c>
      <c r="G50" s="21" t="s">
        <v>2488</v>
      </c>
      <c r="H50" s="21" t="s">
        <v>2235</v>
      </c>
      <c r="I50" s="21" t="s">
        <v>2237</v>
      </c>
      <c r="J50" s="21" t="s">
        <v>2239</v>
      </c>
      <c r="K50" s="23" t="s">
        <v>78</v>
      </c>
      <c r="L50" s="21" t="s">
        <v>2490</v>
      </c>
      <c r="M50" s="26" t="s">
        <v>43</v>
      </c>
      <c r="N50" s="17"/>
      <c r="O50" s="17"/>
    </row>
    <row r="51" ht="57.75" customHeight="1">
      <c r="A51" s="78" t="s">
        <v>2492</v>
      </c>
      <c r="B51" s="28" t="s">
        <v>136</v>
      </c>
      <c r="C51" s="28" t="s">
        <v>116</v>
      </c>
      <c r="D51" s="24" t="s">
        <v>12</v>
      </c>
      <c r="E51" s="30" t="s">
        <v>2493</v>
      </c>
      <c r="F51" s="30">
        <v>24.0</v>
      </c>
      <c r="G51" s="30">
        <v>32.0</v>
      </c>
      <c r="H51" s="30">
        <v>36.0</v>
      </c>
      <c r="I51" s="30">
        <v>44.0</v>
      </c>
      <c r="J51" s="30">
        <v>52.0</v>
      </c>
      <c r="K51" s="31" t="s">
        <v>117</v>
      </c>
      <c r="L51" s="30" t="s">
        <v>2495</v>
      </c>
      <c r="M51" s="26" t="s">
        <v>43</v>
      </c>
      <c r="N51" s="28"/>
      <c r="O51" s="28"/>
    </row>
    <row r="52" ht="57.75" customHeight="1">
      <c r="A52" s="78" t="s">
        <v>2496</v>
      </c>
      <c r="B52" s="17" t="s">
        <v>136</v>
      </c>
      <c r="C52" s="17" t="s">
        <v>116</v>
      </c>
      <c r="D52" s="24" t="s">
        <v>12</v>
      </c>
      <c r="E52" s="21" t="s">
        <v>2498</v>
      </c>
      <c r="F52" s="21">
        <v>10.0</v>
      </c>
      <c r="G52" s="21">
        <v>16.0</v>
      </c>
      <c r="H52" s="21">
        <v>20.0</v>
      </c>
      <c r="I52" s="21">
        <v>25.0</v>
      </c>
      <c r="J52" s="21">
        <v>36.0</v>
      </c>
      <c r="K52" s="23" t="s">
        <v>95</v>
      </c>
      <c r="L52" s="21" t="s">
        <v>2500</v>
      </c>
      <c r="M52" s="26" t="s">
        <v>43</v>
      </c>
      <c r="N52" s="17"/>
      <c r="O52" s="17"/>
    </row>
    <row r="53" ht="25.5" customHeight="1">
      <c r="A53" s="55" t="s">
        <v>2503</v>
      </c>
      <c r="B53" s="57"/>
      <c r="C53" s="57"/>
      <c r="D53" s="57"/>
      <c r="E53" s="57"/>
      <c r="F53" s="57"/>
      <c r="G53" s="57"/>
      <c r="H53" s="57"/>
      <c r="I53" s="57"/>
      <c r="J53" s="58"/>
      <c r="M53" s="79">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76" t="s">
        <v>2398</v>
      </c>
      <c r="B1" s="3"/>
      <c r="C1" s="3"/>
      <c r="D1" s="3"/>
      <c r="E1" s="3"/>
      <c r="F1" s="3"/>
      <c r="G1" s="3"/>
      <c r="H1" s="3"/>
      <c r="I1" s="3"/>
      <c r="J1" s="3"/>
      <c r="K1" s="3"/>
      <c r="L1" s="3"/>
      <c r="M1" s="3"/>
      <c r="N1" s="3"/>
      <c r="O1" s="4"/>
    </row>
    <row r="2" ht="30.0" customHeight="1">
      <c r="A2" s="77" t="s">
        <v>2415</v>
      </c>
      <c r="B2" s="3"/>
      <c r="C2" s="3"/>
      <c r="D2" s="3"/>
      <c r="E2" s="3"/>
      <c r="F2" s="3"/>
      <c r="G2" s="3"/>
      <c r="H2" s="3"/>
      <c r="I2" s="3"/>
      <c r="J2" s="3"/>
      <c r="K2" s="3"/>
      <c r="L2" s="3"/>
      <c r="M2" s="3"/>
      <c r="N2" s="3"/>
      <c r="O2" s="4"/>
    </row>
    <row r="3" ht="19.5" customHeight="1">
      <c r="A3" s="7" t="s">
        <v>6</v>
      </c>
      <c r="B3" s="3"/>
      <c r="C3" s="3"/>
      <c r="D3" s="3"/>
      <c r="E3" s="3"/>
      <c r="F3" s="3"/>
      <c r="G3" s="3"/>
      <c r="H3" s="3"/>
      <c r="I3" s="3"/>
      <c r="J3" s="3"/>
      <c r="K3" s="3"/>
      <c r="L3" s="3"/>
      <c r="M3" s="3"/>
      <c r="N3" s="3"/>
      <c r="O3" s="4"/>
    </row>
    <row r="4" ht="24.75" customHeight="1">
      <c r="A4" s="9" t="s">
        <v>8</v>
      </c>
      <c r="B4" s="9" t="s">
        <v>7</v>
      </c>
      <c r="C4" s="9" t="s">
        <v>13</v>
      </c>
      <c r="D4" s="9" t="s">
        <v>15</v>
      </c>
      <c r="E4" s="9" t="s">
        <v>17</v>
      </c>
      <c r="F4" s="9" t="s">
        <v>18</v>
      </c>
      <c r="G4" s="9" t="s">
        <v>20</v>
      </c>
      <c r="H4" s="9" t="s">
        <v>21</v>
      </c>
      <c r="I4" s="9" t="s">
        <v>22</v>
      </c>
      <c r="J4" s="9" t="s">
        <v>23</v>
      </c>
      <c r="K4" s="9" t="s">
        <v>25</v>
      </c>
      <c r="L4" s="9" t="s">
        <v>26</v>
      </c>
      <c r="M4" s="9" t="s">
        <v>19</v>
      </c>
      <c r="N4" s="9" t="s">
        <v>27</v>
      </c>
      <c r="O4" s="9" t="s">
        <v>28</v>
      </c>
    </row>
    <row r="5" ht="19.5" customHeight="1">
      <c r="A5" s="13" t="s">
        <v>29</v>
      </c>
      <c r="B5" s="3"/>
      <c r="C5" s="3"/>
      <c r="D5" s="3"/>
      <c r="E5" s="3"/>
      <c r="F5" s="3"/>
      <c r="G5" s="3"/>
      <c r="H5" s="3"/>
      <c r="I5" s="3"/>
      <c r="J5" s="3"/>
      <c r="K5" s="3"/>
      <c r="L5" s="3"/>
      <c r="M5" s="3"/>
      <c r="N5" s="3"/>
      <c r="O5" s="4"/>
    </row>
    <row r="6" ht="57.75" customHeight="1">
      <c r="A6" s="78" t="s">
        <v>2467</v>
      </c>
      <c r="B6" s="17" t="s">
        <v>145</v>
      </c>
      <c r="C6" s="17" t="s">
        <v>116</v>
      </c>
      <c r="D6" s="19" t="s">
        <v>9</v>
      </c>
      <c r="E6" s="21" t="s">
        <v>2475</v>
      </c>
      <c r="F6" s="35">
        <v>46026.0</v>
      </c>
      <c r="G6" s="35">
        <v>46025.0</v>
      </c>
      <c r="H6" s="35">
        <v>46024.0</v>
      </c>
      <c r="I6" s="35">
        <v>46056.0</v>
      </c>
      <c r="J6" s="35">
        <v>46082.0</v>
      </c>
      <c r="K6" s="23" t="s">
        <v>64</v>
      </c>
      <c r="L6" s="21" t="s">
        <v>2482</v>
      </c>
      <c r="M6" s="26" t="s">
        <v>43</v>
      </c>
      <c r="N6" s="17"/>
      <c r="O6" s="17"/>
    </row>
    <row r="7" ht="57.75" customHeight="1">
      <c r="A7" s="78" t="s">
        <v>2487</v>
      </c>
      <c r="B7" s="28" t="s">
        <v>145</v>
      </c>
      <c r="C7" s="28" t="s">
        <v>116</v>
      </c>
      <c r="D7" s="19" t="s">
        <v>9</v>
      </c>
      <c r="E7" s="30" t="s">
        <v>2491</v>
      </c>
      <c r="F7" s="30">
        <v>13.0</v>
      </c>
      <c r="G7" s="30">
        <v>14.0</v>
      </c>
      <c r="H7" s="30">
        <v>15.0</v>
      </c>
      <c r="I7" s="30">
        <v>16.0</v>
      </c>
      <c r="J7" s="30">
        <v>18.0</v>
      </c>
      <c r="K7" s="31" t="s">
        <v>95</v>
      </c>
      <c r="L7" s="30" t="s">
        <v>2494</v>
      </c>
      <c r="M7" s="26" t="s">
        <v>43</v>
      </c>
      <c r="N7" s="28"/>
      <c r="O7" s="28"/>
    </row>
    <row r="8" ht="57.75" customHeight="1">
      <c r="A8" s="78" t="s">
        <v>2497</v>
      </c>
      <c r="B8" s="17" t="s">
        <v>145</v>
      </c>
      <c r="C8" s="17" t="s">
        <v>116</v>
      </c>
      <c r="D8" s="19" t="s">
        <v>9</v>
      </c>
      <c r="E8" s="21" t="s">
        <v>2499</v>
      </c>
      <c r="F8" s="21">
        <v>16.0</v>
      </c>
      <c r="G8" s="21">
        <v>18.0</v>
      </c>
      <c r="H8" s="21">
        <v>20.0</v>
      </c>
      <c r="I8" s="21">
        <v>22.0</v>
      </c>
      <c r="J8" s="21">
        <v>24.0</v>
      </c>
      <c r="K8" s="23" t="s">
        <v>95</v>
      </c>
      <c r="L8" s="21" t="s">
        <v>2501</v>
      </c>
      <c r="M8" s="26" t="s">
        <v>43</v>
      </c>
      <c r="N8" s="17"/>
      <c r="O8" s="17"/>
    </row>
    <row r="9" ht="57.75" customHeight="1">
      <c r="A9" s="78" t="s">
        <v>2502</v>
      </c>
      <c r="B9" s="28" t="s">
        <v>145</v>
      </c>
      <c r="C9" s="28" t="s">
        <v>116</v>
      </c>
      <c r="D9" s="19" t="s">
        <v>9</v>
      </c>
      <c r="E9" s="30" t="s">
        <v>2504</v>
      </c>
      <c r="F9" s="30" t="s">
        <v>2505</v>
      </c>
      <c r="G9" s="30" t="s">
        <v>2506</v>
      </c>
      <c r="H9" s="30" t="s">
        <v>2507</v>
      </c>
      <c r="I9" s="30" t="s">
        <v>2508</v>
      </c>
      <c r="J9" s="30" t="s">
        <v>2509</v>
      </c>
      <c r="K9" s="31" t="s">
        <v>117</v>
      </c>
      <c r="L9" s="30" t="s">
        <v>2510</v>
      </c>
      <c r="M9" s="26" t="s">
        <v>43</v>
      </c>
      <c r="N9" s="28"/>
      <c r="O9" s="28"/>
    </row>
    <row r="10" ht="57.75" customHeight="1">
      <c r="A10" s="78" t="s">
        <v>2511</v>
      </c>
      <c r="B10" s="17" t="s">
        <v>145</v>
      </c>
      <c r="C10" s="17" t="s">
        <v>116</v>
      </c>
      <c r="D10" s="19" t="s">
        <v>9</v>
      </c>
      <c r="E10" s="21" t="s">
        <v>2512</v>
      </c>
      <c r="F10" s="21">
        <v>8.0</v>
      </c>
      <c r="G10" s="21">
        <v>9.0</v>
      </c>
      <c r="H10" s="21">
        <v>10.0</v>
      </c>
      <c r="I10" s="21">
        <v>12.0</v>
      </c>
      <c r="J10" s="21">
        <v>14.0</v>
      </c>
      <c r="K10" s="23" t="s">
        <v>95</v>
      </c>
      <c r="L10" s="21" t="s">
        <v>2513</v>
      </c>
      <c r="M10" s="26" t="s">
        <v>43</v>
      </c>
      <c r="N10" s="17"/>
      <c r="O10" s="17"/>
    </row>
    <row r="11" ht="57.75" customHeight="1">
      <c r="A11" s="78" t="s">
        <v>2514</v>
      </c>
      <c r="B11" s="28" t="s">
        <v>145</v>
      </c>
      <c r="C11" s="28" t="s">
        <v>116</v>
      </c>
      <c r="D11" s="19" t="s">
        <v>9</v>
      </c>
      <c r="E11" s="30" t="s">
        <v>2515</v>
      </c>
      <c r="F11" s="30">
        <v>8.0</v>
      </c>
      <c r="G11" s="30">
        <v>10.0</v>
      </c>
      <c r="H11" s="30">
        <v>12.0</v>
      </c>
      <c r="I11" s="30">
        <v>14.0</v>
      </c>
      <c r="J11" s="30">
        <v>15.0</v>
      </c>
      <c r="K11" s="31" t="s">
        <v>95</v>
      </c>
      <c r="L11" s="30" t="s">
        <v>2516</v>
      </c>
      <c r="M11" s="26" t="s">
        <v>43</v>
      </c>
      <c r="N11" s="28"/>
      <c r="O11" s="28"/>
    </row>
    <row r="12" ht="57.75" customHeight="1">
      <c r="A12" s="78" t="s">
        <v>2517</v>
      </c>
      <c r="B12" s="17" t="s">
        <v>145</v>
      </c>
      <c r="C12" s="17" t="s">
        <v>116</v>
      </c>
      <c r="D12" s="19" t="s">
        <v>9</v>
      </c>
      <c r="E12" s="21" t="s">
        <v>2518</v>
      </c>
      <c r="F12" s="21">
        <v>70.0</v>
      </c>
      <c r="G12" s="21">
        <v>80.0</v>
      </c>
      <c r="H12" s="21">
        <v>100.0</v>
      </c>
      <c r="I12" s="21">
        <v>110.0</v>
      </c>
      <c r="J12" s="21">
        <v>120.0</v>
      </c>
      <c r="K12" s="23" t="s">
        <v>40</v>
      </c>
      <c r="L12" s="21" t="s">
        <v>2519</v>
      </c>
      <c r="M12" s="26" t="s">
        <v>43</v>
      </c>
      <c r="N12" s="17"/>
      <c r="O12" s="17"/>
    </row>
    <row r="13" ht="57.75" customHeight="1">
      <c r="A13" s="78" t="s">
        <v>2520</v>
      </c>
      <c r="B13" s="28" t="s">
        <v>145</v>
      </c>
      <c r="C13" s="28" t="s">
        <v>116</v>
      </c>
      <c r="D13" s="19" t="s">
        <v>9</v>
      </c>
      <c r="E13" s="30" t="s">
        <v>2521</v>
      </c>
      <c r="F13" s="30">
        <v>12.0</v>
      </c>
      <c r="G13" s="30">
        <v>16.0</v>
      </c>
      <c r="H13" s="30">
        <v>20.0</v>
      </c>
      <c r="I13" s="30">
        <v>24.0</v>
      </c>
      <c r="J13" s="30">
        <v>25.0</v>
      </c>
      <c r="K13" s="31" t="s">
        <v>95</v>
      </c>
      <c r="L13" s="30" t="s">
        <v>2522</v>
      </c>
      <c r="M13" s="26" t="s">
        <v>43</v>
      </c>
      <c r="N13" s="28"/>
      <c r="O13" s="28"/>
    </row>
    <row r="14" ht="57.75" customHeight="1">
      <c r="A14" s="78" t="s">
        <v>2523</v>
      </c>
      <c r="B14" s="17" t="s">
        <v>145</v>
      </c>
      <c r="C14" s="17" t="s">
        <v>116</v>
      </c>
      <c r="D14" s="19" t="s">
        <v>9</v>
      </c>
      <c r="E14" s="21" t="s">
        <v>2524</v>
      </c>
      <c r="F14" s="21">
        <v>20.0</v>
      </c>
      <c r="G14" s="21">
        <v>22.0</v>
      </c>
      <c r="H14" s="21">
        <v>24.0</v>
      </c>
      <c r="I14" s="21">
        <v>25.0</v>
      </c>
      <c r="J14" s="21">
        <v>30.0</v>
      </c>
      <c r="K14" s="23" t="s">
        <v>117</v>
      </c>
      <c r="L14" s="21" t="s">
        <v>2525</v>
      </c>
      <c r="M14" s="26" t="s">
        <v>43</v>
      </c>
      <c r="N14" s="17"/>
      <c r="O14" s="17"/>
    </row>
    <row r="15" ht="57.75" customHeight="1">
      <c r="A15" s="78" t="s">
        <v>2526</v>
      </c>
      <c r="B15" s="28" t="s">
        <v>145</v>
      </c>
      <c r="C15" s="28" t="s">
        <v>116</v>
      </c>
      <c r="D15" s="19" t="s">
        <v>9</v>
      </c>
      <c r="E15" s="30" t="s">
        <v>2527</v>
      </c>
      <c r="F15" s="30">
        <v>25.0</v>
      </c>
      <c r="G15" s="30">
        <v>27.0</v>
      </c>
      <c r="H15" s="30">
        <v>29.0</v>
      </c>
      <c r="I15" s="30">
        <v>31.0</v>
      </c>
      <c r="J15" s="30">
        <v>33.0</v>
      </c>
      <c r="K15" s="31" t="s">
        <v>64</v>
      </c>
      <c r="L15" s="30" t="s">
        <v>2528</v>
      </c>
      <c r="M15" s="26" t="s">
        <v>43</v>
      </c>
      <c r="N15" s="28"/>
      <c r="O15" s="28"/>
    </row>
    <row r="16" ht="57.75" customHeight="1">
      <c r="A16" s="78" t="s">
        <v>2529</v>
      </c>
      <c r="B16" s="17" t="s">
        <v>145</v>
      </c>
      <c r="C16" s="17" t="s">
        <v>116</v>
      </c>
      <c r="D16" s="19" t="s">
        <v>9</v>
      </c>
      <c r="E16" s="21" t="s">
        <v>2530</v>
      </c>
      <c r="F16" s="21" t="s">
        <v>2531</v>
      </c>
      <c r="G16" s="21" t="s">
        <v>2532</v>
      </c>
      <c r="H16" s="21" t="s">
        <v>2533</v>
      </c>
      <c r="I16" s="21" t="s">
        <v>2534</v>
      </c>
      <c r="J16" s="21" t="s">
        <v>2535</v>
      </c>
      <c r="K16" s="23" t="s">
        <v>117</v>
      </c>
      <c r="L16" s="21" t="s">
        <v>2536</v>
      </c>
      <c r="M16" s="26" t="s">
        <v>43</v>
      </c>
      <c r="N16" s="17"/>
      <c r="O16" s="17"/>
    </row>
    <row r="17" ht="57.75" customHeight="1">
      <c r="A17" s="78" t="s">
        <v>2537</v>
      </c>
      <c r="B17" s="28" t="s">
        <v>145</v>
      </c>
      <c r="C17" s="28" t="s">
        <v>116</v>
      </c>
      <c r="D17" s="19" t="s">
        <v>9</v>
      </c>
      <c r="E17" s="30" t="s">
        <v>2538</v>
      </c>
      <c r="F17" s="30" t="s">
        <v>549</v>
      </c>
      <c r="G17" s="30" t="s">
        <v>2539</v>
      </c>
      <c r="H17" s="30" t="s">
        <v>2540</v>
      </c>
      <c r="I17" s="30" t="s">
        <v>2541</v>
      </c>
      <c r="J17" s="30" t="s">
        <v>2542</v>
      </c>
      <c r="K17" s="31" t="s">
        <v>95</v>
      </c>
      <c r="L17" s="30" t="s">
        <v>2543</v>
      </c>
      <c r="M17" s="26" t="s">
        <v>43</v>
      </c>
      <c r="N17" s="28"/>
      <c r="O17" s="28"/>
    </row>
    <row r="18" ht="57.75" customHeight="1">
      <c r="A18" s="78" t="s">
        <v>2544</v>
      </c>
      <c r="B18" s="17" t="s">
        <v>145</v>
      </c>
      <c r="C18" s="17" t="s">
        <v>116</v>
      </c>
      <c r="D18" s="19" t="s">
        <v>9</v>
      </c>
      <c r="E18" s="21" t="s">
        <v>2545</v>
      </c>
      <c r="F18" s="21">
        <v>10.0</v>
      </c>
      <c r="G18" s="21">
        <v>12.0</v>
      </c>
      <c r="H18" s="21">
        <v>14.0</v>
      </c>
      <c r="I18" s="21">
        <v>15.0</v>
      </c>
      <c r="J18" s="21">
        <v>16.0</v>
      </c>
      <c r="K18" s="23" t="s">
        <v>64</v>
      </c>
      <c r="L18" s="21" t="s">
        <v>2546</v>
      </c>
      <c r="M18" s="26" t="s">
        <v>43</v>
      </c>
      <c r="N18" s="17"/>
      <c r="O18" s="17"/>
    </row>
    <row r="19" ht="57.75" customHeight="1">
      <c r="A19" s="78" t="s">
        <v>2547</v>
      </c>
      <c r="B19" s="28" t="s">
        <v>145</v>
      </c>
      <c r="C19" s="28" t="s">
        <v>116</v>
      </c>
      <c r="D19" s="19" t="s">
        <v>9</v>
      </c>
      <c r="E19" s="30" t="s">
        <v>2548</v>
      </c>
      <c r="F19" s="30">
        <v>7.0</v>
      </c>
      <c r="G19" s="30">
        <v>12.0</v>
      </c>
      <c r="H19" s="30">
        <v>14.0</v>
      </c>
      <c r="I19" s="30">
        <v>18.0</v>
      </c>
      <c r="J19" s="30">
        <v>32.0</v>
      </c>
      <c r="K19" s="31" t="s">
        <v>95</v>
      </c>
      <c r="L19" s="30" t="s">
        <v>2549</v>
      </c>
      <c r="M19" s="26" t="s">
        <v>43</v>
      </c>
      <c r="N19" s="28"/>
      <c r="O19" s="28"/>
    </row>
    <row r="20" ht="57.75" customHeight="1">
      <c r="A20" s="78" t="s">
        <v>2550</v>
      </c>
      <c r="B20" s="17" t="s">
        <v>145</v>
      </c>
      <c r="C20" s="17" t="s">
        <v>116</v>
      </c>
      <c r="D20" s="19" t="s">
        <v>9</v>
      </c>
      <c r="E20" s="21" t="s">
        <v>2551</v>
      </c>
      <c r="F20" s="21">
        <v>6.0</v>
      </c>
      <c r="G20" s="21">
        <v>8.0</v>
      </c>
      <c r="H20" s="21">
        <v>9.0</v>
      </c>
      <c r="I20" s="21">
        <v>10.0</v>
      </c>
      <c r="J20" s="21">
        <v>16.0</v>
      </c>
      <c r="K20" s="23" t="s">
        <v>64</v>
      </c>
      <c r="L20" s="21" t="s">
        <v>2552</v>
      </c>
      <c r="M20" s="26" t="s">
        <v>43</v>
      </c>
      <c r="N20" s="17"/>
      <c r="O20" s="17"/>
    </row>
    <row r="21" ht="19.5" customHeight="1">
      <c r="A21" s="46" t="s">
        <v>166</v>
      </c>
      <c r="B21" s="3"/>
      <c r="C21" s="3"/>
      <c r="D21" s="3"/>
      <c r="E21" s="3"/>
      <c r="F21" s="3"/>
      <c r="G21" s="3"/>
      <c r="H21" s="3"/>
      <c r="I21" s="3"/>
      <c r="J21" s="3"/>
      <c r="K21" s="3"/>
      <c r="L21" s="3"/>
      <c r="M21" s="3"/>
      <c r="N21" s="3"/>
      <c r="O21" s="4"/>
    </row>
    <row r="22" ht="57.75" customHeight="1">
      <c r="A22" s="78" t="s">
        <v>2553</v>
      </c>
      <c r="B22" s="28" t="s">
        <v>145</v>
      </c>
      <c r="C22" s="28" t="s">
        <v>116</v>
      </c>
      <c r="D22" s="22" t="s">
        <v>11</v>
      </c>
      <c r="E22" s="30" t="s">
        <v>2554</v>
      </c>
      <c r="F22" s="30" t="s">
        <v>2555</v>
      </c>
      <c r="G22" s="30" t="s">
        <v>2556</v>
      </c>
      <c r="H22" s="30" t="s">
        <v>2557</v>
      </c>
      <c r="I22" s="30" t="s">
        <v>433</v>
      </c>
      <c r="J22" s="30">
        <v>8.0</v>
      </c>
      <c r="K22" s="31" t="s">
        <v>95</v>
      </c>
      <c r="L22" s="30" t="s">
        <v>2558</v>
      </c>
      <c r="M22" s="26" t="s">
        <v>43</v>
      </c>
      <c r="N22" s="28"/>
      <c r="O22" s="28"/>
    </row>
    <row r="23" ht="57.75" customHeight="1">
      <c r="A23" s="78" t="s">
        <v>2559</v>
      </c>
      <c r="B23" s="17" t="s">
        <v>145</v>
      </c>
      <c r="C23" s="17" t="s">
        <v>116</v>
      </c>
      <c r="D23" s="22" t="s">
        <v>11</v>
      </c>
      <c r="E23" s="21" t="s">
        <v>2560</v>
      </c>
      <c r="F23" s="21">
        <v>45.0</v>
      </c>
      <c r="G23" s="21">
        <v>50.0</v>
      </c>
      <c r="H23" s="21">
        <v>60.0</v>
      </c>
      <c r="I23" s="21">
        <v>72.0</v>
      </c>
      <c r="J23" s="21">
        <v>100.0</v>
      </c>
      <c r="K23" s="23" t="s">
        <v>117</v>
      </c>
      <c r="L23" s="21" t="s">
        <v>2561</v>
      </c>
      <c r="M23" s="26" t="s">
        <v>43</v>
      </c>
      <c r="N23" s="17"/>
      <c r="O23" s="17"/>
    </row>
    <row r="24" ht="57.75" customHeight="1">
      <c r="A24" s="78" t="s">
        <v>2562</v>
      </c>
      <c r="B24" s="28" t="s">
        <v>145</v>
      </c>
      <c r="C24" s="28" t="s">
        <v>116</v>
      </c>
      <c r="D24" s="22" t="s">
        <v>11</v>
      </c>
      <c r="E24" s="30" t="s">
        <v>2563</v>
      </c>
      <c r="F24" s="30">
        <v>12.0</v>
      </c>
      <c r="G24" s="30" t="s">
        <v>2564</v>
      </c>
      <c r="H24" s="30">
        <v>15.0</v>
      </c>
      <c r="I24" s="30">
        <v>16.0</v>
      </c>
      <c r="J24" s="30">
        <v>18.0</v>
      </c>
      <c r="K24" s="31" t="s">
        <v>95</v>
      </c>
      <c r="L24" s="30" t="s">
        <v>2565</v>
      </c>
      <c r="M24" s="26" t="s">
        <v>43</v>
      </c>
      <c r="N24" s="28"/>
      <c r="O24" s="28"/>
    </row>
    <row r="25" ht="57.75" customHeight="1">
      <c r="A25" s="78" t="s">
        <v>2566</v>
      </c>
      <c r="B25" s="17" t="s">
        <v>145</v>
      </c>
      <c r="C25" s="17" t="s">
        <v>116</v>
      </c>
      <c r="D25" s="22" t="s">
        <v>11</v>
      </c>
      <c r="E25" s="21" t="s">
        <v>2567</v>
      </c>
      <c r="F25" s="21">
        <v>10.0</v>
      </c>
      <c r="G25" s="21">
        <v>11.0</v>
      </c>
      <c r="H25" s="21">
        <v>12.0</v>
      </c>
      <c r="I25" s="21">
        <v>14.0</v>
      </c>
      <c r="J25" s="21">
        <v>15.0</v>
      </c>
      <c r="K25" s="23" t="s">
        <v>95</v>
      </c>
      <c r="L25" s="21" t="s">
        <v>2568</v>
      </c>
      <c r="M25" s="26" t="s">
        <v>43</v>
      </c>
      <c r="N25" s="17"/>
      <c r="O25" s="17"/>
    </row>
    <row r="26" ht="57.75" customHeight="1">
      <c r="A26" s="78" t="s">
        <v>2569</v>
      </c>
      <c r="B26" s="28" t="s">
        <v>145</v>
      </c>
      <c r="C26" s="28" t="s">
        <v>116</v>
      </c>
      <c r="D26" s="22" t="s">
        <v>11</v>
      </c>
      <c r="E26" s="30" t="s">
        <v>2570</v>
      </c>
      <c r="F26" s="30">
        <v>192.0</v>
      </c>
      <c r="G26" s="30">
        <v>384.0</v>
      </c>
      <c r="H26" s="30">
        <v>576.0</v>
      </c>
      <c r="I26" s="30">
        <v>768.0</v>
      </c>
      <c r="J26" s="30">
        <v>1536.0</v>
      </c>
      <c r="K26" s="31" t="s">
        <v>64</v>
      </c>
      <c r="L26" s="30" t="s">
        <v>2571</v>
      </c>
      <c r="M26" s="26" t="s">
        <v>43</v>
      </c>
      <c r="N26" s="28"/>
      <c r="O26" s="28"/>
    </row>
    <row r="27" ht="57.75" customHeight="1">
      <c r="A27" s="78" t="s">
        <v>2572</v>
      </c>
      <c r="B27" s="17" t="s">
        <v>145</v>
      </c>
      <c r="C27" s="17" t="s">
        <v>116</v>
      </c>
      <c r="D27" s="22" t="s">
        <v>11</v>
      </c>
      <c r="E27" s="21" t="s">
        <v>2573</v>
      </c>
      <c r="F27" s="21">
        <v>90.0</v>
      </c>
      <c r="G27" s="21">
        <v>120.0</v>
      </c>
      <c r="H27" s="21">
        <v>150.0</v>
      </c>
      <c r="I27" s="21">
        <v>160.0</v>
      </c>
      <c r="J27" s="21">
        <v>180.0</v>
      </c>
      <c r="K27" s="23" t="s">
        <v>95</v>
      </c>
      <c r="L27" s="21" t="s">
        <v>2574</v>
      </c>
      <c r="M27" s="26" t="s">
        <v>43</v>
      </c>
      <c r="N27" s="17"/>
      <c r="O27" s="17"/>
    </row>
    <row r="28" ht="57.75" customHeight="1">
      <c r="A28" s="78" t="s">
        <v>2575</v>
      </c>
      <c r="B28" s="28" t="s">
        <v>145</v>
      </c>
      <c r="C28" s="28" t="s">
        <v>116</v>
      </c>
      <c r="D28" s="22" t="s">
        <v>11</v>
      </c>
      <c r="E28" s="30" t="s">
        <v>2576</v>
      </c>
      <c r="F28" s="30" t="s">
        <v>2577</v>
      </c>
      <c r="G28" s="30" t="s">
        <v>2578</v>
      </c>
      <c r="H28" s="30" t="s">
        <v>2579</v>
      </c>
      <c r="I28" s="30" t="s">
        <v>2580</v>
      </c>
      <c r="J28" s="30" t="s">
        <v>2581</v>
      </c>
      <c r="K28" s="31" t="s">
        <v>64</v>
      </c>
      <c r="L28" s="30" t="s">
        <v>2582</v>
      </c>
      <c r="M28" s="26" t="s">
        <v>43</v>
      </c>
      <c r="N28" s="28"/>
      <c r="O28" s="28"/>
    </row>
    <row r="29" ht="57.75" customHeight="1">
      <c r="A29" s="78" t="s">
        <v>2583</v>
      </c>
      <c r="B29" s="17" t="s">
        <v>145</v>
      </c>
      <c r="C29" s="17" t="s">
        <v>116</v>
      </c>
      <c r="D29" s="22" t="s">
        <v>11</v>
      </c>
      <c r="E29" s="21" t="s">
        <v>2584</v>
      </c>
      <c r="F29" s="21">
        <v>4.0</v>
      </c>
      <c r="G29" s="21">
        <v>6.0</v>
      </c>
      <c r="H29" s="21">
        <v>8.0</v>
      </c>
      <c r="I29" s="21">
        <v>10.0</v>
      </c>
      <c r="J29" s="21">
        <v>12.0</v>
      </c>
      <c r="K29" s="23" t="s">
        <v>95</v>
      </c>
      <c r="L29" s="21" t="s">
        <v>2585</v>
      </c>
      <c r="M29" s="26" t="s">
        <v>43</v>
      </c>
      <c r="N29" s="17"/>
      <c r="O29" s="17"/>
    </row>
    <row r="30" ht="57.75" customHeight="1">
      <c r="A30" s="78" t="s">
        <v>2586</v>
      </c>
      <c r="B30" s="28" t="s">
        <v>145</v>
      </c>
      <c r="C30" s="28" t="s">
        <v>116</v>
      </c>
      <c r="D30" s="22" t="s">
        <v>11</v>
      </c>
      <c r="E30" s="30" t="s">
        <v>2587</v>
      </c>
      <c r="F30" s="30">
        <v>60.0</v>
      </c>
      <c r="G30" s="30">
        <v>90.0</v>
      </c>
      <c r="H30" s="30">
        <v>120.0</v>
      </c>
      <c r="I30" s="30">
        <v>150.0</v>
      </c>
      <c r="J30" s="30">
        <v>180.0</v>
      </c>
      <c r="K30" s="31" t="s">
        <v>64</v>
      </c>
      <c r="L30" s="30" t="s">
        <v>2588</v>
      </c>
      <c r="M30" s="26" t="s">
        <v>43</v>
      </c>
      <c r="N30" s="28"/>
      <c r="O30" s="28"/>
    </row>
    <row r="31" ht="57.75" customHeight="1">
      <c r="A31" s="78" t="s">
        <v>2589</v>
      </c>
      <c r="B31" s="17" t="s">
        <v>145</v>
      </c>
      <c r="C31" s="17" t="s">
        <v>116</v>
      </c>
      <c r="D31" s="22" t="s">
        <v>11</v>
      </c>
      <c r="E31" s="21" t="s">
        <v>2590</v>
      </c>
      <c r="F31" s="21" t="s">
        <v>2591</v>
      </c>
      <c r="G31" s="21" t="s">
        <v>2592</v>
      </c>
      <c r="H31" s="21" t="s">
        <v>2593</v>
      </c>
      <c r="I31" s="21" t="s">
        <v>2594</v>
      </c>
      <c r="J31" s="21" t="s">
        <v>2595</v>
      </c>
      <c r="K31" s="23" t="s">
        <v>117</v>
      </c>
      <c r="L31" s="21" t="s">
        <v>2596</v>
      </c>
      <c r="M31" s="26" t="s">
        <v>43</v>
      </c>
      <c r="N31" s="17"/>
      <c r="O31" s="17"/>
    </row>
    <row r="32" ht="57.75" customHeight="1">
      <c r="A32" s="78" t="s">
        <v>2597</v>
      </c>
      <c r="B32" s="28" t="s">
        <v>145</v>
      </c>
      <c r="C32" s="28" t="s">
        <v>116</v>
      </c>
      <c r="D32" s="22" t="s">
        <v>11</v>
      </c>
      <c r="E32" s="30" t="s">
        <v>2598</v>
      </c>
      <c r="F32" s="30">
        <v>42.0</v>
      </c>
      <c r="G32" s="30">
        <v>60.0</v>
      </c>
      <c r="H32" s="30">
        <v>72.0</v>
      </c>
      <c r="I32" s="30">
        <v>84.0</v>
      </c>
      <c r="J32" s="30">
        <v>96.0</v>
      </c>
      <c r="K32" s="31" t="s">
        <v>117</v>
      </c>
      <c r="L32" s="30" t="s">
        <v>2599</v>
      </c>
      <c r="M32" s="26" t="s">
        <v>43</v>
      </c>
      <c r="N32" s="28"/>
      <c r="O32" s="28"/>
    </row>
    <row r="33" ht="57.75" customHeight="1">
      <c r="A33" s="78" t="s">
        <v>2600</v>
      </c>
      <c r="B33" s="17" t="s">
        <v>145</v>
      </c>
      <c r="C33" s="17" t="s">
        <v>116</v>
      </c>
      <c r="D33" s="22" t="s">
        <v>11</v>
      </c>
      <c r="E33" s="21" t="s">
        <v>2601</v>
      </c>
      <c r="F33" s="21">
        <v>5.0</v>
      </c>
      <c r="G33" s="21">
        <v>8.0</v>
      </c>
      <c r="H33" s="21">
        <v>10.0</v>
      </c>
      <c r="I33" s="21">
        <v>12.0</v>
      </c>
      <c r="J33" s="21">
        <v>15.0</v>
      </c>
      <c r="K33" s="23" t="s">
        <v>64</v>
      </c>
      <c r="L33" s="21" t="s">
        <v>2602</v>
      </c>
      <c r="M33" s="26" t="s">
        <v>43</v>
      </c>
      <c r="N33" s="17"/>
      <c r="O33" s="17"/>
    </row>
    <row r="34" ht="57.75" customHeight="1">
      <c r="A34" s="78" t="s">
        <v>2603</v>
      </c>
      <c r="B34" s="28" t="s">
        <v>145</v>
      </c>
      <c r="C34" s="28" t="s">
        <v>116</v>
      </c>
      <c r="D34" s="22" t="s">
        <v>11</v>
      </c>
      <c r="E34" s="30" t="s">
        <v>2604</v>
      </c>
      <c r="F34" s="30">
        <v>18.0</v>
      </c>
      <c r="G34" s="30">
        <v>36.0</v>
      </c>
      <c r="H34" s="30">
        <v>45.0</v>
      </c>
      <c r="I34" s="30">
        <v>54.0</v>
      </c>
      <c r="J34" s="30">
        <v>81.0</v>
      </c>
      <c r="K34" s="31" t="s">
        <v>64</v>
      </c>
      <c r="L34" s="30" t="s">
        <v>2605</v>
      </c>
      <c r="M34" s="26" t="s">
        <v>43</v>
      </c>
      <c r="N34" s="28"/>
      <c r="O34" s="28"/>
    </row>
    <row r="35" ht="57.75" customHeight="1">
      <c r="A35" s="78" t="s">
        <v>2606</v>
      </c>
      <c r="B35" s="17" t="s">
        <v>145</v>
      </c>
      <c r="C35" s="17" t="s">
        <v>116</v>
      </c>
      <c r="D35" s="22" t="s">
        <v>11</v>
      </c>
      <c r="E35" s="21" t="s">
        <v>2607</v>
      </c>
      <c r="F35" s="21" t="s">
        <v>2608</v>
      </c>
      <c r="G35" s="21" t="s">
        <v>2609</v>
      </c>
      <c r="H35" s="21" t="s">
        <v>2299</v>
      </c>
      <c r="I35" s="21" t="s">
        <v>2610</v>
      </c>
      <c r="J35" s="21">
        <v>2.0</v>
      </c>
      <c r="K35" s="23" t="s">
        <v>95</v>
      </c>
      <c r="L35" s="21" t="s">
        <v>2611</v>
      </c>
      <c r="M35" s="26" t="s">
        <v>43</v>
      </c>
      <c r="N35" s="17"/>
      <c r="O35" s="17"/>
    </row>
    <row r="36" ht="57.75" customHeight="1">
      <c r="A36" s="78" t="s">
        <v>2612</v>
      </c>
      <c r="B36" s="28" t="s">
        <v>145</v>
      </c>
      <c r="C36" s="28" t="s">
        <v>116</v>
      </c>
      <c r="D36" s="22" t="s">
        <v>11</v>
      </c>
      <c r="E36" s="30" t="s">
        <v>2613</v>
      </c>
      <c r="F36" s="30">
        <v>5.0</v>
      </c>
      <c r="G36" s="30">
        <v>6.0</v>
      </c>
      <c r="H36" s="30">
        <v>7.0</v>
      </c>
      <c r="I36" s="30">
        <v>8.0</v>
      </c>
      <c r="J36" s="30">
        <v>9.0</v>
      </c>
      <c r="K36" s="31" t="s">
        <v>64</v>
      </c>
      <c r="L36" s="30" t="s">
        <v>2614</v>
      </c>
      <c r="M36" s="26" t="s">
        <v>43</v>
      </c>
      <c r="N36" s="28"/>
      <c r="O36" s="28"/>
    </row>
    <row r="37" ht="19.5" customHeight="1">
      <c r="A37" s="63" t="s">
        <v>279</v>
      </c>
      <c r="B37" s="3"/>
      <c r="C37" s="3"/>
      <c r="D37" s="3"/>
      <c r="E37" s="3"/>
      <c r="F37" s="3"/>
      <c r="G37" s="3"/>
      <c r="H37" s="3"/>
      <c r="I37" s="3"/>
      <c r="J37" s="3"/>
      <c r="K37" s="3"/>
      <c r="L37" s="3"/>
      <c r="M37" s="3"/>
      <c r="N37" s="3"/>
      <c r="O37" s="4"/>
    </row>
    <row r="38" ht="57.75" customHeight="1">
      <c r="A38" s="78" t="s">
        <v>2615</v>
      </c>
      <c r="B38" s="17" t="s">
        <v>145</v>
      </c>
      <c r="C38" s="17" t="s">
        <v>116</v>
      </c>
      <c r="D38" s="24" t="s">
        <v>12</v>
      </c>
      <c r="E38" s="21" t="s">
        <v>2616</v>
      </c>
      <c r="F38" s="21">
        <v>5184.0</v>
      </c>
      <c r="G38" s="21">
        <v>5760.0</v>
      </c>
      <c r="H38" s="21">
        <v>6144.0</v>
      </c>
      <c r="I38" s="21">
        <v>6400.0</v>
      </c>
      <c r="J38" s="21">
        <v>7200.0</v>
      </c>
      <c r="K38" s="23" t="s">
        <v>95</v>
      </c>
      <c r="L38" s="21" t="s">
        <v>2617</v>
      </c>
      <c r="M38" s="26" t="s">
        <v>43</v>
      </c>
      <c r="N38" s="17"/>
      <c r="O38" s="17"/>
    </row>
    <row r="39" ht="57.75" customHeight="1">
      <c r="A39" s="78" t="s">
        <v>2618</v>
      </c>
      <c r="B39" s="28" t="s">
        <v>145</v>
      </c>
      <c r="C39" s="28" t="s">
        <v>116</v>
      </c>
      <c r="D39" s="24" t="s">
        <v>12</v>
      </c>
      <c r="E39" s="30" t="s">
        <v>2619</v>
      </c>
      <c r="F39" s="30">
        <v>16.0</v>
      </c>
      <c r="G39" s="30">
        <v>24.0</v>
      </c>
      <c r="H39" s="30">
        <v>32.0</v>
      </c>
      <c r="I39" s="30">
        <v>48.0</v>
      </c>
      <c r="J39" s="30">
        <v>64.0</v>
      </c>
      <c r="K39" s="31" t="s">
        <v>95</v>
      </c>
      <c r="L39" s="30" t="s">
        <v>2620</v>
      </c>
      <c r="M39" s="26" t="s">
        <v>43</v>
      </c>
      <c r="N39" s="28"/>
      <c r="O39" s="28"/>
    </row>
    <row r="40" ht="57.75" customHeight="1">
      <c r="A40" s="78" t="s">
        <v>2621</v>
      </c>
      <c r="B40" s="17" t="s">
        <v>145</v>
      </c>
      <c r="C40" s="17" t="s">
        <v>116</v>
      </c>
      <c r="D40" s="24" t="s">
        <v>12</v>
      </c>
      <c r="E40" s="21" t="s">
        <v>2622</v>
      </c>
      <c r="F40" s="21">
        <v>145.0</v>
      </c>
      <c r="G40" s="21">
        <v>165.0</v>
      </c>
      <c r="H40" s="21">
        <v>185.0</v>
      </c>
      <c r="I40" s="21">
        <v>205.0</v>
      </c>
      <c r="J40" s="21">
        <v>225.0</v>
      </c>
      <c r="K40" s="23" t="s">
        <v>95</v>
      </c>
      <c r="L40" s="21" t="s">
        <v>2623</v>
      </c>
      <c r="M40" s="26" t="s">
        <v>43</v>
      </c>
      <c r="N40" s="17"/>
      <c r="O40" s="17"/>
    </row>
    <row r="41" ht="57.75" customHeight="1">
      <c r="A41" s="78" t="s">
        <v>2624</v>
      </c>
      <c r="B41" s="28" t="s">
        <v>145</v>
      </c>
      <c r="C41" s="28" t="s">
        <v>116</v>
      </c>
      <c r="D41" s="24" t="s">
        <v>12</v>
      </c>
      <c r="E41" s="30" t="s">
        <v>2625</v>
      </c>
      <c r="F41" s="30">
        <v>72.0</v>
      </c>
      <c r="G41" s="30">
        <v>82.0</v>
      </c>
      <c r="H41" s="30">
        <v>92.0</v>
      </c>
      <c r="I41" s="30">
        <v>102.0</v>
      </c>
      <c r="J41" s="30">
        <v>112.0</v>
      </c>
      <c r="K41" s="31" t="s">
        <v>64</v>
      </c>
      <c r="L41" s="30" t="s">
        <v>2626</v>
      </c>
      <c r="M41" s="26" t="s">
        <v>43</v>
      </c>
      <c r="N41" s="28"/>
      <c r="O41" s="28"/>
    </row>
    <row r="42" ht="57.75" customHeight="1">
      <c r="A42" s="78" t="s">
        <v>2627</v>
      </c>
      <c r="B42" s="17" t="s">
        <v>145</v>
      </c>
      <c r="C42" s="17" t="s">
        <v>116</v>
      </c>
      <c r="D42" s="24" t="s">
        <v>12</v>
      </c>
      <c r="E42" s="21" t="s">
        <v>2628</v>
      </c>
      <c r="F42" s="21">
        <v>48.0</v>
      </c>
      <c r="G42" s="21">
        <v>54.0</v>
      </c>
      <c r="H42" s="21">
        <v>60.0</v>
      </c>
      <c r="I42" s="21">
        <v>66.0</v>
      </c>
      <c r="J42" s="21">
        <v>72.0</v>
      </c>
      <c r="K42" s="23" t="s">
        <v>117</v>
      </c>
      <c r="L42" s="21" t="s">
        <v>2629</v>
      </c>
      <c r="M42" s="26" t="s">
        <v>43</v>
      </c>
      <c r="N42" s="17"/>
      <c r="O42" s="17"/>
    </row>
    <row r="43" ht="57.75" customHeight="1">
      <c r="A43" s="78" t="s">
        <v>2630</v>
      </c>
      <c r="B43" s="28" t="s">
        <v>145</v>
      </c>
      <c r="C43" s="28" t="s">
        <v>116</v>
      </c>
      <c r="D43" s="24" t="s">
        <v>12</v>
      </c>
      <c r="E43" s="30" t="s">
        <v>2631</v>
      </c>
      <c r="F43" s="30">
        <v>36.0</v>
      </c>
      <c r="G43" s="30">
        <v>48.0</v>
      </c>
      <c r="H43" s="30">
        <v>54.0</v>
      </c>
      <c r="I43" s="30">
        <v>60.0</v>
      </c>
      <c r="J43" s="30">
        <v>72.0</v>
      </c>
      <c r="K43" s="31" t="s">
        <v>95</v>
      </c>
      <c r="L43" s="30" t="s">
        <v>2632</v>
      </c>
      <c r="M43" s="26" t="s">
        <v>43</v>
      </c>
      <c r="N43" s="28"/>
      <c r="O43" s="28"/>
    </row>
    <row r="44" ht="57.75" customHeight="1">
      <c r="A44" s="78" t="s">
        <v>2633</v>
      </c>
      <c r="B44" s="17" t="s">
        <v>145</v>
      </c>
      <c r="C44" s="17" t="s">
        <v>116</v>
      </c>
      <c r="D44" s="24" t="s">
        <v>12</v>
      </c>
      <c r="E44" s="21" t="s">
        <v>2634</v>
      </c>
      <c r="F44" s="21">
        <v>1200.0</v>
      </c>
      <c r="G44" s="21">
        <v>1440.0</v>
      </c>
      <c r="H44" s="21">
        <v>1536.0</v>
      </c>
      <c r="I44" s="21">
        <v>1600.0</v>
      </c>
      <c r="J44" s="21">
        <v>1800.0</v>
      </c>
      <c r="K44" s="23" t="s">
        <v>95</v>
      </c>
      <c r="L44" s="21" t="s">
        <v>2635</v>
      </c>
      <c r="M44" s="26" t="s">
        <v>43</v>
      </c>
      <c r="N44" s="17"/>
      <c r="O44" s="17"/>
    </row>
    <row r="45" ht="57.75" customHeight="1">
      <c r="A45" s="78" t="s">
        <v>2636</v>
      </c>
      <c r="B45" s="28" t="s">
        <v>145</v>
      </c>
      <c r="C45" s="28" t="s">
        <v>116</v>
      </c>
      <c r="D45" s="24" t="s">
        <v>12</v>
      </c>
      <c r="E45" s="30" t="s">
        <v>2637</v>
      </c>
      <c r="F45" s="30">
        <v>21.0</v>
      </c>
      <c r="G45" s="30">
        <v>28.0</v>
      </c>
      <c r="H45" s="30">
        <v>35.0</v>
      </c>
      <c r="I45" s="30">
        <v>42.0</v>
      </c>
      <c r="J45" s="30">
        <v>56.0</v>
      </c>
      <c r="K45" s="31" t="s">
        <v>117</v>
      </c>
      <c r="L45" s="30" t="s">
        <v>2638</v>
      </c>
      <c r="M45" s="26" t="s">
        <v>43</v>
      </c>
      <c r="N45" s="28"/>
      <c r="O45" s="28"/>
    </row>
    <row r="46" ht="57.75" customHeight="1">
      <c r="A46" s="78" t="s">
        <v>2639</v>
      </c>
      <c r="B46" s="17" t="s">
        <v>145</v>
      </c>
      <c r="C46" s="17" t="s">
        <v>116</v>
      </c>
      <c r="D46" s="24" t="s">
        <v>12</v>
      </c>
      <c r="E46" s="21" t="s">
        <v>2640</v>
      </c>
      <c r="F46" s="21">
        <v>650.0</v>
      </c>
      <c r="G46" s="21">
        <v>720.0</v>
      </c>
      <c r="H46" s="21">
        <v>768.0</v>
      </c>
      <c r="I46" s="21">
        <v>810.0</v>
      </c>
      <c r="J46" s="21">
        <v>850.0</v>
      </c>
      <c r="K46" s="23" t="s">
        <v>95</v>
      </c>
      <c r="L46" s="21" t="s">
        <v>2641</v>
      </c>
      <c r="M46" s="26" t="s">
        <v>43</v>
      </c>
      <c r="N46" s="17"/>
      <c r="O46" s="17"/>
    </row>
    <row r="47" ht="57.75" customHeight="1">
      <c r="A47" s="78" t="s">
        <v>2642</v>
      </c>
      <c r="B47" s="28" t="s">
        <v>145</v>
      </c>
      <c r="C47" s="28" t="s">
        <v>116</v>
      </c>
      <c r="D47" s="24" t="s">
        <v>12</v>
      </c>
      <c r="E47" s="30" t="s">
        <v>2643</v>
      </c>
      <c r="F47" s="30">
        <v>300.0</v>
      </c>
      <c r="G47" s="30">
        <v>350.0</v>
      </c>
      <c r="H47" s="30">
        <v>400.0</v>
      </c>
      <c r="I47" s="30">
        <v>450.0</v>
      </c>
      <c r="J47" s="30">
        <v>500.0</v>
      </c>
      <c r="K47" s="31" t="s">
        <v>117</v>
      </c>
      <c r="L47" s="30" t="s">
        <v>2644</v>
      </c>
      <c r="M47" s="26" t="s">
        <v>43</v>
      </c>
      <c r="N47" s="28"/>
      <c r="O47" s="28"/>
    </row>
    <row r="48" ht="57.75" customHeight="1">
      <c r="A48" s="78" t="s">
        <v>2645</v>
      </c>
      <c r="B48" s="17" t="s">
        <v>145</v>
      </c>
      <c r="C48" s="17" t="s">
        <v>116</v>
      </c>
      <c r="D48" s="24" t="s">
        <v>12</v>
      </c>
      <c r="E48" s="21" t="s">
        <v>2646</v>
      </c>
      <c r="F48" s="21">
        <v>216.0</v>
      </c>
      <c r="G48" s="21">
        <v>240.0</v>
      </c>
      <c r="H48" s="21">
        <v>264.0</v>
      </c>
      <c r="I48" s="21">
        <v>288.0</v>
      </c>
      <c r="J48" s="21">
        <v>312.0</v>
      </c>
      <c r="K48" s="23" t="s">
        <v>117</v>
      </c>
      <c r="L48" s="21" t="s">
        <v>2647</v>
      </c>
      <c r="M48" s="26" t="s">
        <v>43</v>
      </c>
      <c r="N48" s="17"/>
      <c r="O48" s="17"/>
    </row>
    <row r="49" ht="57.75" customHeight="1">
      <c r="A49" s="78" t="s">
        <v>2648</v>
      </c>
      <c r="B49" s="28" t="s">
        <v>145</v>
      </c>
      <c r="C49" s="28" t="s">
        <v>116</v>
      </c>
      <c r="D49" s="24" t="s">
        <v>12</v>
      </c>
      <c r="E49" s="30" t="s">
        <v>2649</v>
      </c>
      <c r="F49" s="30">
        <v>64.0</v>
      </c>
      <c r="G49" s="30">
        <v>72.0</v>
      </c>
      <c r="H49" s="30">
        <v>84.0</v>
      </c>
      <c r="I49" s="30">
        <v>96.0</v>
      </c>
      <c r="J49" s="30">
        <v>108.0</v>
      </c>
      <c r="K49" s="31" t="s">
        <v>95</v>
      </c>
      <c r="L49" s="30" t="s">
        <v>2650</v>
      </c>
      <c r="M49" s="26" t="s">
        <v>43</v>
      </c>
      <c r="N49" s="28"/>
      <c r="O49" s="28"/>
    </row>
    <row r="50" ht="57.75" customHeight="1">
      <c r="A50" s="78" t="s">
        <v>2651</v>
      </c>
      <c r="B50" s="17" t="s">
        <v>145</v>
      </c>
      <c r="C50" s="17" t="s">
        <v>116</v>
      </c>
      <c r="D50" s="24" t="s">
        <v>12</v>
      </c>
      <c r="E50" s="21" t="s">
        <v>2652</v>
      </c>
      <c r="F50" s="21">
        <v>30.0</v>
      </c>
      <c r="G50" s="21">
        <v>35.0</v>
      </c>
      <c r="H50" s="21">
        <v>40.0</v>
      </c>
      <c r="I50" s="21">
        <v>45.0</v>
      </c>
      <c r="J50" s="21">
        <v>50.0</v>
      </c>
      <c r="K50" s="23" t="s">
        <v>117</v>
      </c>
      <c r="L50" s="21" t="s">
        <v>2653</v>
      </c>
      <c r="M50" s="26" t="s">
        <v>43</v>
      </c>
      <c r="N50" s="17"/>
      <c r="O50" s="17"/>
    </row>
    <row r="51" ht="57.75" customHeight="1">
      <c r="A51" s="78" t="s">
        <v>2654</v>
      </c>
      <c r="B51" s="28" t="s">
        <v>145</v>
      </c>
      <c r="C51" s="28" t="s">
        <v>116</v>
      </c>
      <c r="D51" s="24" t="s">
        <v>12</v>
      </c>
      <c r="E51" s="30" t="s">
        <v>2655</v>
      </c>
      <c r="F51" s="30">
        <v>5.0</v>
      </c>
      <c r="G51" s="30">
        <v>6.0</v>
      </c>
      <c r="H51" s="30">
        <v>7.0</v>
      </c>
      <c r="I51" s="30">
        <v>8.0</v>
      </c>
      <c r="J51" s="30">
        <v>9.0</v>
      </c>
      <c r="K51" s="31" t="s">
        <v>95</v>
      </c>
      <c r="L51" s="30" t="s">
        <v>2656</v>
      </c>
      <c r="M51" s="26" t="s">
        <v>43</v>
      </c>
      <c r="N51" s="28"/>
      <c r="O51" s="28"/>
    </row>
    <row r="52" ht="57.75" customHeight="1">
      <c r="A52" s="78" t="s">
        <v>2657</v>
      </c>
      <c r="B52" s="17" t="s">
        <v>145</v>
      </c>
      <c r="C52" s="17" t="s">
        <v>116</v>
      </c>
      <c r="D52" s="24" t="s">
        <v>12</v>
      </c>
      <c r="E52" s="21" t="s">
        <v>2658</v>
      </c>
      <c r="F52" s="21">
        <v>80.0</v>
      </c>
      <c r="G52" s="21">
        <v>88.0</v>
      </c>
      <c r="H52" s="21">
        <v>96.0</v>
      </c>
      <c r="I52" s="21">
        <v>104.0</v>
      </c>
      <c r="J52" s="21">
        <v>112.0</v>
      </c>
      <c r="K52" s="23" t="s">
        <v>95</v>
      </c>
      <c r="L52" s="21" t="s">
        <v>2659</v>
      </c>
      <c r="M52" s="26" t="s">
        <v>43</v>
      </c>
      <c r="N52" s="17"/>
      <c r="O52" s="17"/>
    </row>
    <row r="53" ht="25.5" customHeight="1">
      <c r="A53" s="55" t="s">
        <v>2660</v>
      </c>
      <c r="B53" s="57"/>
      <c r="C53" s="57"/>
      <c r="D53" s="57"/>
      <c r="E53" s="57"/>
      <c r="F53" s="57"/>
      <c r="G53" s="57"/>
      <c r="H53" s="57"/>
      <c r="I53" s="57"/>
      <c r="J53" s="58"/>
      <c r="M53" s="79">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80" t="s">
        <v>2661</v>
      </c>
      <c r="B1" s="3"/>
      <c r="C1" s="3"/>
      <c r="D1" s="3"/>
      <c r="E1" s="3"/>
      <c r="F1" s="3"/>
      <c r="G1" s="3"/>
      <c r="H1" s="3"/>
      <c r="I1" s="3"/>
      <c r="J1" s="3"/>
      <c r="K1" s="3"/>
      <c r="L1" s="3"/>
      <c r="M1" s="3"/>
      <c r="N1" s="3"/>
      <c r="O1" s="4"/>
    </row>
    <row r="2" ht="30.0" customHeight="1">
      <c r="A2" s="81" t="s">
        <v>2663</v>
      </c>
      <c r="B2" s="3"/>
      <c r="C2" s="3"/>
      <c r="D2" s="3"/>
      <c r="E2" s="3"/>
      <c r="F2" s="3"/>
      <c r="G2" s="3"/>
      <c r="H2" s="3"/>
      <c r="I2" s="3"/>
      <c r="J2" s="3"/>
      <c r="K2" s="3"/>
      <c r="L2" s="3"/>
      <c r="M2" s="3"/>
      <c r="N2" s="3"/>
      <c r="O2" s="4"/>
    </row>
    <row r="3" ht="19.5" customHeight="1">
      <c r="A3" s="7" t="s">
        <v>6</v>
      </c>
      <c r="B3" s="3"/>
      <c r="C3" s="3"/>
      <c r="D3" s="3"/>
      <c r="E3" s="3"/>
      <c r="F3" s="3"/>
      <c r="G3" s="3"/>
      <c r="H3" s="3"/>
      <c r="I3" s="3"/>
      <c r="J3" s="3"/>
      <c r="K3" s="3"/>
      <c r="L3" s="3"/>
      <c r="M3" s="3"/>
      <c r="N3" s="3"/>
      <c r="O3" s="4"/>
    </row>
    <row r="4" ht="24.75" customHeight="1">
      <c r="A4" s="9" t="s">
        <v>8</v>
      </c>
      <c r="B4" s="9" t="s">
        <v>7</v>
      </c>
      <c r="C4" s="9" t="s">
        <v>13</v>
      </c>
      <c r="D4" s="9" t="s">
        <v>15</v>
      </c>
      <c r="E4" s="9" t="s">
        <v>17</v>
      </c>
      <c r="F4" s="9" t="s">
        <v>18</v>
      </c>
      <c r="G4" s="9" t="s">
        <v>20</v>
      </c>
      <c r="H4" s="9" t="s">
        <v>21</v>
      </c>
      <c r="I4" s="9" t="s">
        <v>22</v>
      </c>
      <c r="J4" s="9" t="s">
        <v>23</v>
      </c>
      <c r="K4" s="9" t="s">
        <v>25</v>
      </c>
      <c r="L4" s="9" t="s">
        <v>26</v>
      </c>
      <c r="M4" s="9" t="s">
        <v>19</v>
      </c>
      <c r="N4" s="9" t="s">
        <v>27</v>
      </c>
      <c r="O4" s="9" t="s">
        <v>28</v>
      </c>
    </row>
    <row r="5" ht="19.5" customHeight="1">
      <c r="A5" s="13" t="s">
        <v>29</v>
      </c>
      <c r="B5" s="3"/>
      <c r="C5" s="3"/>
      <c r="D5" s="3"/>
      <c r="E5" s="3"/>
      <c r="F5" s="3"/>
      <c r="G5" s="3"/>
      <c r="H5" s="3"/>
      <c r="I5" s="3"/>
      <c r="J5" s="3"/>
      <c r="K5" s="3"/>
      <c r="L5" s="3"/>
      <c r="M5" s="3"/>
      <c r="N5" s="3"/>
      <c r="O5" s="4"/>
    </row>
    <row r="6" ht="57.75" customHeight="1">
      <c r="A6" s="82" t="s">
        <v>2666</v>
      </c>
      <c r="B6" s="17" t="s">
        <v>164</v>
      </c>
      <c r="C6" s="17" t="s">
        <v>160</v>
      </c>
      <c r="D6" s="19" t="s">
        <v>9</v>
      </c>
      <c r="E6" s="21" t="s">
        <v>2667</v>
      </c>
      <c r="F6" s="21">
        <v>6.0</v>
      </c>
      <c r="G6" s="21">
        <v>7.0</v>
      </c>
      <c r="H6" s="21">
        <v>8.0</v>
      </c>
      <c r="I6" s="21">
        <v>9.0</v>
      </c>
      <c r="J6" s="21">
        <v>10.0</v>
      </c>
      <c r="K6" s="23" t="s">
        <v>95</v>
      </c>
      <c r="L6" s="21" t="s">
        <v>2673</v>
      </c>
      <c r="M6" s="26" t="s">
        <v>43</v>
      </c>
      <c r="N6" s="17"/>
      <c r="O6" s="17"/>
    </row>
    <row r="7" ht="57.75" customHeight="1">
      <c r="A7" s="82" t="s">
        <v>2676</v>
      </c>
      <c r="B7" s="28" t="s">
        <v>164</v>
      </c>
      <c r="C7" s="28" t="s">
        <v>160</v>
      </c>
      <c r="D7" s="19" t="s">
        <v>9</v>
      </c>
      <c r="E7" s="30" t="s">
        <v>2678</v>
      </c>
      <c r="F7" s="30">
        <v>7.0</v>
      </c>
      <c r="G7" s="30">
        <v>8.0</v>
      </c>
      <c r="H7" s="30">
        <v>9.0</v>
      </c>
      <c r="I7" s="30">
        <v>10.0</v>
      </c>
      <c r="J7" s="30">
        <v>11.0</v>
      </c>
      <c r="K7" s="31" t="s">
        <v>95</v>
      </c>
      <c r="L7" s="30" t="s">
        <v>2682</v>
      </c>
      <c r="M7" s="26" t="s">
        <v>43</v>
      </c>
      <c r="N7" s="28"/>
      <c r="O7" s="28"/>
    </row>
    <row r="8" ht="57.75" customHeight="1">
      <c r="A8" s="82" t="s">
        <v>2686</v>
      </c>
      <c r="B8" s="17" t="s">
        <v>164</v>
      </c>
      <c r="C8" s="17" t="s">
        <v>160</v>
      </c>
      <c r="D8" s="19" t="s">
        <v>9</v>
      </c>
      <c r="E8" s="21" t="s">
        <v>2688</v>
      </c>
      <c r="F8" s="21">
        <v>4.0</v>
      </c>
      <c r="G8" s="21">
        <v>5.0</v>
      </c>
      <c r="H8" s="21">
        <v>6.0</v>
      </c>
      <c r="I8" s="21">
        <v>7.0</v>
      </c>
      <c r="J8" s="21">
        <v>8.0</v>
      </c>
      <c r="K8" s="23" t="s">
        <v>117</v>
      </c>
      <c r="L8" s="21" t="s">
        <v>2691</v>
      </c>
      <c r="M8" s="26" t="s">
        <v>43</v>
      </c>
      <c r="N8" s="17"/>
      <c r="O8" s="17"/>
    </row>
    <row r="9" ht="57.75" customHeight="1">
      <c r="A9" s="82" t="s">
        <v>2694</v>
      </c>
      <c r="B9" s="28" t="s">
        <v>164</v>
      </c>
      <c r="C9" s="28" t="s">
        <v>160</v>
      </c>
      <c r="D9" s="19" t="s">
        <v>9</v>
      </c>
      <c r="E9" s="30" t="s">
        <v>2697</v>
      </c>
      <c r="F9" s="30">
        <v>18.0</v>
      </c>
      <c r="G9" s="30">
        <v>22.0</v>
      </c>
      <c r="H9" s="30">
        <v>25.0</v>
      </c>
      <c r="I9" s="30">
        <v>28.0</v>
      </c>
      <c r="J9" s="30">
        <v>30.0</v>
      </c>
      <c r="K9" s="31" t="s">
        <v>95</v>
      </c>
      <c r="L9" s="30" t="s">
        <v>2701</v>
      </c>
      <c r="M9" s="26" t="s">
        <v>43</v>
      </c>
      <c r="N9" s="28"/>
      <c r="O9" s="28"/>
    </row>
    <row r="10" ht="57.75" customHeight="1">
      <c r="A10" s="82" t="s">
        <v>2705</v>
      </c>
      <c r="B10" s="17" t="s">
        <v>164</v>
      </c>
      <c r="C10" s="17" t="s">
        <v>160</v>
      </c>
      <c r="D10" s="19" t="s">
        <v>9</v>
      </c>
      <c r="E10" s="21" t="s">
        <v>2708</v>
      </c>
      <c r="F10" s="21">
        <v>7.0</v>
      </c>
      <c r="G10" s="21">
        <v>8.0</v>
      </c>
      <c r="H10" s="21">
        <v>9.0</v>
      </c>
      <c r="I10" s="21">
        <v>10.0</v>
      </c>
      <c r="J10" s="21">
        <v>11.0</v>
      </c>
      <c r="K10" s="23" t="s">
        <v>95</v>
      </c>
      <c r="L10" s="21" t="s">
        <v>2711</v>
      </c>
      <c r="M10" s="26" t="s">
        <v>43</v>
      </c>
      <c r="N10" s="17"/>
      <c r="O10" s="17"/>
    </row>
    <row r="11" ht="57.75" customHeight="1">
      <c r="A11" s="82" t="s">
        <v>2713</v>
      </c>
      <c r="B11" s="28" t="s">
        <v>164</v>
      </c>
      <c r="C11" s="28" t="s">
        <v>160</v>
      </c>
      <c r="D11" s="19" t="s">
        <v>9</v>
      </c>
      <c r="E11" s="30" t="s">
        <v>2715</v>
      </c>
      <c r="F11" s="30">
        <v>6.0</v>
      </c>
      <c r="G11" s="30">
        <v>7.0</v>
      </c>
      <c r="H11" s="30">
        <v>8.0</v>
      </c>
      <c r="I11" s="30">
        <v>9.0</v>
      </c>
      <c r="J11" s="30">
        <v>10.0</v>
      </c>
      <c r="K11" s="31" t="s">
        <v>64</v>
      </c>
      <c r="L11" s="30" t="s">
        <v>2720</v>
      </c>
      <c r="M11" s="26" t="s">
        <v>43</v>
      </c>
      <c r="N11" s="28"/>
      <c r="O11" s="28"/>
    </row>
    <row r="12" ht="57.75" customHeight="1">
      <c r="A12" s="82" t="s">
        <v>2723</v>
      </c>
      <c r="B12" s="17" t="s">
        <v>164</v>
      </c>
      <c r="C12" s="17" t="s">
        <v>160</v>
      </c>
      <c r="D12" s="19" t="s">
        <v>9</v>
      </c>
      <c r="E12" s="21" t="s">
        <v>2725</v>
      </c>
      <c r="F12" s="21" t="s">
        <v>2726</v>
      </c>
      <c r="G12" s="21" t="s">
        <v>2727</v>
      </c>
      <c r="H12" s="21" t="s">
        <v>2728</v>
      </c>
      <c r="I12" s="21" t="s">
        <v>2729</v>
      </c>
      <c r="J12" s="21" t="s">
        <v>2730</v>
      </c>
      <c r="K12" s="23" t="s">
        <v>95</v>
      </c>
      <c r="L12" s="21" t="s">
        <v>2732</v>
      </c>
      <c r="M12" s="26" t="s">
        <v>43</v>
      </c>
      <c r="N12" s="17"/>
      <c r="O12" s="17"/>
    </row>
    <row r="13" ht="57.75" customHeight="1">
      <c r="A13" s="82" t="s">
        <v>2735</v>
      </c>
      <c r="B13" s="28" t="s">
        <v>164</v>
      </c>
      <c r="C13" s="28" t="s">
        <v>160</v>
      </c>
      <c r="D13" s="19" t="s">
        <v>9</v>
      </c>
      <c r="E13" s="30" t="s">
        <v>2737</v>
      </c>
      <c r="F13" s="30">
        <v>14.0</v>
      </c>
      <c r="G13" s="30">
        <v>20.0</v>
      </c>
      <c r="H13" s="30">
        <v>22.0</v>
      </c>
      <c r="I13" s="30">
        <v>24.0</v>
      </c>
      <c r="J13" s="30">
        <v>26.0</v>
      </c>
      <c r="K13" s="31" t="s">
        <v>95</v>
      </c>
      <c r="L13" s="30" t="s">
        <v>2739</v>
      </c>
      <c r="M13" s="26" t="s">
        <v>43</v>
      </c>
      <c r="N13" s="28"/>
      <c r="O13" s="28"/>
    </row>
    <row r="14" ht="57.75" customHeight="1">
      <c r="A14" s="82" t="s">
        <v>2742</v>
      </c>
      <c r="B14" s="17" t="s">
        <v>164</v>
      </c>
      <c r="C14" s="17" t="s">
        <v>160</v>
      </c>
      <c r="D14" s="19" t="s">
        <v>9</v>
      </c>
      <c r="E14" s="21" t="s">
        <v>2743</v>
      </c>
      <c r="F14" s="21">
        <v>80.0</v>
      </c>
      <c r="G14" s="21" t="s">
        <v>2745</v>
      </c>
      <c r="H14" s="21">
        <v>85.0</v>
      </c>
      <c r="I14" s="21" t="s">
        <v>2747</v>
      </c>
      <c r="J14" s="21">
        <v>90.0</v>
      </c>
      <c r="K14" s="23" t="s">
        <v>95</v>
      </c>
      <c r="L14" s="21" t="s">
        <v>2749</v>
      </c>
      <c r="M14" s="26" t="s">
        <v>43</v>
      </c>
      <c r="N14" s="17"/>
      <c r="O14" s="17"/>
    </row>
    <row r="15" ht="57.75" customHeight="1">
      <c r="A15" s="82" t="s">
        <v>2755</v>
      </c>
      <c r="B15" s="28" t="s">
        <v>164</v>
      </c>
      <c r="C15" s="28" t="s">
        <v>160</v>
      </c>
      <c r="D15" s="19" t="s">
        <v>9</v>
      </c>
      <c r="E15" s="30" t="s">
        <v>2758</v>
      </c>
      <c r="F15" s="30">
        <v>25.0</v>
      </c>
      <c r="G15" s="30">
        <v>27.0</v>
      </c>
      <c r="H15" s="30">
        <v>29.0</v>
      </c>
      <c r="I15" s="30">
        <v>31.0</v>
      </c>
      <c r="J15" s="30">
        <v>33.0</v>
      </c>
      <c r="K15" s="31" t="s">
        <v>64</v>
      </c>
      <c r="L15" s="30" t="s">
        <v>2764</v>
      </c>
      <c r="M15" s="26" t="s">
        <v>43</v>
      </c>
      <c r="N15" s="28"/>
      <c r="O15" s="28"/>
    </row>
    <row r="16" ht="57.75" customHeight="1">
      <c r="A16" s="82" t="s">
        <v>2767</v>
      </c>
      <c r="B16" s="17" t="s">
        <v>164</v>
      </c>
      <c r="C16" s="17" t="s">
        <v>160</v>
      </c>
      <c r="D16" s="19" t="s">
        <v>9</v>
      </c>
      <c r="E16" s="21" t="s">
        <v>2770</v>
      </c>
      <c r="F16" s="21">
        <v>3.0</v>
      </c>
      <c r="G16" s="21">
        <v>4.0</v>
      </c>
      <c r="H16" s="21">
        <v>5.0</v>
      </c>
      <c r="I16" s="21">
        <v>6.0</v>
      </c>
      <c r="J16" s="21" t="s">
        <v>2772</v>
      </c>
      <c r="K16" s="23" t="s">
        <v>40</v>
      </c>
      <c r="L16" s="21" t="s">
        <v>2775</v>
      </c>
      <c r="M16" s="26" t="s">
        <v>43</v>
      </c>
      <c r="N16" s="17"/>
      <c r="O16" s="17"/>
    </row>
    <row r="17" ht="57.75" customHeight="1">
      <c r="A17" s="82" t="s">
        <v>2778</v>
      </c>
      <c r="B17" s="28" t="s">
        <v>164</v>
      </c>
      <c r="C17" s="28" t="s">
        <v>160</v>
      </c>
      <c r="D17" s="19" t="s">
        <v>9</v>
      </c>
      <c r="E17" s="30" t="s">
        <v>2780</v>
      </c>
      <c r="F17" s="30">
        <v>0.0</v>
      </c>
      <c r="G17" s="30">
        <v>1.0</v>
      </c>
      <c r="H17" s="30">
        <v>6.0</v>
      </c>
      <c r="I17" s="30">
        <v>13.0</v>
      </c>
      <c r="J17" s="30">
        <v>14.0</v>
      </c>
      <c r="K17" s="31" t="s">
        <v>95</v>
      </c>
      <c r="L17" s="30" t="s">
        <v>2783</v>
      </c>
      <c r="M17" s="26" t="s">
        <v>43</v>
      </c>
      <c r="N17" s="28"/>
      <c r="O17" s="28"/>
    </row>
    <row r="18" ht="57.75" customHeight="1">
      <c r="A18" s="82" t="s">
        <v>2784</v>
      </c>
      <c r="B18" s="17" t="s">
        <v>164</v>
      </c>
      <c r="C18" s="17" t="s">
        <v>160</v>
      </c>
      <c r="D18" s="19" t="s">
        <v>9</v>
      </c>
      <c r="E18" s="21" t="s">
        <v>2786</v>
      </c>
      <c r="F18" s="21" t="s">
        <v>433</v>
      </c>
      <c r="G18" s="21" t="s">
        <v>2789</v>
      </c>
      <c r="H18" s="21">
        <v>8.0</v>
      </c>
      <c r="I18" s="21" t="s">
        <v>2791</v>
      </c>
      <c r="J18" s="21" t="s">
        <v>2793</v>
      </c>
      <c r="K18" s="23" t="s">
        <v>95</v>
      </c>
      <c r="L18" s="21" t="s">
        <v>2795</v>
      </c>
      <c r="M18" s="26" t="s">
        <v>43</v>
      </c>
      <c r="N18" s="17"/>
      <c r="O18" s="17"/>
    </row>
    <row r="19" ht="57.75" customHeight="1">
      <c r="A19" s="82" t="s">
        <v>2796</v>
      </c>
      <c r="B19" s="28" t="s">
        <v>164</v>
      </c>
      <c r="C19" s="28" t="s">
        <v>160</v>
      </c>
      <c r="D19" s="19" t="s">
        <v>9</v>
      </c>
      <c r="E19" s="30" t="s">
        <v>2798</v>
      </c>
      <c r="F19" s="30" t="s">
        <v>2799</v>
      </c>
      <c r="G19" s="30" t="s">
        <v>2801</v>
      </c>
      <c r="H19" s="30" t="s">
        <v>2802</v>
      </c>
      <c r="I19" s="30" t="s">
        <v>2803</v>
      </c>
      <c r="J19" s="30" t="s">
        <v>2804</v>
      </c>
      <c r="K19" s="31" t="s">
        <v>40</v>
      </c>
      <c r="L19" s="30" t="s">
        <v>2806</v>
      </c>
      <c r="M19" s="26" t="s">
        <v>43</v>
      </c>
      <c r="N19" s="28"/>
      <c r="O19" s="28"/>
    </row>
    <row r="20" ht="57.75" customHeight="1">
      <c r="A20" s="82" t="s">
        <v>2807</v>
      </c>
      <c r="B20" s="17" t="s">
        <v>164</v>
      </c>
      <c r="C20" s="17" t="s">
        <v>160</v>
      </c>
      <c r="D20" s="19" t="s">
        <v>9</v>
      </c>
      <c r="E20" s="21" t="s">
        <v>2808</v>
      </c>
      <c r="F20" s="21">
        <v>12.0</v>
      </c>
      <c r="G20" s="21">
        <v>13.0</v>
      </c>
      <c r="H20" s="21">
        <v>14.0</v>
      </c>
      <c r="I20" s="21">
        <v>15.0</v>
      </c>
      <c r="J20" s="21">
        <v>16.0</v>
      </c>
      <c r="K20" s="23" t="s">
        <v>95</v>
      </c>
      <c r="L20" s="21" t="s">
        <v>2810</v>
      </c>
      <c r="M20" s="26" t="s">
        <v>43</v>
      </c>
      <c r="N20" s="17"/>
      <c r="O20" s="17"/>
    </row>
    <row r="21" ht="19.5" customHeight="1">
      <c r="A21" s="46" t="s">
        <v>166</v>
      </c>
      <c r="B21" s="3"/>
      <c r="C21" s="3"/>
      <c r="D21" s="3"/>
      <c r="E21" s="3"/>
      <c r="F21" s="3"/>
      <c r="G21" s="3"/>
      <c r="H21" s="3"/>
      <c r="I21" s="3"/>
      <c r="J21" s="3"/>
      <c r="K21" s="3"/>
      <c r="L21" s="3"/>
      <c r="M21" s="3"/>
      <c r="N21" s="3"/>
      <c r="O21" s="4"/>
    </row>
    <row r="22" ht="57.75" customHeight="1">
      <c r="A22" s="82" t="s">
        <v>2814</v>
      </c>
      <c r="B22" s="28" t="s">
        <v>164</v>
      </c>
      <c r="C22" s="28" t="s">
        <v>160</v>
      </c>
      <c r="D22" s="22" t="s">
        <v>11</v>
      </c>
      <c r="E22" s="30" t="s">
        <v>2815</v>
      </c>
      <c r="F22" s="40">
        <v>46237.0</v>
      </c>
      <c r="G22" s="30">
        <v>3.0</v>
      </c>
      <c r="H22" s="40">
        <v>46298.0</v>
      </c>
      <c r="I22" s="30">
        <v>4.0</v>
      </c>
      <c r="J22" s="30" t="s">
        <v>2816</v>
      </c>
      <c r="K22" s="31" t="s">
        <v>40</v>
      </c>
      <c r="L22" s="30" t="s">
        <v>2817</v>
      </c>
      <c r="M22" s="26" t="s">
        <v>43</v>
      </c>
      <c r="N22" s="28"/>
      <c r="O22" s="28"/>
    </row>
    <row r="23" ht="57.75" customHeight="1">
      <c r="A23" s="82" t="s">
        <v>2818</v>
      </c>
      <c r="B23" s="17" t="s">
        <v>164</v>
      </c>
      <c r="C23" s="17" t="s">
        <v>160</v>
      </c>
      <c r="D23" s="22" t="s">
        <v>11</v>
      </c>
      <c r="E23" s="21" t="s">
        <v>2819</v>
      </c>
      <c r="F23" s="21">
        <v>3.0</v>
      </c>
      <c r="G23" s="21">
        <v>4.0</v>
      </c>
      <c r="H23" s="21">
        <v>6.0</v>
      </c>
      <c r="I23" s="21">
        <v>7.0</v>
      </c>
      <c r="J23" s="21">
        <v>9.0</v>
      </c>
      <c r="K23" s="23" t="s">
        <v>95</v>
      </c>
      <c r="L23" s="21" t="s">
        <v>2821</v>
      </c>
      <c r="M23" s="26" t="s">
        <v>43</v>
      </c>
      <c r="N23" s="17"/>
      <c r="O23" s="17"/>
    </row>
    <row r="24" ht="57.75" customHeight="1">
      <c r="A24" s="82" t="s">
        <v>2822</v>
      </c>
      <c r="B24" s="28" t="s">
        <v>164</v>
      </c>
      <c r="C24" s="28" t="s">
        <v>160</v>
      </c>
      <c r="D24" s="22" t="s">
        <v>11</v>
      </c>
      <c r="E24" s="30" t="s">
        <v>2823</v>
      </c>
      <c r="F24" s="30">
        <v>81.0</v>
      </c>
      <c r="G24" s="30">
        <v>83.0</v>
      </c>
      <c r="H24" s="30">
        <v>85.0</v>
      </c>
      <c r="I24" s="30">
        <v>87.0</v>
      </c>
      <c r="J24" s="30">
        <v>89.0</v>
      </c>
      <c r="K24" s="31" t="s">
        <v>117</v>
      </c>
      <c r="L24" s="30" t="s">
        <v>2826</v>
      </c>
      <c r="M24" s="26" t="s">
        <v>43</v>
      </c>
      <c r="N24" s="28"/>
      <c r="O24" s="28"/>
    </row>
    <row r="25" ht="57.75" customHeight="1">
      <c r="A25" s="82" t="s">
        <v>2827</v>
      </c>
      <c r="B25" s="17" t="s">
        <v>164</v>
      </c>
      <c r="C25" s="17" t="s">
        <v>160</v>
      </c>
      <c r="D25" s="22" t="s">
        <v>11</v>
      </c>
      <c r="E25" s="21" t="s">
        <v>2829</v>
      </c>
      <c r="F25" s="21" t="s">
        <v>2557</v>
      </c>
      <c r="G25" s="21" t="s">
        <v>2831</v>
      </c>
      <c r="H25" s="21">
        <v>8.0</v>
      </c>
      <c r="I25" s="21" t="s">
        <v>2832</v>
      </c>
      <c r="J25" s="21" t="s">
        <v>2833</v>
      </c>
      <c r="K25" s="23" t="s">
        <v>95</v>
      </c>
      <c r="L25" s="21" t="s">
        <v>2835</v>
      </c>
      <c r="M25" s="26" t="s">
        <v>43</v>
      </c>
      <c r="N25" s="17"/>
      <c r="O25" s="17"/>
    </row>
    <row r="26" ht="57.75" customHeight="1">
      <c r="A26" s="82" t="s">
        <v>2836</v>
      </c>
      <c r="B26" s="28" t="s">
        <v>164</v>
      </c>
      <c r="C26" s="28" t="s">
        <v>160</v>
      </c>
      <c r="D26" s="22" t="s">
        <v>11</v>
      </c>
      <c r="E26" s="30" t="s">
        <v>2837</v>
      </c>
      <c r="F26" s="30">
        <v>10.0</v>
      </c>
      <c r="G26" s="30">
        <v>11.0</v>
      </c>
      <c r="H26" s="30">
        <v>12.0</v>
      </c>
      <c r="I26" s="30">
        <v>13.0</v>
      </c>
      <c r="J26" s="30">
        <v>14.0</v>
      </c>
      <c r="K26" s="31" t="s">
        <v>95</v>
      </c>
      <c r="L26" s="30" t="s">
        <v>2841</v>
      </c>
      <c r="M26" s="26" t="s">
        <v>43</v>
      </c>
      <c r="N26" s="28"/>
      <c r="O26" s="28"/>
    </row>
    <row r="27" ht="57.75" customHeight="1">
      <c r="A27" s="82" t="s">
        <v>2844</v>
      </c>
      <c r="B27" s="17" t="s">
        <v>164</v>
      </c>
      <c r="C27" s="17" t="s">
        <v>160</v>
      </c>
      <c r="D27" s="22" t="s">
        <v>11</v>
      </c>
      <c r="E27" s="21" t="s">
        <v>2847</v>
      </c>
      <c r="F27" s="21">
        <v>11.0</v>
      </c>
      <c r="G27" s="21">
        <v>12.0</v>
      </c>
      <c r="H27" s="21">
        <v>13.0</v>
      </c>
      <c r="I27" s="21">
        <v>14.0</v>
      </c>
      <c r="J27" s="21">
        <v>15.0</v>
      </c>
      <c r="K27" s="23" t="s">
        <v>95</v>
      </c>
      <c r="L27" s="21" t="s">
        <v>2850</v>
      </c>
      <c r="M27" s="26" t="s">
        <v>43</v>
      </c>
      <c r="N27" s="17"/>
      <c r="O27" s="17"/>
    </row>
    <row r="28" ht="57.75" customHeight="1">
      <c r="A28" s="82" t="s">
        <v>2851</v>
      </c>
      <c r="B28" s="28" t="s">
        <v>164</v>
      </c>
      <c r="C28" s="28" t="s">
        <v>160</v>
      </c>
      <c r="D28" s="22" t="s">
        <v>11</v>
      </c>
      <c r="E28" s="30" t="s">
        <v>2853</v>
      </c>
      <c r="F28" s="30">
        <v>8.0</v>
      </c>
      <c r="G28" s="30">
        <v>9.0</v>
      </c>
      <c r="H28" s="30">
        <v>10.0</v>
      </c>
      <c r="I28" s="30">
        <v>11.0</v>
      </c>
      <c r="J28" s="30">
        <v>12.0</v>
      </c>
      <c r="K28" s="31" t="s">
        <v>95</v>
      </c>
      <c r="L28" s="30" t="s">
        <v>2856</v>
      </c>
      <c r="M28" s="26" t="s">
        <v>43</v>
      </c>
      <c r="N28" s="28"/>
      <c r="O28" s="28"/>
    </row>
    <row r="29" ht="57.75" customHeight="1">
      <c r="A29" s="82" t="s">
        <v>2860</v>
      </c>
      <c r="B29" s="17" t="s">
        <v>164</v>
      </c>
      <c r="C29" s="17" t="s">
        <v>160</v>
      </c>
      <c r="D29" s="22" t="s">
        <v>11</v>
      </c>
      <c r="E29" s="21" t="s">
        <v>2862</v>
      </c>
      <c r="F29" s="21">
        <v>12.0</v>
      </c>
      <c r="G29" s="21">
        <v>27.0</v>
      </c>
      <c r="H29" s="21">
        <v>30.0</v>
      </c>
      <c r="I29" s="21">
        <v>33.0</v>
      </c>
      <c r="J29" s="21">
        <v>53.0</v>
      </c>
      <c r="K29" s="23" t="s">
        <v>95</v>
      </c>
      <c r="L29" s="21" t="s">
        <v>2871</v>
      </c>
      <c r="M29" s="26" t="s">
        <v>43</v>
      </c>
      <c r="N29" s="17"/>
      <c r="O29" s="17"/>
    </row>
    <row r="30" ht="57.75" customHeight="1">
      <c r="A30" s="82" t="s">
        <v>2873</v>
      </c>
      <c r="B30" s="28" t="s">
        <v>164</v>
      </c>
      <c r="C30" s="28" t="s">
        <v>160</v>
      </c>
      <c r="D30" s="22" t="s">
        <v>11</v>
      </c>
      <c r="E30" s="30" t="s">
        <v>2875</v>
      </c>
      <c r="F30" s="30">
        <v>72.0</v>
      </c>
      <c r="G30" s="30">
        <v>74.0</v>
      </c>
      <c r="H30" s="30">
        <v>75.0</v>
      </c>
      <c r="I30" s="30">
        <v>76.0</v>
      </c>
      <c r="J30" s="30">
        <v>78.0</v>
      </c>
      <c r="K30" s="31" t="s">
        <v>64</v>
      </c>
      <c r="L30" s="30" t="s">
        <v>2878</v>
      </c>
      <c r="M30" s="26" t="s">
        <v>43</v>
      </c>
      <c r="N30" s="28"/>
      <c r="O30" s="28"/>
    </row>
    <row r="31" ht="57.75" customHeight="1">
      <c r="A31" s="82" t="s">
        <v>2880</v>
      </c>
      <c r="B31" s="17" t="s">
        <v>164</v>
      </c>
      <c r="C31" s="17" t="s">
        <v>160</v>
      </c>
      <c r="D31" s="22" t="s">
        <v>11</v>
      </c>
      <c r="E31" s="21" t="s">
        <v>2882</v>
      </c>
      <c r="F31" s="21">
        <v>5.0</v>
      </c>
      <c r="G31" s="21">
        <v>6.0</v>
      </c>
      <c r="H31" s="21">
        <v>7.0</v>
      </c>
      <c r="I31" s="21">
        <v>8.0</v>
      </c>
      <c r="J31" s="21">
        <v>9.0</v>
      </c>
      <c r="K31" s="23" t="s">
        <v>95</v>
      </c>
      <c r="L31" s="21" t="s">
        <v>2886</v>
      </c>
      <c r="M31" s="26" t="s">
        <v>43</v>
      </c>
      <c r="N31" s="17"/>
      <c r="O31" s="17"/>
    </row>
    <row r="32" ht="57.75" customHeight="1">
      <c r="A32" s="82" t="s">
        <v>2889</v>
      </c>
      <c r="B32" s="28" t="s">
        <v>164</v>
      </c>
      <c r="C32" s="28" t="s">
        <v>160</v>
      </c>
      <c r="D32" s="22" t="s">
        <v>11</v>
      </c>
      <c r="E32" s="30" t="s">
        <v>2891</v>
      </c>
      <c r="F32" s="30" t="s">
        <v>2892</v>
      </c>
      <c r="G32" s="30" t="s">
        <v>2894</v>
      </c>
      <c r="H32" s="30" t="s">
        <v>2896</v>
      </c>
      <c r="I32" s="30" t="s">
        <v>2898</v>
      </c>
      <c r="J32" s="30" t="s">
        <v>2900</v>
      </c>
      <c r="K32" s="31" t="s">
        <v>64</v>
      </c>
      <c r="L32" s="30" t="s">
        <v>2904</v>
      </c>
      <c r="M32" s="26" t="s">
        <v>43</v>
      </c>
      <c r="N32" s="28"/>
      <c r="O32" s="28"/>
    </row>
    <row r="33" ht="57.75" customHeight="1">
      <c r="A33" s="82" t="s">
        <v>2907</v>
      </c>
      <c r="B33" s="17" t="s">
        <v>164</v>
      </c>
      <c r="C33" s="17" t="s">
        <v>160</v>
      </c>
      <c r="D33" s="22" t="s">
        <v>11</v>
      </c>
      <c r="E33" s="21" t="s">
        <v>2910</v>
      </c>
      <c r="F33" s="21">
        <v>2.0</v>
      </c>
      <c r="G33" s="21">
        <v>4.0</v>
      </c>
      <c r="H33" s="21">
        <v>6.0</v>
      </c>
      <c r="I33" s="21">
        <v>10.0</v>
      </c>
      <c r="J33" s="21">
        <v>12.0</v>
      </c>
      <c r="K33" s="23" t="s">
        <v>117</v>
      </c>
      <c r="L33" s="21" t="s">
        <v>2916</v>
      </c>
      <c r="M33" s="26" t="s">
        <v>43</v>
      </c>
      <c r="N33" s="17"/>
      <c r="O33" s="17"/>
    </row>
    <row r="34" ht="57.75" customHeight="1">
      <c r="A34" s="82" t="s">
        <v>2919</v>
      </c>
      <c r="B34" s="28" t="s">
        <v>164</v>
      </c>
      <c r="C34" s="28" t="s">
        <v>160</v>
      </c>
      <c r="D34" s="22" t="s">
        <v>11</v>
      </c>
      <c r="E34" s="30" t="s">
        <v>2922</v>
      </c>
      <c r="F34" s="30">
        <v>9.0</v>
      </c>
      <c r="G34" s="30">
        <v>10.0</v>
      </c>
      <c r="H34" s="30">
        <v>11.0</v>
      </c>
      <c r="I34" s="30">
        <v>12.0</v>
      </c>
      <c r="J34" s="30">
        <v>13.0</v>
      </c>
      <c r="K34" s="31" t="s">
        <v>64</v>
      </c>
      <c r="L34" s="30" t="s">
        <v>2925</v>
      </c>
      <c r="M34" s="26" t="s">
        <v>43</v>
      </c>
      <c r="N34" s="28"/>
      <c r="O34" s="28"/>
    </row>
    <row r="35" ht="57.75" customHeight="1">
      <c r="A35" s="82" t="s">
        <v>2927</v>
      </c>
      <c r="B35" s="17" t="s">
        <v>164</v>
      </c>
      <c r="C35" s="17" t="s">
        <v>160</v>
      </c>
      <c r="D35" s="22" t="s">
        <v>11</v>
      </c>
      <c r="E35" s="21" t="s">
        <v>2928</v>
      </c>
      <c r="F35" s="21">
        <v>163.0</v>
      </c>
      <c r="G35" s="21">
        <v>164.0</v>
      </c>
      <c r="H35" s="21">
        <v>165.0</v>
      </c>
      <c r="I35" s="21">
        <v>166.0</v>
      </c>
      <c r="J35" s="21">
        <v>167.0</v>
      </c>
      <c r="K35" s="23" t="s">
        <v>95</v>
      </c>
      <c r="L35" s="21" t="s">
        <v>2932</v>
      </c>
      <c r="M35" s="26" t="s">
        <v>43</v>
      </c>
      <c r="N35" s="17"/>
      <c r="O35" s="17"/>
    </row>
    <row r="36" ht="57.75" customHeight="1">
      <c r="A36" s="82" t="s">
        <v>2933</v>
      </c>
      <c r="B36" s="28" t="s">
        <v>164</v>
      </c>
      <c r="C36" s="28" t="s">
        <v>160</v>
      </c>
      <c r="D36" s="22" t="s">
        <v>11</v>
      </c>
      <c r="E36" s="30" t="s">
        <v>2935</v>
      </c>
      <c r="F36" s="30">
        <v>5.0</v>
      </c>
      <c r="G36" s="30">
        <v>8.0</v>
      </c>
      <c r="H36" s="30">
        <v>10.0</v>
      </c>
      <c r="I36" s="30">
        <v>12.0</v>
      </c>
      <c r="J36" s="30">
        <v>14.0</v>
      </c>
      <c r="K36" s="31" t="s">
        <v>95</v>
      </c>
      <c r="L36" s="30" t="s">
        <v>2939</v>
      </c>
      <c r="M36" s="26" t="s">
        <v>43</v>
      </c>
      <c r="N36" s="28"/>
      <c r="O36" s="28"/>
    </row>
    <row r="37" ht="19.5" customHeight="1">
      <c r="A37" s="63" t="s">
        <v>279</v>
      </c>
      <c r="B37" s="3"/>
      <c r="C37" s="3"/>
      <c r="D37" s="3"/>
      <c r="E37" s="3"/>
      <c r="F37" s="3"/>
      <c r="G37" s="3"/>
      <c r="H37" s="3"/>
      <c r="I37" s="3"/>
      <c r="J37" s="3"/>
      <c r="K37" s="3"/>
      <c r="L37" s="3"/>
      <c r="M37" s="3"/>
      <c r="N37" s="3"/>
      <c r="O37" s="4"/>
    </row>
    <row r="38" ht="57.75" customHeight="1">
      <c r="A38" s="82" t="s">
        <v>2952</v>
      </c>
      <c r="B38" s="17" t="s">
        <v>164</v>
      </c>
      <c r="C38" s="17" t="s">
        <v>160</v>
      </c>
      <c r="D38" s="24" t="s">
        <v>12</v>
      </c>
      <c r="E38" s="21" t="s">
        <v>2956</v>
      </c>
      <c r="F38" s="21">
        <v>9.0</v>
      </c>
      <c r="G38" s="21">
        <v>10.0</v>
      </c>
      <c r="H38" s="21">
        <v>11.0</v>
      </c>
      <c r="I38" s="21">
        <v>12.0</v>
      </c>
      <c r="J38" s="21">
        <v>13.0</v>
      </c>
      <c r="K38" s="23" t="s">
        <v>95</v>
      </c>
      <c r="L38" s="21" t="s">
        <v>2962</v>
      </c>
      <c r="M38" s="26" t="s">
        <v>43</v>
      </c>
      <c r="N38" s="17"/>
      <c r="O38" s="17"/>
    </row>
    <row r="39" ht="57.75" customHeight="1">
      <c r="A39" s="82" t="s">
        <v>2965</v>
      </c>
      <c r="B39" s="28" t="s">
        <v>164</v>
      </c>
      <c r="C39" s="28" t="s">
        <v>160</v>
      </c>
      <c r="D39" s="24" t="s">
        <v>12</v>
      </c>
      <c r="E39" s="30" t="s">
        <v>2968</v>
      </c>
      <c r="F39" s="30" t="s">
        <v>297</v>
      </c>
      <c r="G39" s="30" t="s">
        <v>342</v>
      </c>
      <c r="H39" s="30" t="s">
        <v>299</v>
      </c>
      <c r="I39" s="30" t="s">
        <v>2365</v>
      </c>
      <c r="J39" s="30" t="s">
        <v>367</v>
      </c>
      <c r="K39" s="31" t="s">
        <v>40</v>
      </c>
      <c r="L39" s="30" t="s">
        <v>2971</v>
      </c>
      <c r="M39" s="26" t="s">
        <v>43</v>
      </c>
      <c r="N39" s="28"/>
      <c r="O39" s="28"/>
    </row>
    <row r="40" ht="57.75" customHeight="1">
      <c r="A40" s="82" t="s">
        <v>2972</v>
      </c>
      <c r="B40" s="17" t="s">
        <v>164</v>
      </c>
      <c r="C40" s="17" t="s">
        <v>160</v>
      </c>
      <c r="D40" s="24" t="s">
        <v>12</v>
      </c>
      <c r="E40" s="21" t="s">
        <v>2975</v>
      </c>
      <c r="F40" s="21">
        <v>2.0</v>
      </c>
      <c r="G40" s="21">
        <v>3.0</v>
      </c>
      <c r="H40" s="21">
        <v>4.0</v>
      </c>
      <c r="I40" s="21">
        <v>5.0</v>
      </c>
      <c r="J40" s="21">
        <v>6.0</v>
      </c>
      <c r="K40" s="23" t="s">
        <v>64</v>
      </c>
      <c r="L40" s="21" t="s">
        <v>2980</v>
      </c>
      <c r="M40" s="26" t="s">
        <v>43</v>
      </c>
      <c r="N40" s="17"/>
      <c r="O40" s="17"/>
    </row>
    <row r="41" ht="57.75" customHeight="1">
      <c r="A41" s="82" t="s">
        <v>2982</v>
      </c>
      <c r="B41" s="28" t="s">
        <v>164</v>
      </c>
      <c r="C41" s="28" t="s">
        <v>160</v>
      </c>
      <c r="D41" s="24" t="s">
        <v>12</v>
      </c>
      <c r="E41" s="30" t="s">
        <v>2988</v>
      </c>
      <c r="F41" s="30" t="s">
        <v>2380</v>
      </c>
      <c r="G41" s="30" t="s">
        <v>2382</v>
      </c>
      <c r="H41" s="30" t="s">
        <v>2384</v>
      </c>
      <c r="I41" s="30" t="s">
        <v>2385</v>
      </c>
      <c r="J41" s="30" t="s">
        <v>2387</v>
      </c>
      <c r="K41" s="31" t="s">
        <v>95</v>
      </c>
      <c r="L41" s="30" t="s">
        <v>2997</v>
      </c>
      <c r="M41" s="26" t="s">
        <v>43</v>
      </c>
      <c r="N41" s="28"/>
      <c r="O41" s="28"/>
    </row>
    <row r="42" ht="57.75" customHeight="1">
      <c r="A42" s="82" t="s">
        <v>2999</v>
      </c>
      <c r="B42" s="17" t="s">
        <v>164</v>
      </c>
      <c r="C42" s="17" t="s">
        <v>160</v>
      </c>
      <c r="D42" s="24" t="s">
        <v>12</v>
      </c>
      <c r="E42" s="21" t="s">
        <v>3001</v>
      </c>
      <c r="F42" s="21">
        <v>18.0</v>
      </c>
      <c r="G42" s="21">
        <v>20.0</v>
      </c>
      <c r="H42" s="21">
        <v>22.0</v>
      </c>
      <c r="I42" s="21">
        <v>24.0</v>
      </c>
      <c r="J42" s="21">
        <v>26.0</v>
      </c>
      <c r="K42" s="23" t="s">
        <v>95</v>
      </c>
      <c r="L42" s="21" t="s">
        <v>3006</v>
      </c>
      <c r="M42" s="26" t="s">
        <v>43</v>
      </c>
      <c r="N42" s="17"/>
      <c r="O42" s="17"/>
    </row>
    <row r="43" ht="57.75" customHeight="1">
      <c r="A43" s="82" t="s">
        <v>3009</v>
      </c>
      <c r="B43" s="28" t="s">
        <v>164</v>
      </c>
      <c r="C43" s="28" t="s">
        <v>160</v>
      </c>
      <c r="D43" s="24" t="s">
        <v>12</v>
      </c>
      <c r="E43" s="30" t="s">
        <v>3012</v>
      </c>
      <c r="F43" s="30">
        <v>18.0</v>
      </c>
      <c r="G43" s="30">
        <v>21.0</v>
      </c>
      <c r="H43" s="30">
        <v>24.0</v>
      </c>
      <c r="I43" s="30">
        <v>27.0</v>
      </c>
      <c r="J43" s="30">
        <v>30.0</v>
      </c>
      <c r="K43" s="31" t="s">
        <v>64</v>
      </c>
      <c r="L43" s="30" t="s">
        <v>3015</v>
      </c>
      <c r="M43" s="26" t="s">
        <v>43</v>
      </c>
      <c r="N43" s="28"/>
      <c r="O43" s="28"/>
    </row>
    <row r="44" ht="57.75" customHeight="1">
      <c r="A44" s="82" t="s">
        <v>3017</v>
      </c>
      <c r="B44" s="17" t="s">
        <v>164</v>
      </c>
      <c r="C44" s="17" t="s">
        <v>160</v>
      </c>
      <c r="D44" s="24" t="s">
        <v>12</v>
      </c>
      <c r="E44" s="21" t="s">
        <v>3018</v>
      </c>
      <c r="F44" s="21" t="s">
        <v>297</v>
      </c>
      <c r="G44" s="21" t="s">
        <v>342</v>
      </c>
      <c r="H44" s="21" t="s">
        <v>299</v>
      </c>
      <c r="I44" s="21" t="s">
        <v>2365</v>
      </c>
      <c r="J44" s="21" t="s">
        <v>367</v>
      </c>
      <c r="K44" s="23" t="s">
        <v>64</v>
      </c>
      <c r="L44" s="21" t="s">
        <v>3021</v>
      </c>
      <c r="M44" s="26" t="s">
        <v>43</v>
      </c>
      <c r="N44" s="17"/>
      <c r="O44" s="17"/>
    </row>
    <row r="45" ht="57.75" customHeight="1">
      <c r="A45" s="82" t="s">
        <v>3022</v>
      </c>
      <c r="B45" s="28" t="s">
        <v>164</v>
      </c>
      <c r="C45" s="28" t="s">
        <v>160</v>
      </c>
      <c r="D45" s="24" t="s">
        <v>12</v>
      </c>
      <c r="E45" s="30" t="s">
        <v>3025</v>
      </c>
      <c r="F45" s="30">
        <v>7.0</v>
      </c>
      <c r="G45" s="30">
        <v>8.0</v>
      </c>
      <c r="H45" s="30">
        <v>9.0</v>
      </c>
      <c r="I45" s="30">
        <v>10.0</v>
      </c>
      <c r="J45" s="30">
        <v>11.0</v>
      </c>
      <c r="K45" s="31" t="s">
        <v>95</v>
      </c>
      <c r="L45" s="30" t="s">
        <v>3027</v>
      </c>
      <c r="M45" s="26" t="s">
        <v>43</v>
      </c>
      <c r="N45" s="28"/>
      <c r="O45" s="28"/>
    </row>
    <row r="46" ht="57.75" customHeight="1">
      <c r="A46" s="82" t="s">
        <v>3029</v>
      </c>
      <c r="B46" s="17" t="s">
        <v>164</v>
      </c>
      <c r="C46" s="17" t="s">
        <v>160</v>
      </c>
      <c r="D46" s="24" t="s">
        <v>12</v>
      </c>
      <c r="E46" s="21" t="s">
        <v>3032</v>
      </c>
      <c r="F46" s="21" t="s">
        <v>2380</v>
      </c>
      <c r="G46" s="21" t="s">
        <v>2382</v>
      </c>
      <c r="H46" s="21" t="s">
        <v>2384</v>
      </c>
      <c r="I46" s="21" t="s">
        <v>2385</v>
      </c>
      <c r="J46" s="21" t="s">
        <v>2387</v>
      </c>
      <c r="K46" s="23" t="s">
        <v>95</v>
      </c>
      <c r="L46" s="21" t="s">
        <v>3037</v>
      </c>
      <c r="M46" s="26" t="s">
        <v>43</v>
      </c>
      <c r="N46" s="17"/>
      <c r="O46" s="17"/>
    </row>
    <row r="47" ht="57.75" customHeight="1">
      <c r="A47" s="82" t="s">
        <v>3039</v>
      </c>
      <c r="B47" s="28" t="s">
        <v>164</v>
      </c>
      <c r="C47" s="28" t="s">
        <v>160</v>
      </c>
      <c r="D47" s="24" t="s">
        <v>12</v>
      </c>
      <c r="E47" s="30" t="s">
        <v>3042</v>
      </c>
      <c r="F47" s="30">
        <v>8.0</v>
      </c>
      <c r="G47" s="30">
        <v>10.0</v>
      </c>
      <c r="H47" s="30">
        <v>12.0</v>
      </c>
      <c r="I47" s="30">
        <v>14.0</v>
      </c>
      <c r="J47" s="30">
        <v>16.0</v>
      </c>
      <c r="K47" s="31" t="s">
        <v>64</v>
      </c>
      <c r="L47" s="30" t="s">
        <v>3045</v>
      </c>
      <c r="M47" s="26" t="s">
        <v>43</v>
      </c>
      <c r="N47" s="28"/>
      <c r="O47" s="28"/>
    </row>
    <row r="48" ht="57.75" customHeight="1">
      <c r="A48" s="82" t="s">
        <v>3046</v>
      </c>
      <c r="B48" s="17" t="s">
        <v>164</v>
      </c>
      <c r="C48" s="17" t="s">
        <v>160</v>
      </c>
      <c r="D48" s="24" t="s">
        <v>12</v>
      </c>
      <c r="E48" s="21" t="s">
        <v>2444</v>
      </c>
      <c r="F48" s="21">
        <v>72.0</v>
      </c>
      <c r="G48" s="21">
        <v>144.0</v>
      </c>
      <c r="H48" s="21">
        <v>288.0</v>
      </c>
      <c r="I48" s="21">
        <v>432.0</v>
      </c>
      <c r="J48" s="21">
        <v>504.0</v>
      </c>
      <c r="K48" s="23" t="s">
        <v>78</v>
      </c>
      <c r="L48" s="21" t="s">
        <v>2448</v>
      </c>
      <c r="M48" s="26" t="s">
        <v>43</v>
      </c>
      <c r="N48" s="17"/>
      <c r="O48" s="17"/>
    </row>
    <row r="49" ht="57.75" customHeight="1">
      <c r="A49" s="82" t="s">
        <v>3054</v>
      </c>
      <c r="B49" s="28" t="s">
        <v>164</v>
      </c>
      <c r="C49" s="28" t="s">
        <v>160</v>
      </c>
      <c r="D49" s="24" t="s">
        <v>12</v>
      </c>
      <c r="E49" s="30" t="s">
        <v>2453</v>
      </c>
      <c r="F49" s="30" t="s">
        <v>297</v>
      </c>
      <c r="G49" s="30" t="s">
        <v>342</v>
      </c>
      <c r="H49" s="30" t="s">
        <v>299</v>
      </c>
      <c r="I49" s="30" t="s">
        <v>2365</v>
      </c>
      <c r="J49" s="30" t="s">
        <v>367</v>
      </c>
      <c r="K49" s="31" t="s">
        <v>95</v>
      </c>
      <c r="L49" s="30" t="s">
        <v>2459</v>
      </c>
      <c r="M49" s="26" t="s">
        <v>43</v>
      </c>
      <c r="N49" s="28"/>
      <c r="O49" s="28"/>
    </row>
    <row r="50" ht="57.75" customHeight="1">
      <c r="A50" s="82" t="s">
        <v>3063</v>
      </c>
      <c r="B50" s="17" t="s">
        <v>164</v>
      </c>
      <c r="C50" s="17" t="s">
        <v>160</v>
      </c>
      <c r="D50" s="24" t="s">
        <v>12</v>
      </c>
      <c r="E50" s="21" t="s">
        <v>2465</v>
      </c>
      <c r="F50" s="21">
        <v>4.0</v>
      </c>
      <c r="G50" s="21">
        <v>5.0</v>
      </c>
      <c r="H50" s="21">
        <v>6.0</v>
      </c>
      <c r="I50" s="21">
        <v>8.0</v>
      </c>
      <c r="J50" s="21">
        <v>10.0</v>
      </c>
      <c r="K50" s="23" t="s">
        <v>117</v>
      </c>
      <c r="L50" s="21" t="s">
        <v>2468</v>
      </c>
      <c r="M50" s="26" t="s">
        <v>43</v>
      </c>
      <c r="N50" s="17"/>
      <c r="O50" s="17"/>
    </row>
    <row r="51" ht="57.75" customHeight="1">
      <c r="A51" s="82" t="s">
        <v>3067</v>
      </c>
      <c r="B51" s="28" t="s">
        <v>164</v>
      </c>
      <c r="C51" s="28" t="s">
        <v>160</v>
      </c>
      <c r="D51" s="24" t="s">
        <v>12</v>
      </c>
      <c r="E51" s="30" t="s">
        <v>2473</v>
      </c>
      <c r="F51" s="30" t="s">
        <v>2380</v>
      </c>
      <c r="G51" s="30" t="s">
        <v>2382</v>
      </c>
      <c r="H51" s="30" t="s">
        <v>2384</v>
      </c>
      <c r="I51" s="30" t="s">
        <v>2385</v>
      </c>
      <c r="J51" s="30" t="s">
        <v>2387</v>
      </c>
      <c r="K51" s="31" t="s">
        <v>64</v>
      </c>
      <c r="L51" s="30" t="s">
        <v>2477</v>
      </c>
      <c r="M51" s="26" t="s">
        <v>43</v>
      </c>
      <c r="N51" s="28"/>
      <c r="O51" s="28"/>
    </row>
    <row r="52" ht="57.75" customHeight="1">
      <c r="A52" s="82" t="s">
        <v>3071</v>
      </c>
      <c r="B52" s="17" t="s">
        <v>164</v>
      </c>
      <c r="C52" s="17" t="s">
        <v>160</v>
      </c>
      <c r="D52" s="24" t="s">
        <v>12</v>
      </c>
      <c r="E52" s="21" t="s">
        <v>2481</v>
      </c>
      <c r="F52" s="21">
        <v>8.0</v>
      </c>
      <c r="G52" s="21">
        <v>9.0</v>
      </c>
      <c r="H52" s="21">
        <v>10.0</v>
      </c>
      <c r="I52" s="21">
        <v>12.0</v>
      </c>
      <c r="J52" s="21">
        <v>15.0</v>
      </c>
      <c r="K52" s="23" t="s">
        <v>117</v>
      </c>
      <c r="L52" s="21" t="s">
        <v>2485</v>
      </c>
      <c r="M52" s="26" t="s">
        <v>43</v>
      </c>
      <c r="N52" s="17"/>
      <c r="O52" s="17"/>
    </row>
    <row r="53" ht="25.5" customHeight="1">
      <c r="A53" s="55" t="s">
        <v>3078</v>
      </c>
      <c r="B53" s="57"/>
      <c r="C53" s="57"/>
      <c r="D53" s="57"/>
      <c r="E53" s="57"/>
      <c r="F53" s="57"/>
      <c r="G53" s="57"/>
      <c r="H53" s="57"/>
      <c r="I53" s="57"/>
      <c r="J53" s="58"/>
      <c r="M53" s="92">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80" t="s">
        <v>2662</v>
      </c>
      <c r="B1" s="3"/>
      <c r="C1" s="3"/>
      <c r="D1" s="3"/>
      <c r="E1" s="3"/>
      <c r="F1" s="3"/>
      <c r="G1" s="3"/>
      <c r="H1" s="3"/>
      <c r="I1" s="3"/>
      <c r="J1" s="3"/>
      <c r="K1" s="3"/>
      <c r="L1" s="3"/>
      <c r="M1" s="3"/>
      <c r="N1" s="3"/>
      <c r="O1" s="4"/>
    </row>
    <row r="2" ht="30.0" customHeight="1">
      <c r="A2" s="81" t="s">
        <v>2664</v>
      </c>
      <c r="B2" s="3"/>
      <c r="C2" s="3"/>
      <c r="D2" s="3"/>
      <c r="E2" s="3"/>
      <c r="F2" s="3"/>
      <c r="G2" s="3"/>
      <c r="H2" s="3"/>
      <c r="I2" s="3"/>
      <c r="J2" s="3"/>
      <c r="K2" s="3"/>
      <c r="L2" s="3"/>
      <c r="M2" s="3"/>
      <c r="N2" s="3"/>
      <c r="O2" s="4"/>
    </row>
    <row r="3" ht="19.5" customHeight="1">
      <c r="A3" s="7" t="s">
        <v>6</v>
      </c>
      <c r="B3" s="3"/>
      <c r="C3" s="3"/>
      <c r="D3" s="3"/>
      <c r="E3" s="3"/>
      <c r="F3" s="3"/>
      <c r="G3" s="3"/>
      <c r="H3" s="3"/>
      <c r="I3" s="3"/>
      <c r="J3" s="3"/>
      <c r="K3" s="3"/>
      <c r="L3" s="3"/>
      <c r="M3" s="3"/>
      <c r="N3" s="3"/>
      <c r="O3" s="4"/>
    </row>
    <row r="4" ht="24.75" customHeight="1">
      <c r="A4" s="9" t="s">
        <v>8</v>
      </c>
      <c r="B4" s="9" t="s">
        <v>7</v>
      </c>
      <c r="C4" s="9" t="s">
        <v>13</v>
      </c>
      <c r="D4" s="9" t="s">
        <v>15</v>
      </c>
      <c r="E4" s="9" t="s">
        <v>17</v>
      </c>
      <c r="F4" s="9" t="s">
        <v>18</v>
      </c>
      <c r="G4" s="9" t="s">
        <v>20</v>
      </c>
      <c r="H4" s="9" t="s">
        <v>21</v>
      </c>
      <c r="I4" s="9" t="s">
        <v>22</v>
      </c>
      <c r="J4" s="9" t="s">
        <v>23</v>
      </c>
      <c r="K4" s="9" t="s">
        <v>25</v>
      </c>
      <c r="L4" s="9" t="s">
        <v>26</v>
      </c>
      <c r="M4" s="9" t="s">
        <v>19</v>
      </c>
      <c r="N4" s="9" t="s">
        <v>27</v>
      </c>
      <c r="O4" s="9" t="s">
        <v>28</v>
      </c>
    </row>
    <row r="5" ht="19.5" customHeight="1">
      <c r="A5" s="13" t="s">
        <v>29</v>
      </c>
      <c r="B5" s="3"/>
      <c r="C5" s="3"/>
      <c r="D5" s="3"/>
      <c r="E5" s="3"/>
      <c r="F5" s="3"/>
      <c r="G5" s="3"/>
      <c r="H5" s="3"/>
      <c r="I5" s="3"/>
      <c r="J5" s="3"/>
      <c r="K5" s="3"/>
      <c r="L5" s="3"/>
      <c r="M5" s="3"/>
      <c r="N5" s="3"/>
      <c r="O5" s="4"/>
    </row>
    <row r="6" ht="57.75" customHeight="1">
      <c r="A6" s="82" t="s">
        <v>2665</v>
      </c>
      <c r="B6" s="17" t="s">
        <v>174</v>
      </c>
      <c r="C6" s="17" t="s">
        <v>160</v>
      </c>
      <c r="D6" s="19" t="s">
        <v>9</v>
      </c>
      <c r="E6" s="21" t="s">
        <v>2668</v>
      </c>
      <c r="F6" s="21" t="s">
        <v>2669</v>
      </c>
      <c r="G6" s="21" t="s">
        <v>2670</v>
      </c>
      <c r="H6" s="21" t="s">
        <v>2671</v>
      </c>
      <c r="I6" s="21" t="s">
        <v>2672</v>
      </c>
      <c r="J6" s="21" t="s">
        <v>2674</v>
      </c>
      <c r="K6" s="23" t="s">
        <v>78</v>
      </c>
      <c r="L6" s="21" t="s">
        <v>2675</v>
      </c>
      <c r="M6" s="26" t="s">
        <v>43</v>
      </c>
      <c r="N6" s="17"/>
      <c r="O6" s="17"/>
    </row>
    <row r="7" ht="57.75" customHeight="1">
      <c r="A7" s="82" t="s">
        <v>2677</v>
      </c>
      <c r="B7" s="28" t="s">
        <v>174</v>
      </c>
      <c r="C7" s="28" t="s">
        <v>160</v>
      </c>
      <c r="D7" s="19" t="s">
        <v>9</v>
      </c>
      <c r="E7" s="30" t="s">
        <v>2679</v>
      </c>
      <c r="F7" s="30" t="s">
        <v>2680</v>
      </c>
      <c r="G7" s="30" t="s">
        <v>2681</v>
      </c>
      <c r="H7" s="30" t="s">
        <v>2683</v>
      </c>
      <c r="I7" s="30" t="s">
        <v>2684</v>
      </c>
      <c r="J7" s="30" t="s">
        <v>2685</v>
      </c>
      <c r="K7" s="31" t="s">
        <v>64</v>
      </c>
      <c r="L7" s="30" t="s">
        <v>2687</v>
      </c>
      <c r="M7" s="26" t="s">
        <v>43</v>
      </c>
      <c r="N7" s="28"/>
      <c r="O7" s="28"/>
    </row>
    <row r="8" ht="57.75" customHeight="1">
      <c r="A8" s="82" t="s">
        <v>2689</v>
      </c>
      <c r="B8" s="17" t="s">
        <v>174</v>
      </c>
      <c r="C8" s="17" t="s">
        <v>160</v>
      </c>
      <c r="D8" s="19" t="s">
        <v>9</v>
      </c>
      <c r="E8" s="21" t="s">
        <v>2690</v>
      </c>
      <c r="F8" s="21" t="s">
        <v>781</v>
      </c>
      <c r="G8" s="21" t="s">
        <v>782</v>
      </c>
      <c r="H8" s="21" t="s">
        <v>2692</v>
      </c>
      <c r="I8" s="21" t="s">
        <v>2693</v>
      </c>
      <c r="J8" s="21" t="s">
        <v>2695</v>
      </c>
      <c r="K8" s="23" t="s">
        <v>95</v>
      </c>
      <c r="L8" s="21" t="s">
        <v>2696</v>
      </c>
      <c r="M8" s="26" t="s">
        <v>43</v>
      </c>
      <c r="N8" s="17"/>
      <c r="O8" s="17"/>
    </row>
    <row r="9" ht="57.75" customHeight="1">
      <c r="A9" s="82" t="s">
        <v>2698</v>
      </c>
      <c r="B9" s="28" t="s">
        <v>174</v>
      </c>
      <c r="C9" s="28" t="s">
        <v>160</v>
      </c>
      <c r="D9" s="19" t="s">
        <v>9</v>
      </c>
      <c r="E9" s="30" t="s">
        <v>2699</v>
      </c>
      <c r="F9" s="30" t="s">
        <v>2700</v>
      </c>
      <c r="G9" s="30" t="s">
        <v>2702</v>
      </c>
      <c r="H9" s="30" t="s">
        <v>2703</v>
      </c>
      <c r="I9" s="30" t="s">
        <v>2704</v>
      </c>
      <c r="J9" s="30" t="s">
        <v>2706</v>
      </c>
      <c r="K9" s="31" t="s">
        <v>95</v>
      </c>
      <c r="L9" s="30" t="s">
        <v>2707</v>
      </c>
      <c r="M9" s="26" t="s">
        <v>43</v>
      </c>
      <c r="N9" s="28"/>
      <c r="O9" s="28"/>
    </row>
    <row r="10" ht="57.75" customHeight="1">
      <c r="A10" s="82" t="s">
        <v>2709</v>
      </c>
      <c r="B10" s="17" t="s">
        <v>174</v>
      </c>
      <c r="C10" s="17" t="s">
        <v>160</v>
      </c>
      <c r="D10" s="19" t="s">
        <v>9</v>
      </c>
      <c r="E10" s="21" t="s">
        <v>2710</v>
      </c>
      <c r="F10" s="21">
        <v>7.0</v>
      </c>
      <c r="G10" s="21">
        <v>10.0</v>
      </c>
      <c r="H10" s="21">
        <v>12.0</v>
      </c>
      <c r="I10" s="21">
        <v>14.0</v>
      </c>
      <c r="J10" s="21">
        <v>16.0</v>
      </c>
      <c r="K10" s="23" t="s">
        <v>95</v>
      </c>
      <c r="L10" s="21" t="s">
        <v>2712</v>
      </c>
      <c r="M10" s="26" t="s">
        <v>43</v>
      </c>
      <c r="N10" s="17"/>
      <c r="O10" s="17"/>
    </row>
    <row r="11" ht="57.75" customHeight="1">
      <c r="A11" s="82" t="s">
        <v>2714</v>
      </c>
      <c r="B11" s="28" t="s">
        <v>174</v>
      </c>
      <c r="C11" s="28" t="s">
        <v>160</v>
      </c>
      <c r="D11" s="19" t="s">
        <v>9</v>
      </c>
      <c r="E11" s="30" t="s">
        <v>2716</v>
      </c>
      <c r="F11" s="30" t="s">
        <v>652</v>
      </c>
      <c r="G11" s="30" t="s">
        <v>2717</v>
      </c>
      <c r="H11" s="30" t="s">
        <v>654</v>
      </c>
      <c r="I11" s="30" t="s">
        <v>2718</v>
      </c>
      <c r="J11" s="30" t="s">
        <v>2719</v>
      </c>
      <c r="K11" s="31" t="s">
        <v>95</v>
      </c>
      <c r="L11" s="30" t="s">
        <v>2721</v>
      </c>
      <c r="M11" s="26" t="s">
        <v>43</v>
      </c>
      <c r="N11" s="28"/>
      <c r="O11" s="28"/>
    </row>
    <row r="12" ht="57.75" customHeight="1">
      <c r="A12" s="82" t="s">
        <v>2722</v>
      </c>
      <c r="B12" s="17" t="s">
        <v>174</v>
      </c>
      <c r="C12" s="17" t="s">
        <v>160</v>
      </c>
      <c r="D12" s="19" t="s">
        <v>9</v>
      </c>
      <c r="E12" s="21" t="s">
        <v>2724</v>
      </c>
      <c r="F12" s="70">
        <v>0.15</v>
      </c>
      <c r="G12" s="70">
        <v>0.2</v>
      </c>
      <c r="H12" s="70">
        <v>0.25</v>
      </c>
      <c r="I12" s="70">
        <v>0.3</v>
      </c>
      <c r="J12" s="70">
        <v>0.35</v>
      </c>
      <c r="K12" s="23" t="s">
        <v>95</v>
      </c>
      <c r="L12" s="21" t="s">
        <v>2731</v>
      </c>
      <c r="M12" s="26" t="s">
        <v>43</v>
      </c>
      <c r="N12" s="17"/>
      <c r="O12" s="17"/>
    </row>
    <row r="13" ht="57.75" customHeight="1">
      <c r="A13" s="82" t="s">
        <v>2733</v>
      </c>
      <c r="B13" s="28" t="s">
        <v>174</v>
      </c>
      <c r="C13" s="28" t="s">
        <v>160</v>
      </c>
      <c r="D13" s="19" t="s">
        <v>9</v>
      </c>
      <c r="E13" s="30" t="s">
        <v>2736</v>
      </c>
      <c r="F13" s="30" t="s">
        <v>511</v>
      </c>
      <c r="G13" s="30" t="s">
        <v>512</v>
      </c>
      <c r="H13" s="30" t="s">
        <v>513</v>
      </c>
      <c r="I13" s="30" t="s">
        <v>514</v>
      </c>
      <c r="J13" s="30" t="s">
        <v>515</v>
      </c>
      <c r="K13" s="31" t="s">
        <v>95</v>
      </c>
      <c r="L13" s="30" t="s">
        <v>2738</v>
      </c>
      <c r="M13" s="26" t="s">
        <v>43</v>
      </c>
      <c r="N13" s="28"/>
      <c r="O13" s="28"/>
    </row>
    <row r="14" ht="57.75" customHeight="1">
      <c r="A14" s="82" t="s">
        <v>2740</v>
      </c>
      <c r="B14" s="17" t="s">
        <v>174</v>
      </c>
      <c r="C14" s="17" t="s">
        <v>160</v>
      </c>
      <c r="D14" s="19" t="s">
        <v>9</v>
      </c>
      <c r="E14" s="21" t="s">
        <v>2741</v>
      </c>
      <c r="F14" s="21">
        <v>1.0</v>
      </c>
      <c r="G14" s="21">
        <v>3.0</v>
      </c>
      <c r="H14" s="21">
        <v>4.0</v>
      </c>
      <c r="I14" s="21">
        <v>6.0</v>
      </c>
      <c r="J14" s="21">
        <v>9.0</v>
      </c>
      <c r="K14" s="23" t="s">
        <v>40</v>
      </c>
      <c r="L14" s="21" t="s">
        <v>2744</v>
      </c>
      <c r="M14" s="26" t="s">
        <v>43</v>
      </c>
      <c r="N14" s="17"/>
      <c r="O14" s="17"/>
    </row>
    <row r="15" ht="57.75" customHeight="1">
      <c r="A15" s="82" t="s">
        <v>2746</v>
      </c>
      <c r="B15" s="28" t="s">
        <v>174</v>
      </c>
      <c r="C15" s="28" t="s">
        <v>160</v>
      </c>
      <c r="D15" s="19" t="s">
        <v>9</v>
      </c>
      <c r="E15" s="30" t="s">
        <v>2748</v>
      </c>
      <c r="F15" s="30" t="s">
        <v>2750</v>
      </c>
      <c r="G15" s="30" t="s">
        <v>2751</v>
      </c>
      <c r="H15" s="30" t="s">
        <v>2752</v>
      </c>
      <c r="I15" s="30" t="s">
        <v>2753</v>
      </c>
      <c r="J15" s="30" t="s">
        <v>2754</v>
      </c>
      <c r="K15" s="31" t="s">
        <v>64</v>
      </c>
      <c r="L15" s="30" t="s">
        <v>2756</v>
      </c>
      <c r="M15" s="26" t="s">
        <v>43</v>
      </c>
      <c r="N15" s="28"/>
      <c r="O15" s="28"/>
    </row>
    <row r="16" ht="57.75" customHeight="1">
      <c r="A16" s="82" t="s">
        <v>2757</v>
      </c>
      <c r="B16" s="17" t="s">
        <v>174</v>
      </c>
      <c r="C16" s="17" t="s">
        <v>160</v>
      </c>
      <c r="D16" s="19" t="s">
        <v>9</v>
      </c>
      <c r="E16" s="21" t="s">
        <v>2759</v>
      </c>
      <c r="F16" s="21" t="s">
        <v>2760</v>
      </c>
      <c r="G16" s="21" t="s">
        <v>2762</v>
      </c>
      <c r="H16" s="21" t="s">
        <v>2763</v>
      </c>
      <c r="I16" s="21" t="s">
        <v>2765</v>
      </c>
      <c r="J16" s="21" t="s">
        <v>2766</v>
      </c>
      <c r="K16" s="23" t="s">
        <v>64</v>
      </c>
      <c r="L16" s="21" t="s">
        <v>2768</v>
      </c>
      <c r="M16" s="26" t="s">
        <v>43</v>
      </c>
      <c r="N16" s="17"/>
      <c r="O16" s="17"/>
    </row>
    <row r="17" ht="57.75" customHeight="1">
      <c r="A17" s="82" t="s">
        <v>2769</v>
      </c>
      <c r="B17" s="28" t="s">
        <v>174</v>
      </c>
      <c r="C17" s="28" t="s">
        <v>160</v>
      </c>
      <c r="D17" s="19" t="s">
        <v>9</v>
      </c>
      <c r="E17" s="30" t="s">
        <v>2771</v>
      </c>
      <c r="F17" s="30" t="s">
        <v>2773</v>
      </c>
      <c r="G17" s="30" t="s">
        <v>2774</v>
      </c>
      <c r="H17" s="30" t="s">
        <v>2776</v>
      </c>
      <c r="I17" s="30" t="s">
        <v>2777</v>
      </c>
      <c r="J17" s="30" t="s">
        <v>2779</v>
      </c>
      <c r="K17" s="31" t="s">
        <v>64</v>
      </c>
      <c r="L17" s="30" t="s">
        <v>2781</v>
      </c>
      <c r="M17" s="26" t="s">
        <v>43</v>
      </c>
      <c r="N17" s="28"/>
      <c r="O17" s="28"/>
    </row>
    <row r="18" ht="57.75" customHeight="1">
      <c r="A18" s="82" t="s">
        <v>2782</v>
      </c>
      <c r="B18" s="17" t="s">
        <v>174</v>
      </c>
      <c r="C18" s="17" t="s">
        <v>160</v>
      </c>
      <c r="D18" s="19" t="s">
        <v>9</v>
      </c>
      <c r="E18" s="21" t="s">
        <v>2785</v>
      </c>
      <c r="F18" s="21" t="s">
        <v>2787</v>
      </c>
      <c r="G18" s="21" t="s">
        <v>2788</v>
      </c>
      <c r="H18" s="21" t="s">
        <v>2790</v>
      </c>
      <c r="I18" s="21" t="s">
        <v>2792</v>
      </c>
      <c r="J18" s="21" t="s">
        <v>2794</v>
      </c>
      <c r="K18" s="23" t="s">
        <v>64</v>
      </c>
      <c r="L18" s="21" t="s">
        <v>2797</v>
      </c>
      <c r="M18" s="26" t="s">
        <v>43</v>
      </c>
      <c r="N18" s="17"/>
      <c r="O18" s="17"/>
    </row>
    <row r="19" ht="57.75" customHeight="1">
      <c r="A19" s="82" t="s">
        <v>2800</v>
      </c>
      <c r="B19" s="28" t="s">
        <v>174</v>
      </c>
      <c r="C19" s="28" t="s">
        <v>160</v>
      </c>
      <c r="D19" s="19" t="s">
        <v>9</v>
      </c>
      <c r="E19" s="30" t="s">
        <v>2805</v>
      </c>
      <c r="F19" s="30">
        <v>9.0</v>
      </c>
      <c r="G19" s="30">
        <v>12.0</v>
      </c>
      <c r="H19" s="30">
        <v>15.0</v>
      </c>
      <c r="I19" s="30">
        <v>16.0</v>
      </c>
      <c r="J19" s="30">
        <v>20.0</v>
      </c>
      <c r="K19" s="31" t="s">
        <v>117</v>
      </c>
      <c r="L19" s="30" t="s">
        <v>2809</v>
      </c>
      <c r="M19" s="26" t="s">
        <v>43</v>
      </c>
      <c r="N19" s="28"/>
      <c r="O19" s="28"/>
    </row>
    <row r="20" ht="57.75" customHeight="1">
      <c r="A20" s="82" t="s">
        <v>2811</v>
      </c>
      <c r="B20" s="17" t="s">
        <v>174</v>
      </c>
      <c r="C20" s="17" t="s">
        <v>160</v>
      </c>
      <c r="D20" s="19" t="s">
        <v>9</v>
      </c>
      <c r="E20" s="21" t="s">
        <v>2812</v>
      </c>
      <c r="F20" s="70">
        <v>0.5</v>
      </c>
      <c r="G20" s="70">
        <v>0.6</v>
      </c>
      <c r="H20" s="70">
        <v>0.75</v>
      </c>
      <c r="I20" s="70">
        <v>0.8</v>
      </c>
      <c r="J20" s="70">
        <v>1.0</v>
      </c>
      <c r="K20" s="23" t="s">
        <v>117</v>
      </c>
      <c r="L20" s="21" t="s">
        <v>2813</v>
      </c>
      <c r="M20" s="26" t="s">
        <v>43</v>
      </c>
      <c r="N20" s="17"/>
      <c r="O20" s="17"/>
    </row>
    <row r="21" ht="19.5" customHeight="1">
      <c r="A21" s="46" t="s">
        <v>166</v>
      </c>
      <c r="B21" s="3"/>
      <c r="C21" s="3"/>
      <c r="D21" s="3"/>
      <c r="E21" s="3"/>
      <c r="F21" s="3"/>
      <c r="G21" s="3"/>
      <c r="H21" s="3"/>
      <c r="I21" s="3"/>
      <c r="J21" s="3"/>
      <c r="K21" s="3"/>
      <c r="L21" s="3"/>
      <c r="M21" s="3"/>
      <c r="N21" s="3"/>
      <c r="O21" s="4"/>
    </row>
    <row r="22" ht="57.75" customHeight="1">
      <c r="A22" s="82" t="s">
        <v>2820</v>
      </c>
      <c r="B22" s="28" t="s">
        <v>174</v>
      </c>
      <c r="C22" s="28" t="s">
        <v>160</v>
      </c>
      <c r="D22" s="22" t="s">
        <v>11</v>
      </c>
      <c r="E22" s="30" t="s">
        <v>2825</v>
      </c>
      <c r="F22" s="30" t="s">
        <v>514</v>
      </c>
      <c r="G22" s="30" t="s">
        <v>783</v>
      </c>
      <c r="H22" s="30" t="s">
        <v>785</v>
      </c>
      <c r="I22" s="30" t="s">
        <v>2695</v>
      </c>
      <c r="J22" s="30" t="s">
        <v>2828</v>
      </c>
      <c r="K22" s="31" t="s">
        <v>95</v>
      </c>
      <c r="L22" s="30" t="s">
        <v>2830</v>
      </c>
      <c r="M22" s="26" t="s">
        <v>43</v>
      </c>
      <c r="N22" s="28"/>
      <c r="O22" s="28"/>
    </row>
    <row r="23" ht="57.75" customHeight="1">
      <c r="A23" s="82" t="s">
        <v>2834</v>
      </c>
      <c r="B23" s="17" t="s">
        <v>174</v>
      </c>
      <c r="C23" s="17" t="s">
        <v>160</v>
      </c>
      <c r="D23" s="22" t="s">
        <v>11</v>
      </c>
      <c r="E23" s="21" t="s">
        <v>2838</v>
      </c>
      <c r="F23" s="21" t="s">
        <v>2839</v>
      </c>
      <c r="G23" s="21" t="s">
        <v>2840</v>
      </c>
      <c r="H23" s="21" t="s">
        <v>2842</v>
      </c>
      <c r="I23" s="21" t="s">
        <v>2843</v>
      </c>
      <c r="J23" s="21" t="s">
        <v>2846</v>
      </c>
      <c r="K23" s="23" t="s">
        <v>95</v>
      </c>
      <c r="L23" s="21" t="s">
        <v>2848</v>
      </c>
      <c r="M23" s="26" t="s">
        <v>43</v>
      </c>
      <c r="N23" s="17"/>
      <c r="O23" s="17"/>
    </row>
    <row r="24" ht="57.75" customHeight="1">
      <c r="A24" s="82" t="s">
        <v>2849</v>
      </c>
      <c r="B24" s="28" t="s">
        <v>174</v>
      </c>
      <c r="C24" s="28" t="s">
        <v>160</v>
      </c>
      <c r="D24" s="22" t="s">
        <v>11</v>
      </c>
      <c r="E24" s="30" t="s">
        <v>2852</v>
      </c>
      <c r="F24" s="30" t="s">
        <v>2695</v>
      </c>
      <c r="G24" s="30" t="s">
        <v>2854</v>
      </c>
      <c r="H24" s="30" t="s">
        <v>2855</v>
      </c>
      <c r="I24" s="30" t="s">
        <v>2857</v>
      </c>
      <c r="J24" s="30" t="s">
        <v>2858</v>
      </c>
      <c r="K24" s="31" t="s">
        <v>95</v>
      </c>
      <c r="L24" s="30" t="s">
        <v>2861</v>
      </c>
      <c r="M24" s="26" t="s">
        <v>43</v>
      </c>
      <c r="N24" s="28"/>
      <c r="O24" s="28"/>
    </row>
    <row r="25" ht="57.75" customHeight="1">
      <c r="A25" s="82" t="s">
        <v>2863</v>
      </c>
      <c r="B25" s="17" t="s">
        <v>174</v>
      </c>
      <c r="C25" s="17" t="s">
        <v>160</v>
      </c>
      <c r="D25" s="22" t="s">
        <v>11</v>
      </c>
      <c r="E25" s="21" t="s">
        <v>2864</v>
      </c>
      <c r="F25" s="21" t="s">
        <v>2865</v>
      </c>
      <c r="G25" s="21" t="s">
        <v>2866</v>
      </c>
      <c r="H25" s="21" t="s">
        <v>2867</v>
      </c>
      <c r="I25" s="21" t="s">
        <v>2869</v>
      </c>
      <c r="J25" s="21" t="s">
        <v>2870</v>
      </c>
      <c r="K25" s="23" t="s">
        <v>64</v>
      </c>
      <c r="L25" s="21" t="s">
        <v>2872</v>
      </c>
      <c r="M25" s="26" t="s">
        <v>43</v>
      </c>
      <c r="N25" s="17"/>
      <c r="O25" s="17"/>
    </row>
    <row r="26" ht="57.75" customHeight="1">
      <c r="A26" s="82" t="s">
        <v>2874</v>
      </c>
      <c r="B26" s="28" t="s">
        <v>174</v>
      </c>
      <c r="C26" s="28" t="s">
        <v>160</v>
      </c>
      <c r="D26" s="22" t="s">
        <v>11</v>
      </c>
      <c r="E26" s="30" t="s">
        <v>2876</v>
      </c>
      <c r="F26" s="30">
        <v>6.0</v>
      </c>
      <c r="G26" s="30">
        <v>9.0</v>
      </c>
      <c r="H26" s="30">
        <v>12.0</v>
      </c>
      <c r="I26" s="30">
        <v>15.0</v>
      </c>
      <c r="J26" s="30">
        <v>18.0</v>
      </c>
      <c r="K26" s="31" t="s">
        <v>64</v>
      </c>
      <c r="L26" s="30" t="s">
        <v>2879</v>
      </c>
      <c r="M26" s="26" t="s">
        <v>43</v>
      </c>
      <c r="N26" s="28"/>
      <c r="O26" s="28"/>
    </row>
    <row r="27" ht="57.75" customHeight="1">
      <c r="A27" s="82" t="s">
        <v>2881</v>
      </c>
      <c r="B27" s="17" t="s">
        <v>174</v>
      </c>
      <c r="C27" s="17" t="s">
        <v>160</v>
      </c>
      <c r="D27" s="22" t="s">
        <v>11</v>
      </c>
      <c r="E27" s="21" t="s">
        <v>2883</v>
      </c>
      <c r="F27" s="70">
        <v>0.5</v>
      </c>
      <c r="G27" s="70">
        <v>0.6</v>
      </c>
      <c r="H27" s="70">
        <v>0.7</v>
      </c>
      <c r="I27" s="21" t="s">
        <v>2885</v>
      </c>
      <c r="J27" s="70">
        <v>0.8</v>
      </c>
      <c r="K27" s="23" t="s">
        <v>117</v>
      </c>
      <c r="L27" s="21" t="s">
        <v>2887</v>
      </c>
      <c r="M27" s="26" t="s">
        <v>43</v>
      </c>
      <c r="N27" s="17"/>
      <c r="O27" s="17"/>
    </row>
    <row r="28" ht="57.75" customHeight="1">
      <c r="A28" s="82" t="s">
        <v>2890</v>
      </c>
      <c r="B28" s="28" t="s">
        <v>174</v>
      </c>
      <c r="C28" s="28" t="s">
        <v>160</v>
      </c>
      <c r="D28" s="22" t="s">
        <v>11</v>
      </c>
      <c r="E28" s="30" t="s">
        <v>2895</v>
      </c>
      <c r="F28" s="30" t="s">
        <v>2897</v>
      </c>
      <c r="G28" s="30" t="s">
        <v>2899</v>
      </c>
      <c r="H28" s="30" t="s">
        <v>2901</v>
      </c>
      <c r="I28" s="30" t="s">
        <v>2902</v>
      </c>
      <c r="J28" s="30" t="s">
        <v>2903</v>
      </c>
      <c r="K28" s="31" t="s">
        <v>64</v>
      </c>
      <c r="L28" s="30" t="s">
        <v>2905</v>
      </c>
      <c r="M28" s="26" t="s">
        <v>43</v>
      </c>
      <c r="N28" s="28"/>
      <c r="O28" s="28"/>
    </row>
    <row r="29" ht="57.75" customHeight="1">
      <c r="A29" s="82" t="s">
        <v>2908</v>
      </c>
      <c r="B29" s="17" t="s">
        <v>174</v>
      </c>
      <c r="C29" s="17" t="s">
        <v>160</v>
      </c>
      <c r="D29" s="22" t="s">
        <v>11</v>
      </c>
      <c r="E29" s="21" t="s">
        <v>2911</v>
      </c>
      <c r="F29" s="21" t="s">
        <v>2913</v>
      </c>
      <c r="G29" s="21" t="s">
        <v>2914</v>
      </c>
      <c r="H29" s="21" t="s">
        <v>2915</v>
      </c>
      <c r="I29" s="21" t="s">
        <v>2917</v>
      </c>
      <c r="J29" s="21" t="s">
        <v>2918</v>
      </c>
      <c r="K29" s="23" t="s">
        <v>64</v>
      </c>
      <c r="L29" s="21" t="s">
        <v>2920</v>
      </c>
      <c r="M29" s="26" t="s">
        <v>43</v>
      </c>
      <c r="N29" s="17"/>
      <c r="O29" s="17"/>
    </row>
    <row r="30" ht="57.75" customHeight="1">
      <c r="A30" s="82" t="s">
        <v>2921</v>
      </c>
      <c r="B30" s="28" t="s">
        <v>174</v>
      </c>
      <c r="C30" s="28" t="s">
        <v>160</v>
      </c>
      <c r="D30" s="22" t="s">
        <v>11</v>
      </c>
      <c r="E30" s="30" t="s">
        <v>2924</v>
      </c>
      <c r="F30" s="30">
        <v>4.0</v>
      </c>
      <c r="G30" s="30">
        <v>6.0</v>
      </c>
      <c r="H30" s="30">
        <v>8.0</v>
      </c>
      <c r="I30" s="30">
        <v>10.0</v>
      </c>
      <c r="J30" s="30">
        <v>12.0</v>
      </c>
      <c r="K30" s="31" t="s">
        <v>95</v>
      </c>
      <c r="L30" s="30" t="s">
        <v>2930</v>
      </c>
      <c r="M30" s="26" t="s">
        <v>43</v>
      </c>
      <c r="N30" s="28"/>
      <c r="O30" s="28"/>
    </row>
    <row r="31" ht="57.75" customHeight="1">
      <c r="A31" s="82" t="s">
        <v>2931</v>
      </c>
      <c r="B31" s="17" t="s">
        <v>174</v>
      </c>
      <c r="C31" s="17" t="s">
        <v>160</v>
      </c>
      <c r="D31" s="22" t="s">
        <v>11</v>
      </c>
      <c r="E31" s="21" t="s">
        <v>2934</v>
      </c>
      <c r="F31" s="21" t="s">
        <v>926</v>
      </c>
      <c r="G31" s="21" t="s">
        <v>2717</v>
      </c>
      <c r="H31" s="21" t="s">
        <v>2936</v>
      </c>
      <c r="I31" s="21" t="s">
        <v>2937</v>
      </c>
      <c r="J31" s="21" t="s">
        <v>511</v>
      </c>
      <c r="K31" s="23" t="s">
        <v>95</v>
      </c>
      <c r="L31" s="21" t="s">
        <v>2940</v>
      </c>
      <c r="M31" s="26" t="s">
        <v>43</v>
      </c>
      <c r="N31" s="17"/>
      <c r="O31" s="17"/>
    </row>
    <row r="32" ht="57.75" customHeight="1">
      <c r="A32" s="82" t="s">
        <v>2942</v>
      </c>
      <c r="B32" s="28" t="s">
        <v>174</v>
      </c>
      <c r="C32" s="28" t="s">
        <v>160</v>
      </c>
      <c r="D32" s="22" t="s">
        <v>11</v>
      </c>
      <c r="E32" s="30" t="s">
        <v>2944</v>
      </c>
      <c r="F32" s="30" t="s">
        <v>2858</v>
      </c>
      <c r="G32" s="30" t="s">
        <v>2945</v>
      </c>
      <c r="H32" s="30" t="s">
        <v>2946</v>
      </c>
      <c r="I32" s="30" t="s">
        <v>2947</v>
      </c>
      <c r="J32" s="30" t="s">
        <v>2949</v>
      </c>
      <c r="K32" s="31" t="s">
        <v>95</v>
      </c>
      <c r="L32" s="30" t="s">
        <v>2950</v>
      </c>
      <c r="M32" s="26" t="s">
        <v>43</v>
      </c>
      <c r="N32" s="28"/>
      <c r="O32" s="28"/>
    </row>
    <row r="33" ht="57.75" customHeight="1">
      <c r="A33" s="82" t="s">
        <v>2953</v>
      </c>
      <c r="B33" s="17" t="s">
        <v>174</v>
      </c>
      <c r="C33" s="17" t="s">
        <v>160</v>
      </c>
      <c r="D33" s="22" t="s">
        <v>11</v>
      </c>
      <c r="E33" s="21" t="s">
        <v>2955</v>
      </c>
      <c r="F33" s="21" t="s">
        <v>2957</v>
      </c>
      <c r="G33" s="21" t="s">
        <v>2958</v>
      </c>
      <c r="H33" s="21" t="s">
        <v>2959</v>
      </c>
      <c r="I33" s="21" t="s">
        <v>2960</v>
      </c>
      <c r="J33" s="21" t="s">
        <v>2961</v>
      </c>
      <c r="K33" s="23" t="s">
        <v>40</v>
      </c>
      <c r="L33" s="21" t="s">
        <v>2964</v>
      </c>
      <c r="M33" s="26" t="s">
        <v>43</v>
      </c>
      <c r="N33" s="17"/>
      <c r="O33" s="17"/>
    </row>
    <row r="34" ht="57.75" customHeight="1">
      <c r="A34" s="82" t="s">
        <v>2967</v>
      </c>
      <c r="B34" s="28" t="s">
        <v>174</v>
      </c>
      <c r="C34" s="28" t="s">
        <v>160</v>
      </c>
      <c r="D34" s="22" t="s">
        <v>11</v>
      </c>
      <c r="E34" s="30" t="s">
        <v>2969</v>
      </c>
      <c r="F34" s="53">
        <v>0.25</v>
      </c>
      <c r="G34" s="53">
        <v>0.35</v>
      </c>
      <c r="H34" s="53">
        <v>0.4</v>
      </c>
      <c r="I34" s="53">
        <v>0.5</v>
      </c>
      <c r="J34" s="53">
        <v>0.7</v>
      </c>
      <c r="K34" s="31" t="s">
        <v>64</v>
      </c>
      <c r="L34" s="30" t="s">
        <v>2976</v>
      </c>
      <c r="M34" s="26" t="s">
        <v>43</v>
      </c>
      <c r="N34" s="28"/>
      <c r="O34" s="28"/>
    </row>
    <row r="35" ht="57.75" customHeight="1">
      <c r="A35" s="82" t="s">
        <v>2978</v>
      </c>
      <c r="B35" s="17" t="s">
        <v>174</v>
      </c>
      <c r="C35" s="17" t="s">
        <v>160</v>
      </c>
      <c r="D35" s="22" t="s">
        <v>11</v>
      </c>
      <c r="E35" s="21" t="s">
        <v>2984</v>
      </c>
      <c r="F35" s="21" t="s">
        <v>2986</v>
      </c>
      <c r="G35" s="21" t="s">
        <v>2989</v>
      </c>
      <c r="H35" s="21" t="s">
        <v>2991</v>
      </c>
      <c r="I35" s="21" t="s">
        <v>2992</v>
      </c>
      <c r="J35" s="21" t="s">
        <v>2993</v>
      </c>
      <c r="K35" s="23" t="s">
        <v>64</v>
      </c>
      <c r="L35" s="21" t="s">
        <v>2995</v>
      </c>
      <c r="M35" s="26" t="s">
        <v>43</v>
      </c>
      <c r="N35" s="17"/>
      <c r="O35" s="17"/>
    </row>
    <row r="36" ht="57.75" customHeight="1">
      <c r="A36" s="82" t="s">
        <v>3000</v>
      </c>
      <c r="B36" s="28" t="s">
        <v>174</v>
      </c>
      <c r="C36" s="28" t="s">
        <v>160</v>
      </c>
      <c r="D36" s="22" t="s">
        <v>11</v>
      </c>
      <c r="E36" s="30" t="s">
        <v>3003</v>
      </c>
      <c r="F36" s="30" t="s">
        <v>3004</v>
      </c>
      <c r="G36" s="30" t="s">
        <v>3005</v>
      </c>
      <c r="H36" s="30" t="s">
        <v>3007</v>
      </c>
      <c r="I36" s="30" t="s">
        <v>3008</v>
      </c>
      <c r="J36" s="30" t="s">
        <v>3011</v>
      </c>
      <c r="K36" s="31" t="s">
        <v>40</v>
      </c>
      <c r="L36" s="30" t="s">
        <v>3013</v>
      </c>
      <c r="M36" s="26" t="s">
        <v>43</v>
      </c>
      <c r="N36" s="28"/>
      <c r="O36" s="28"/>
    </row>
    <row r="37" ht="19.5" customHeight="1">
      <c r="A37" s="63" t="s">
        <v>279</v>
      </c>
      <c r="B37" s="3"/>
      <c r="C37" s="3"/>
      <c r="D37" s="3"/>
      <c r="E37" s="3"/>
      <c r="F37" s="3"/>
      <c r="G37" s="3"/>
      <c r="H37" s="3"/>
      <c r="I37" s="3"/>
      <c r="J37" s="3"/>
      <c r="K37" s="3"/>
      <c r="L37" s="3"/>
      <c r="M37" s="3"/>
      <c r="N37" s="3"/>
      <c r="O37" s="4"/>
    </row>
    <row r="38" ht="57.75" customHeight="1">
      <c r="A38" s="82" t="s">
        <v>3024</v>
      </c>
      <c r="B38" s="17" t="s">
        <v>174</v>
      </c>
      <c r="C38" s="17" t="s">
        <v>160</v>
      </c>
      <c r="D38" s="24" t="s">
        <v>12</v>
      </c>
      <c r="E38" s="21" t="s">
        <v>3031</v>
      </c>
      <c r="F38" s="21" t="s">
        <v>2394</v>
      </c>
      <c r="G38" s="21" t="s">
        <v>2395</v>
      </c>
      <c r="H38" s="21" t="s">
        <v>2397</v>
      </c>
      <c r="I38" s="21" t="s">
        <v>2400</v>
      </c>
      <c r="J38" s="21" t="s">
        <v>3034</v>
      </c>
      <c r="K38" s="23" t="s">
        <v>40</v>
      </c>
      <c r="L38" s="21" t="s">
        <v>3036</v>
      </c>
      <c r="M38" s="26" t="s">
        <v>43</v>
      </c>
      <c r="N38" s="17"/>
      <c r="O38" s="17"/>
    </row>
    <row r="39" ht="57.75" customHeight="1">
      <c r="A39" s="82" t="s">
        <v>3040</v>
      </c>
      <c r="B39" s="28" t="s">
        <v>174</v>
      </c>
      <c r="C39" s="28" t="s">
        <v>160</v>
      </c>
      <c r="D39" s="24" t="s">
        <v>12</v>
      </c>
      <c r="E39" s="30" t="s">
        <v>3043</v>
      </c>
      <c r="F39" s="30">
        <v>8.0</v>
      </c>
      <c r="G39" s="30">
        <v>10.0</v>
      </c>
      <c r="H39" s="30">
        <v>12.0</v>
      </c>
      <c r="I39" s="30">
        <v>14.0</v>
      </c>
      <c r="J39" s="30">
        <v>16.0</v>
      </c>
      <c r="K39" s="31" t="s">
        <v>64</v>
      </c>
      <c r="L39" s="30" t="s">
        <v>3048</v>
      </c>
      <c r="M39" s="26" t="s">
        <v>43</v>
      </c>
      <c r="N39" s="28"/>
      <c r="O39" s="28"/>
    </row>
    <row r="40" ht="57.75" customHeight="1">
      <c r="A40" s="82" t="s">
        <v>3051</v>
      </c>
      <c r="B40" s="17" t="s">
        <v>174</v>
      </c>
      <c r="C40" s="17" t="s">
        <v>160</v>
      </c>
      <c r="D40" s="24" t="s">
        <v>12</v>
      </c>
      <c r="E40" s="21" t="s">
        <v>3055</v>
      </c>
      <c r="F40" s="21" t="s">
        <v>2394</v>
      </c>
      <c r="G40" s="21" t="s">
        <v>2395</v>
      </c>
      <c r="H40" s="21" t="s">
        <v>2397</v>
      </c>
      <c r="I40" s="21" t="s">
        <v>2400</v>
      </c>
      <c r="J40" s="21" t="s">
        <v>3058</v>
      </c>
      <c r="K40" s="23" t="s">
        <v>40</v>
      </c>
      <c r="L40" s="21" t="s">
        <v>3059</v>
      </c>
      <c r="M40" s="26" t="s">
        <v>43</v>
      </c>
      <c r="N40" s="17"/>
      <c r="O40" s="17"/>
    </row>
    <row r="41" ht="57.75" customHeight="1">
      <c r="A41" s="82" t="s">
        <v>3062</v>
      </c>
      <c r="B41" s="28" t="s">
        <v>174</v>
      </c>
      <c r="C41" s="28" t="s">
        <v>160</v>
      </c>
      <c r="D41" s="24" t="s">
        <v>12</v>
      </c>
      <c r="E41" s="30" t="s">
        <v>3066</v>
      </c>
      <c r="F41" s="30">
        <v>10.0</v>
      </c>
      <c r="G41" s="30">
        <v>20.0</v>
      </c>
      <c r="H41" s="30">
        <v>30.0</v>
      </c>
      <c r="I41" s="30">
        <v>40.0</v>
      </c>
      <c r="J41" s="30">
        <v>50.0</v>
      </c>
      <c r="K41" s="31" t="s">
        <v>95</v>
      </c>
      <c r="L41" s="30" t="s">
        <v>3068</v>
      </c>
      <c r="M41" s="26" t="s">
        <v>43</v>
      </c>
      <c r="N41" s="28"/>
      <c r="O41" s="28"/>
    </row>
    <row r="42" ht="57.75" customHeight="1">
      <c r="A42" s="82" t="s">
        <v>3072</v>
      </c>
      <c r="B42" s="17" t="s">
        <v>174</v>
      </c>
      <c r="C42" s="17" t="s">
        <v>160</v>
      </c>
      <c r="D42" s="24" t="s">
        <v>12</v>
      </c>
      <c r="E42" s="21" t="s">
        <v>3074</v>
      </c>
      <c r="F42" s="21" t="s">
        <v>2376</v>
      </c>
      <c r="G42" s="21" t="s">
        <v>2377</v>
      </c>
      <c r="H42" s="21" t="s">
        <v>2379</v>
      </c>
      <c r="I42" s="21" t="s">
        <v>2381</v>
      </c>
      <c r="J42" s="21" t="s">
        <v>2383</v>
      </c>
      <c r="K42" s="23" t="s">
        <v>117</v>
      </c>
      <c r="L42" s="21" t="s">
        <v>3076</v>
      </c>
      <c r="M42" s="26" t="s">
        <v>43</v>
      </c>
      <c r="N42" s="17"/>
      <c r="O42" s="17"/>
    </row>
    <row r="43" ht="57.75" customHeight="1">
      <c r="A43" s="82" t="s">
        <v>3079</v>
      </c>
      <c r="B43" s="28" t="s">
        <v>174</v>
      </c>
      <c r="C43" s="28" t="s">
        <v>160</v>
      </c>
      <c r="D43" s="24" t="s">
        <v>12</v>
      </c>
      <c r="E43" s="30" t="s">
        <v>3080</v>
      </c>
      <c r="F43" s="30">
        <v>24.0</v>
      </c>
      <c r="G43" s="30">
        <v>30.0</v>
      </c>
      <c r="H43" s="30">
        <v>36.0</v>
      </c>
      <c r="I43" s="30">
        <v>42.0</v>
      </c>
      <c r="J43" s="30">
        <v>48.0</v>
      </c>
      <c r="K43" s="31" t="s">
        <v>64</v>
      </c>
      <c r="L43" s="30" t="s">
        <v>3083</v>
      </c>
      <c r="M43" s="26" t="s">
        <v>43</v>
      </c>
      <c r="N43" s="28"/>
      <c r="O43" s="28"/>
    </row>
    <row r="44" ht="57.75" customHeight="1">
      <c r="A44" s="82" t="s">
        <v>3086</v>
      </c>
      <c r="B44" s="17" t="s">
        <v>174</v>
      </c>
      <c r="C44" s="17" t="s">
        <v>160</v>
      </c>
      <c r="D44" s="24" t="s">
        <v>12</v>
      </c>
      <c r="E44" s="21" t="s">
        <v>3088</v>
      </c>
      <c r="F44" s="21" t="s">
        <v>2394</v>
      </c>
      <c r="G44" s="21" t="s">
        <v>2395</v>
      </c>
      <c r="H44" s="21" t="s">
        <v>2397</v>
      </c>
      <c r="I44" s="21" t="s">
        <v>2400</v>
      </c>
      <c r="J44" s="21" t="s">
        <v>3058</v>
      </c>
      <c r="K44" s="23" t="s">
        <v>40</v>
      </c>
      <c r="L44" s="21" t="s">
        <v>3094</v>
      </c>
      <c r="M44" s="26" t="s">
        <v>43</v>
      </c>
      <c r="N44" s="17"/>
      <c r="O44" s="17"/>
    </row>
    <row r="45" ht="57.75" customHeight="1">
      <c r="A45" s="82" t="s">
        <v>3097</v>
      </c>
      <c r="B45" s="28" t="s">
        <v>174</v>
      </c>
      <c r="C45" s="28" t="s">
        <v>160</v>
      </c>
      <c r="D45" s="24" t="s">
        <v>12</v>
      </c>
      <c r="E45" s="30" t="s">
        <v>3101</v>
      </c>
      <c r="F45" s="30">
        <v>20.0</v>
      </c>
      <c r="G45" s="30">
        <v>30.0</v>
      </c>
      <c r="H45" s="30">
        <v>40.0</v>
      </c>
      <c r="I45" s="30">
        <v>50.0</v>
      </c>
      <c r="J45" s="30">
        <v>60.0</v>
      </c>
      <c r="K45" s="31" t="s">
        <v>95</v>
      </c>
      <c r="L45" s="30" t="s">
        <v>3105</v>
      </c>
      <c r="M45" s="26" t="s">
        <v>43</v>
      </c>
      <c r="N45" s="28"/>
      <c r="O45" s="28"/>
    </row>
    <row r="46" ht="57.75" customHeight="1">
      <c r="A46" s="82" t="s">
        <v>3109</v>
      </c>
      <c r="B46" s="17" t="s">
        <v>174</v>
      </c>
      <c r="C46" s="17" t="s">
        <v>160</v>
      </c>
      <c r="D46" s="24" t="s">
        <v>12</v>
      </c>
      <c r="E46" s="21" t="s">
        <v>3111</v>
      </c>
      <c r="F46" s="21">
        <v>10.0</v>
      </c>
      <c r="G46" s="21">
        <v>15.0</v>
      </c>
      <c r="H46" s="21">
        <v>20.0</v>
      </c>
      <c r="I46" s="21">
        <v>25.0</v>
      </c>
      <c r="J46" s="21">
        <v>30.0</v>
      </c>
      <c r="K46" s="23" t="s">
        <v>40</v>
      </c>
      <c r="L46" s="21" t="s">
        <v>3113</v>
      </c>
      <c r="M46" s="26" t="s">
        <v>43</v>
      </c>
      <c r="N46" s="17"/>
      <c r="O46" s="17"/>
    </row>
    <row r="47" ht="57.75" customHeight="1">
      <c r="A47" s="82" t="s">
        <v>3116</v>
      </c>
      <c r="B47" s="28" t="s">
        <v>174</v>
      </c>
      <c r="C47" s="28" t="s">
        <v>160</v>
      </c>
      <c r="D47" s="24" t="s">
        <v>12</v>
      </c>
      <c r="E47" s="30" t="s">
        <v>3119</v>
      </c>
      <c r="F47" s="30" t="s">
        <v>2376</v>
      </c>
      <c r="G47" s="30" t="s">
        <v>2377</v>
      </c>
      <c r="H47" s="30" t="s">
        <v>2379</v>
      </c>
      <c r="I47" s="30" t="s">
        <v>2381</v>
      </c>
      <c r="J47" s="30" t="s">
        <v>2383</v>
      </c>
      <c r="K47" s="31" t="s">
        <v>117</v>
      </c>
      <c r="L47" s="30" t="s">
        <v>3124</v>
      </c>
      <c r="M47" s="26" t="s">
        <v>43</v>
      </c>
      <c r="N47" s="28"/>
      <c r="O47" s="28"/>
    </row>
    <row r="48" ht="57.75" customHeight="1">
      <c r="A48" s="82" t="s">
        <v>3125</v>
      </c>
      <c r="B48" s="17" t="s">
        <v>174</v>
      </c>
      <c r="C48" s="17" t="s">
        <v>160</v>
      </c>
      <c r="D48" s="24" t="s">
        <v>12</v>
      </c>
      <c r="E48" s="21" t="s">
        <v>3129</v>
      </c>
      <c r="F48" s="21">
        <v>50.0</v>
      </c>
      <c r="G48" s="21">
        <v>60.0</v>
      </c>
      <c r="H48" s="21">
        <v>70.0</v>
      </c>
      <c r="I48" s="21">
        <v>80.0</v>
      </c>
      <c r="J48" s="21">
        <v>90.0</v>
      </c>
      <c r="K48" s="23" t="s">
        <v>95</v>
      </c>
      <c r="L48" s="21" t="s">
        <v>3135</v>
      </c>
      <c r="M48" s="26" t="s">
        <v>43</v>
      </c>
      <c r="N48" s="17"/>
      <c r="O48" s="17"/>
    </row>
    <row r="49" ht="57.75" customHeight="1">
      <c r="A49" s="82" t="s">
        <v>3138</v>
      </c>
      <c r="B49" s="28" t="s">
        <v>174</v>
      </c>
      <c r="C49" s="28" t="s">
        <v>160</v>
      </c>
      <c r="D49" s="24" t="s">
        <v>12</v>
      </c>
      <c r="E49" s="30" t="s">
        <v>3141</v>
      </c>
      <c r="F49" s="30" t="s">
        <v>2394</v>
      </c>
      <c r="G49" s="30" t="s">
        <v>2395</v>
      </c>
      <c r="H49" s="30" t="s">
        <v>2397</v>
      </c>
      <c r="I49" s="30" t="s">
        <v>2400</v>
      </c>
      <c r="J49" s="30" t="s">
        <v>3145</v>
      </c>
      <c r="K49" s="31" t="s">
        <v>40</v>
      </c>
      <c r="L49" s="30" t="s">
        <v>3146</v>
      </c>
      <c r="M49" s="26" t="s">
        <v>43</v>
      </c>
      <c r="N49" s="28"/>
      <c r="O49" s="28"/>
    </row>
    <row r="50" ht="57.75" customHeight="1">
      <c r="A50" s="82" t="s">
        <v>3148</v>
      </c>
      <c r="B50" s="17" t="s">
        <v>174</v>
      </c>
      <c r="C50" s="17" t="s">
        <v>160</v>
      </c>
      <c r="D50" s="24" t="s">
        <v>12</v>
      </c>
      <c r="E50" s="21" t="s">
        <v>3151</v>
      </c>
      <c r="F50" s="21">
        <v>30.0</v>
      </c>
      <c r="G50" s="21">
        <v>40.0</v>
      </c>
      <c r="H50" s="21">
        <v>50.0</v>
      </c>
      <c r="I50" s="21">
        <v>60.0</v>
      </c>
      <c r="J50" s="21">
        <v>70.0</v>
      </c>
      <c r="K50" s="23" t="s">
        <v>95</v>
      </c>
      <c r="L50" s="21" t="s">
        <v>3154</v>
      </c>
      <c r="M50" s="26" t="s">
        <v>43</v>
      </c>
      <c r="N50" s="17"/>
      <c r="O50" s="17"/>
    </row>
    <row r="51" ht="57.75" customHeight="1">
      <c r="A51" s="82" t="s">
        <v>3155</v>
      </c>
      <c r="B51" s="28" t="s">
        <v>174</v>
      </c>
      <c r="C51" s="28" t="s">
        <v>160</v>
      </c>
      <c r="D51" s="24" t="s">
        <v>12</v>
      </c>
      <c r="E51" s="30" t="s">
        <v>3157</v>
      </c>
      <c r="F51" s="30">
        <v>20.0</v>
      </c>
      <c r="G51" s="30">
        <v>25.0</v>
      </c>
      <c r="H51" s="30">
        <v>30.0</v>
      </c>
      <c r="I51" s="30">
        <v>35.0</v>
      </c>
      <c r="J51" s="30">
        <v>40.0</v>
      </c>
      <c r="K51" s="31" t="s">
        <v>64</v>
      </c>
      <c r="L51" s="30" t="s">
        <v>3160</v>
      </c>
      <c r="M51" s="26" t="s">
        <v>43</v>
      </c>
      <c r="N51" s="28"/>
      <c r="O51" s="28"/>
    </row>
    <row r="52" ht="57.75" customHeight="1">
      <c r="A52" s="82" t="s">
        <v>3162</v>
      </c>
      <c r="B52" s="17" t="s">
        <v>174</v>
      </c>
      <c r="C52" s="17" t="s">
        <v>160</v>
      </c>
      <c r="D52" s="24" t="s">
        <v>12</v>
      </c>
      <c r="E52" s="21" t="s">
        <v>3163</v>
      </c>
      <c r="F52" s="21" t="s">
        <v>2376</v>
      </c>
      <c r="G52" s="21" t="s">
        <v>2377</v>
      </c>
      <c r="H52" s="21" t="s">
        <v>2379</v>
      </c>
      <c r="I52" s="21" t="s">
        <v>2381</v>
      </c>
      <c r="J52" s="21" t="s">
        <v>2383</v>
      </c>
      <c r="K52" s="23" t="s">
        <v>117</v>
      </c>
      <c r="L52" s="21" t="s">
        <v>3166</v>
      </c>
      <c r="M52" s="26" t="s">
        <v>43</v>
      </c>
      <c r="N52" s="17"/>
      <c r="O52" s="17"/>
    </row>
    <row r="53" ht="25.5" customHeight="1">
      <c r="A53" s="55" t="s">
        <v>3168</v>
      </c>
      <c r="B53" s="57"/>
      <c r="C53" s="57"/>
      <c r="D53" s="57"/>
      <c r="E53" s="57"/>
      <c r="F53" s="57"/>
      <c r="G53" s="57"/>
      <c r="H53" s="57"/>
      <c r="I53" s="57"/>
      <c r="J53" s="58"/>
      <c r="M53" s="92">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83" t="s">
        <v>2734</v>
      </c>
      <c r="B1" s="3"/>
      <c r="C1" s="3"/>
      <c r="D1" s="3"/>
      <c r="E1" s="3"/>
      <c r="F1" s="3"/>
      <c r="G1" s="3"/>
      <c r="H1" s="3"/>
      <c r="I1" s="3"/>
      <c r="J1" s="3"/>
      <c r="K1" s="3"/>
      <c r="L1" s="3"/>
      <c r="M1" s="3"/>
      <c r="N1" s="3"/>
      <c r="O1" s="4"/>
    </row>
    <row r="2" ht="30.0" customHeight="1">
      <c r="A2" s="84" t="s">
        <v>2761</v>
      </c>
      <c r="B2" s="3"/>
      <c r="C2" s="3"/>
      <c r="D2" s="3"/>
      <c r="E2" s="3"/>
      <c r="F2" s="3"/>
      <c r="G2" s="3"/>
      <c r="H2" s="3"/>
      <c r="I2" s="3"/>
      <c r="J2" s="3"/>
      <c r="K2" s="3"/>
      <c r="L2" s="3"/>
      <c r="M2" s="3"/>
      <c r="N2" s="3"/>
      <c r="O2" s="4"/>
    </row>
    <row r="3" ht="19.5" customHeight="1">
      <c r="A3" s="7" t="s">
        <v>6</v>
      </c>
      <c r="B3" s="3"/>
      <c r="C3" s="3"/>
      <c r="D3" s="3"/>
      <c r="E3" s="3"/>
      <c r="F3" s="3"/>
      <c r="G3" s="3"/>
      <c r="H3" s="3"/>
      <c r="I3" s="3"/>
      <c r="J3" s="3"/>
      <c r="K3" s="3"/>
      <c r="L3" s="3"/>
      <c r="M3" s="3"/>
      <c r="N3" s="3"/>
      <c r="O3" s="4"/>
    </row>
    <row r="4" ht="24.75" customHeight="1">
      <c r="A4" s="9" t="s">
        <v>8</v>
      </c>
      <c r="B4" s="9" t="s">
        <v>7</v>
      </c>
      <c r="C4" s="9" t="s">
        <v>13</v>
      </c>
      <c r="D4" s="9" t="s">
        <v>15</v>
      </c>
      <c r="E4" s="9" t="s">
        <v>17</v>
      </c>
      <c r="F4" s="9" t="s">
        <v>18</v>
      </c>
      <c r="G4" s="9" t="s">
        <v>20</v>
      </c>
      <c r="H4" s="9" t="s">
        <v>21</v>
      </c>
      <c r="I4" s="9" t="s">
        <v>22</v>
      </c>
      <c r="J4" s="9" t="s">
        <v>23</v>
      </c>
      <c r="K4" s="9" t="s">
        <v>25</v>
      </c>
      <c r="L4" s="9" t="s">
        <v>26</v>
      </c>
      <c r="M4" s="9" t="s">
        <v>19</v>
      </c>
      <c r="N4" s="9" t="s">
        <v>27</v>
      </c>
      <c r="O4" s="9" t="s">
        <v>28</v>
      </c>
    </row>
    <row r="5" ht="19.5" customHeight="1">
      <c r="A5" s="13" t="s">
        <v>29</v>
      </c>
      <c r="B5" s="3"/>
      <c r="C5" s="3"/>
      <c r="D5" s="3"/>
      <c r="E5" s="3"/>
      <c r="F5" s="3"/>
      <c r="G5" s="3"/>
      <c r="H5" s="3"/>
      <c r="I5" s="3"/>
      <c r="J5" s="3"/>
      <c r="K5" s="3"/>
      <c r="L5" s="3"/>
      <c r="M5" s="3"/>
      <c r="N5" s="3"/>
      <c r="O5" s="4"/>
    </row>
    <row r="6" ht="57.75" customHeight="1">
      <c r="A6" s="85" t="s">
        <v>2824</v>
      </c>
      <c r="B6" s="17" t="s">
        <v>189</v>
      </c>
      <c r="C6" s="17" t="s">
        <v>183</v>
      </c>
      <c r="D6" s="19" t="s">
        <v>9</v>
      </c>
      <c r="E6" s="21" t="s">
        <v>2845</v>
      </c>
      <c r="F6" s="21">
        <v>3.0</v>
      </c>
      <c r="G6" s="21">
        <v>6.0</v>
      </c>
      <c r="H6" s="21">
        <v>9.0</v>
      </c>
      <c r="I6" s="21">
        <v>12.0</v>
      </c>
      <c r="J6" s="21">
        <v>24.0</v>
      </c>
      <c r="K6" s="23" t="s">
        <v>64</v>
      </c>
      <c r="L6" s="21" t="s">
        <v>2859</v>
      </c>
      <c r="M6" s="26" t="s">
        <v>43</v>
      </c>
      <c r="N6" s="17"/>
      <c r="O6" s="17"/>
    </row>
    <row r="7" ht="57.75" customHeight="1">
      <c r="A7" s="85" t="s">
        <v>2868</v>
      </c>
      <c r="B7" s="28" t="s">
        <v>189</v>
      </c>
      <c r="C7" s="28" t="s">
        <v>183</v>
      </c>
      <c r="D7" s="19" t="s">
        <v>9</v>
      </c>
      <c r="E7" s="30" t="s">
        <v>2877</v>
      </c>
      <c r="F7" s="30">
        <v>5.0</v>
      </c>
      <c r="G7" s="30">
        <v>10.0</v>
      </c>
      <c r="H7" s="30">
        <v>15.0</v>
      </c>
      <c r="I7" s="30">
        <v>20.0</v>
      </c>
      <c r="J7" s="30">
        <v>25.0</v>
      </c>
      <c r="K7" s="31" t="s">
        <v>64</v>
      </c>
      <c r="L7" s="30" t="s">
        <v>2884</v>
      </c>
      <c r="M7" s="26" t="s">
        <v>43</v>
      </c>
      <c r="N7" s="28"/>
      <c r="O7" s="28"/>
    </row>
    <row r="8" ht="57.75" customHeight="1">
      <c r="A8" s="85" t="s">
        <v>2888</v>
      </c>
      <c r="B8" s="17" t="s">
        <v>189</v>
      </c>
      <c r="C8" s="17" t="s">
        <v>183</v>
      </c>
      <c r="D8" s="19" t="s">
        <v>9</v>
      </c>
      <c r="E8" s="21" t="s">
        <v>2893</v>
      </c>
      <c r="F8" s="21">
        <v>18.0</v>
      </c>
      <c r="G8" s="21">
        <v>24.0</v>
      </c>
      <c r="H8" s="21">
        <v>36.0</v>
      </c>
      <c r="I8" s="21">
        <v>48.0</v>
      </c>
      <c r="J8" s="21">
        <v>60.0</v>
      </c>
      <c r="K8" s="23" t="s">
        <v>95</v>
      </c>
      <c r="L8" s="21" t="s">
        <v>2906</v>
      </c>
      <c r="M8" s="26" t="s">
        <v>43</v>
      </c>
      <c r="N8" s="17"/>
      <c r="O8" s="17"/>
    </row>
    <row r="9" ht="57.75" customHeight="1">
      <c r="A9" s="85" t="s">
        <v>2909</v>
      </c>
      <c r="B9" s="28" t="s">
        <v>189</v>
      </c>
      <c r="C9" s="28" t="s">
        <v>183</v>
      </c>
      <c r="D9" s="19" t="s">
        <v>9</v>
      </c>
      <c r="E9" s="30" t="s">
        <v>2912</v>
      </c>
      <c r="F9" s="40">
        <v>46028.0</v>
      </c>
      <c r="G9" s="40">
        <v>46025.0</v>
      </c>
      <c r="H9" s="40">
        <v>46024.0</v>
      </c>
      <c r="I9" s="40">
        <v>46056.0</v>
      </c>
      <c r="J9" s="40">
        <v>46148.0</v>
      </c>
      <c r="K9" s="31" t="s">
        <v>95</v>
      </c>
      <c r="L9" s="30" t="s">
        <v>2923</v>
      </c>
      <c r="M9" s="26" t="s">
        <v>43</v>
      </c>
      <c r="N9" s="28"/>
      <c r="O9" s="28"/>
    </row>
    <row r="10" ht="57.75" customHeight="1">
      <c r="A10" s="85" t="s">
        <v>2926</v>
      </c>
      <c r="B10" s="17" t="s">
        <v>189</v>
      </c>
      <c r="C10" s="17" t="s">
        <v>183</v>
      </c>
      <c r="D10" s="19" t="s">
        <v>9</v>
      </c>
      <c r="E10" s="21" t="s">
        <v>2929</v>
      </c>
      <c r="F10" s="35">
        <v>46027.0</v>
      </c>
      <c r="G10" s="35">
        <v>46058.0</v>
      </c>
      <c r="H10" s="35">
        <v>46024.0</v>
      </c>
      <c r="I10" s="35">
        <v>46086.0</v>
      </c>
      <c r="J10" s="35">
        <v>46117.0</v>
      </c>
      <c r="K10" s="23" t="s">
        <v>64</v>
      </c>
      <c r="L10" s="21" t="s">
        <v>2938</v>
      </c>
      <c r="M10" s="26" t="s">
        <v>43</v>
      </c>
      <c r="N10" s="17"/>
      <c r="O10" s="17"/>
    </row>
    <row r="11" ht="57.75" customHeight="1">
      <c r="A11" s="85" t="s">
        <v>2941</v>
      </c>
      <c r="B11" s="28" t="s">
        <v>189</v>
      </c>
      <c r="C11" s="28" t="s">
        <v>183</v>
      </c>
      <c r="D11" s="19" t="s">
        <v>9</v>
      </c>
      <c r="E11" s="30" t="s">
        <v>2943</v>
      </c>
      <c r="F11" s="30">
        <v>12.0</v>
      </c>
      <c r="G11" s="30">
        <v>15.0</v>
      </c>
      <c r="H11" s="30">
        <v>18.0</v>
      </c>
      <c r="I11" s="30">
        <v>20.0</v>
      </c>
      <c r="J11" s="30">
        <v>24.0</v>
      </c>
      <c r="K11" s="31" t="s">
        <v>117</v>
      </c>
      <c r="L11" s="30" t="s">
        <v>2948</v>
      </c>
      <c r="M11" s="26" t="s">
        <v>43</v>
      </c>
      <c r="N11" s="28"/>
      <c r="O11" s="28"/>
    </row>
    <row r="12" ht="57.75" customHeight="1">
      <c r="A12" s="85" t="s">
        <v>2951</v>
      </c>
      <c r="B12" s="17" t="s">
        <v>189</v>
      </c>
      <c r="C12" s="17" t="s">
        <v>183</v>
      </c>
      <c r="D12" s="19" t="s">
        <v>9</v>
      </c>
      <c r="E12" s="21" t="s">
        <v>2954</v>
      </c>
      <c r="F12" s="21">
        <v>4.0</v>
      </c>
      <c r="G12" s="21">
        <v>6.0</v>
      </c>
      <c r="H12" s="21">
        <v>8.0</v>
      </c>
      <c r="I12" s="21">
        <v>12.0</v>
      </c>
      <c r="J12" s="21">
        <v>16.0</v>
      </c>
      <c r="K12" s="23" t="s">
        <v>64</v>
      </c>
      <c r="L12" s="21" t="s">
        <v>2963</v>
      </c>
      <c r="M12" s="26" t="s">
        <v>43</v>
      </c>
      <c r="N12" s="17"/>
      <c r="O12" s="17"/>
    </row>
    <row r="13" ht="57.75" customHeight="1">
      <c r="A13" s="85" t="s">
        <v>2966</v>
      </c>
      <c r="B13" s="28" t="s">
        <v>189</v>
      </c>
      <c r="C13" s="28" t="s">
        <v>183</v>
      </c>
      <c r="D13" s="19" t="s">
        <v>9</v>
      </c>
      <c r="E13" s="30" t="s">
        <v>2970</v>
      </c>
      <c r="F13" s="40">
        <v>46026.0</v>
      </c>
      <c r="G13" s="40">
        <v>46025.0</v>
      </c>
      <c r="H13" s="40">
        <v>46024.0</v>
      </c>
      <c r="I13" s="40">
        <v>46056.0</v>
      </c>
      <c r="J13" s="40">
        <v>46085.0</v>
      </c>
      <c r="K13" s="31" t="s">
        <v>95</v>
      </c>
      <c r="L13" s="30" t="s">
        <v>2974</v>
      </c>
      <c r="M13" s="26" t="s">
        <v>43</v>
      </c>
      <c r="N13" s="28"/>
      <c r="O13" s="28"/>
    </row>
    <row r="14" ht="57.75" customHeight="1">
      <c r="A14" s="85" t="s">
        <v>2977</v>
      </c>
      <c r="B14" s="17" t="s">
        <v>189</v>
      </c>
      <c r="C14" s="17" t="s">
        <v>183</v>
      </c>
      <c r="D14" s="19" t="s">
        <v>9</v>
      </c>
      <c r="E14" s="21" t="s">
        <v>2979</v>
      </c>
      <c r="F14" s="21" t="s">
        <v>2981</v>
      </c>
      <c r="G14" s="21" t="s">
        <v>2983</v>
      </c>
      <c r="H14" s="21" t="s">
        <v>2985</v>
      </c>
      <c r="I14" s="21" t="s">
        <v>2987</v>
      </c>
      <c r="J14" s="21" t="s">
        <v>2990</v>
      </c>
      <c r="K14" s="23" t="s">
        <v>64</v>
      </c>
      <c r="L14" s="21" t="s">
        <v>2994</v>
      </c>
      <c r="M14" s="26" t="s">
        <v>43</v>
      </c>
      <c r="N14" s="17"/>
      <c r="O14" s="17"/>
    </row>
    <row r="15" ht="57.75" customHeight="1">
      <c r="A15" s="85" t="s">
        <v>2998</v>
      </c>
      <c r="B15" s="28" t="s">
        <v>189</v>
      </c>
      <c r="C15" s="28" t="s">
        <v>183</v>
      </c>
      <c r="D15" s="19" t="s">
        <v>9</v>
      </c>
      <c r="E15" s="30" t="s">
        <v>3002</v>
      </c>
      <c r="F15" s="30">
        <v>6.0</v>
      </c>
      <c r="G15" s="30">
        <v>8.0</v>
      </c>
      <c r="H15" s="30">
        <v>12.0</v>
      </c>
      <c r="I15" s="30">
        <v>16.0</v>
      </c>
      <c r="J15" s="30">
        <v>24.0</v>
      </c>
      <c r="K15" s="31" t="s">
        <v>95</v>
      </c>
      <c r="L15" s="30" t="s">
        <v>3010</v>
      </c>
      <c r="M15" s="26" t="s">
        <v>43</v>
      </c>
      <c r="N15" s="28"/>
      <c r="O15" s="28"/>
    </row>
    <row r="16" ht="57.75" customHeight="1">
      <c r="A16" s="85" t="s">
        <v>3014</v>
      </c>
      <c r="B16" s="17" t="s">
        <v>189</v>
      </c>
      <c r="C16" s="17" t="s">
        <v>183</v>
      </c>
      <c r="D16" s="19" t="s">
        <v>9</v>
      </c>
      <c r="E16" s="21" t="s">
        <v>3016</v>
      </c>
      <c r="F16" s="35">
        <v>46028.0</v>
      </c>
      <c r="G16" s="35">
        <v>46025.0</v>
      </c>
      <c r="H16" s="35">
        <v>46024.0</v>
      </c>
      <c r="I16" s="35">
        <v>46056.0</v>
      </c>
      <c r="J16" s="35">
        <v>46148.0</v>
      </c>
      <c r="K16" s="23" t="s">
        <v>64</v>
      </c>
      <c r="L16" s="21" t="s">
        <v>3019</v>
      </c>
      <c r="M16" s="26" t="s">
        <v>43</v>
      </c>
      <c r="N16" s="17"/>
      <c r="O16" s="17"/>
    </row>
    <row r="17" ht="57.75" customHeight="1">
      <c r="A17" s="85" t="s">
        <v>3020</v>
      </c>
      <c r="B17" s="28" t="s">
        <v>189</v>
      </c>
      <c r="C17" s="28" t="s">
        <v>183</v>
      </c>
      <c r="D17" s="19" t="s">
        <v>9</v>
      </c>
      <c r="E17" s="30" t="s">
        <v>3023</v>
      </c>
      <c r="F17" s="40">
        <v>46233.0</v>
      </c>
      <c r="G17" s="30" t="s">
        <v>3026</v>
      </c>
      <c r="H17" s="40">
        <v>46227.0</v>
      </c>
      <c r="I17" s="40">
        <v>46091.0</v>
      </c>
      <c r="J17" s="40">
        <v>46213.0</v>
      </c>
      <c r="K17" s="31" t="s">
        <v>40</v>
      </c>
      <c r="L17" s="30" t="s">
        <v>3030</v>
      </c>
      <c r="M17" s="26" t="s">
        <v>43</v>
      </c>
      <c r="N17" s="28"/>
      <c r="O17" s="28"/>
    </row>
    <row r="18" ht="57.75" customHeight="1">
      <c r="A18" s="85" t="s">
        <v>3033</v>
      </c>
      <c r="B18" s="17" t="s">
        <v>189</v>
      </c>
      <c r="C18" s="17" t="s">
        <v>183</v>
      </c>
      <c r="D18" s="19" t="s">
        <v>9</v>
      </c>
      <c r="E18" s="21" t="s">
        <v>3035</v>
      </c>
      <c r="F18" s="21">
        <v>4.0</v>
      </c>
      <c r="G18" s="21">
        <v>12.0</v>
      </c>
      <c r="H18" s="21">
        <v>16.0</v>
      </c>
      <c r="I18" s="21">
        <v>24.0</v>
      </c>
      <c r="J18" s="21">
        <v>48.0</v>
      </c>
      <c r="K18" s="23" t="s">
        <v>117</v>
      </c>
      <c r="L18" s="21" t="s">
        <v>3041</v>
      </c>
      <c r="M18" s="26" t="s">
        <v>43</v>
      </c>
      <c r="N18" s="17"/>
      <c r="O18" s="17"/>
    </row>
    <row r="19" ht="57.75" customHeight="1">
      <c r="A19" s="85" t="s">
        <v>3044</v>
      </c>
      <c r="B19" s="28" t="s">
        <v>189</v>
      </c>
      <c r="C19" s="28" t="s">
        <v>183</v>
      </c>
      <c r="D19" s="19" t="s">
        <v>9</v>
      </c>
      <c r="E19" s="30" t="s">
        <v>3047</v>
      </c>
      <c r="F19" s="30" t="s">
        <v>3049</v>
      </c>
      <c r="G19" s="30" t="s">
        <v>3050</v>
      </c>
      <c r="H19" s="30" t="s">
        <v>3052</v>
      </c>
      <c r="I19" s="30" t="s">
        <v>230</v>
      </c>
      <c r="J19" s="30" t="s">
        <v>185</v>
      </c>
      <c r="K19" s="31" t="s">
        <v>64</v>
      </c>
      <c r="L19" s="30" t="s">
        <v>3056</v>
      </c>
      <c r="M19" s="26" t="s">
        <v>43</v>
      </c>
      <c r="N19" s="28"/>
      <c r="O19" s="28"/>
    </row>
    <row r="20" ht="57.75" customHeight="1">
      <c r="A20" s="85" t="s">
        <v>3057</v>
      </c>
      <c r="B20" s="17" t="s">
        <v>189</v>
      </c>
      <c r="C20" s="17" t="s">
        <v>183</v>
      </c>
      <c r="D20" s="19" t="s">
        <v>9</v>
      </c>
      <c r="E20" s="21" t="s">
        <v>3060</v>
      </c>
      <c r="F20" s="21">
        <v>4.0</v>
      </c>
      <c r="G20" s="21">
        <v>12.0</v>
      </c>
      <c r="H20" s="21">
        <v>16.0</v>
      </c>
      <c r="I20" s="21">
        <v>24.0</v>
      </c>
      <c r="J20" s="21">
        <v>36.0</v>
      </c>
      <c r="K20" s="23" t="s">
        <v>117</v>
      </c>
      <c r="L20" s="21" t="s">
        <v>3064</v>
      </c>
      <c r="M20" s="26" t="s">
        <v>43</v>
      </c>
      <c r="N20" s="17"/>
      <c r="O20" s="17"/>
    </row>
    <row r="21" ht="19.5" customHeight="1">
      <c r="A21" s="46" t="s">
        <v>166</v>
      </c>
      <c r="B21" s="3"/>
      <c r="C21" s="3"/>
      <c r="D21" s="3"/>
      <c r="E21" s="3"/>
      <c r="F21" s="3"/>
      <c r="G21" s="3"/>
      <c r="H21" s="3"/>
      <c r="I21" s="3"/>
      <c r="J21" s="3"/>
      <c r="K21" s="3"/>
      <c r="L21" s="3"/>
      <c r="M21" s="3"/>
      <c r="N21" s="3"/>
      <c r="O21" s="4"/>
    </row>
    <row r="22" ht="57.75" customHeight="1">
      <c r="A22" s="85" t="s">
        <v>3073</v>
      </c>
      <c r="B22" s="28" t="s">
        <v>189</v>
      </c>
      <c r="C22" s="28" t="s">
        <v>183</v>
      </c>
      <c r="D22" s="22" t="s">
        <v>11</v>
      </c>
      <c r="E22" s="30" t="s">
        <v>3077</v>
      </c>
      <c r="F22" s="30">
        <v>30.0</v>
      </c>
      <c r="G22" s="30">
        <v>34.0</v>
      </c>
      <c r="H22" s="30">
        <v>40.0</v>
      </c>
      <c r="I22" s="30">
        <v>44.0</v>
      </c>
      <c r="J22" s="30">
        <v>84.0</v>
      </c>
      <c r="K22" s="31" t="s">
        <v>64</v>
      </c>
      <c r="L22" s="30" t="s">
        <v>3081</v>
      </c>
      <c r="M22" s="26" t="s">
        <v>43</v>
      </c>
      <c r="N22" s="28"/>
      <c r="O22" s="28"/>
    </row>
    <row r="23" ht="57.75" customHeight="1">
      <c r="A23" s="85" t="s">
        <v>3082</v>
      </c>
      <c r="B23" s="17" t="s">
        <v>189</v>
      </c>
      <c r="C23" s="17" t="s">
        <v>183</v>
      </c>
      <c r="D23" s="22" t="s">
        <v>11</v>
      </c>
      <c r="E23" s="21" t="s">
        <v>3085</v>
      </c>
      <c r="F23" s="21">
        <v>32.0</v>
      </c>
      <c r="G23" s="21">
        <v>40.0</v>
      </c>
      <c r="H23" s="21">
        <v>48.0</v>
      </c>
      <c r="I23" s="21">
        <v>60.0</v>
      </c>
      <c r="J23" s="21">
        <v>80.0</v>
      </c>
      <c r="K23" s="23" t="s">
        <v>40</v>
      </c>
      <c r="L23" s="21" t="s">
        <v>3087</v>
      </c>
      <c r="M23" s="26" t="s">
        <v>43</v>
      </c>
      <c r="N23" s="17"/>
      <c r="O23" s="17"/>
    </row>
    <row r="24" ht="57.75" customHeight="1">
      <c r="A24" s="85" t="s">
        <v>3089</v>
      </c>
      <c r="B24" s="28" t="s">
        <v>189</v>
      </c>
      <c r="C24" s="28" t="s">
        <v>183</v>
      </c>
      <c r="D24" s="22" t="s">
        <v>11</v>
      </c>
      <c r="E24" s="30" t="s">
        <v>3091</v>
      </c>
      <c r="F24" s="40">
        <v>46156.0</v>
      </c>
      <c r="G24" s="30" t="s">
        <v>3092</v>
      </c>
      <c r="H24" s="30" t="s">
        <v>3093</v>
      </c>
      <c r="I24" s="40">
        <v>46150.0</v>
      </c>
      <c r="J24" s="40">
        <v>46025.0</v>
      </c>
      <c r="K24" s="31" t="s">
        <v>40</v>
      </c>
      <c r="L24" s="30" t="s">
        <v>3096</v>
      </c>
      <c r="M24" s="26" t="s">
        <v>43</v>
      </c>
      <c r="N24" s="28"/>
      <c r="O24" s="28"/>
    </row>
    <row r="25" ht="57.75" customHeight="1">
      <c r="A25" s="85" t="s">
        <v>3098</v>
      </c>
      <c r="B25" s="17" t="s">
        <v>189</v>
      </c>
      <c r="C25" s="17" t="s">
        <v>183</v>
      </c>
      <c r="D25" s="22" t="s">
        <v>11</v>
      </c>
      <c r="E25" s="21" t="s">
        <v>3100</v>
      </c>
      <c r="F25" s="21">
        <v>24.0</v>
      </c>
      <c r="G25" s="21">
        <v>48.0</v>
      </c>
      <c r="H25" s="21">
        <v>96.0</v>
      </c>
      <c r="I25" s="21">
        <v>120.0</v>
      </c>
      <c r="J25" s="21">
        <v>240.0</v>
      </c>
      <c r="K25" s="23" t="s">
        <v>40</v>
      </c>
      <c r="L25" s="21" t="s">
        <v>3102</v>
      </c>
      <c r="M25" s="26" t="s">
        <v>43</v>
      </c>
      <c r="N25" s="17"/>
      <c r="O25" s="17"/>
    </row>
    <row r="26" ht="57.75" customHeight="1">
      <c r="A26" s="85" t="s">
        <v>3104</v>
      </c>
      <c r="B26" s="28" t="s">
        <v>189</v>
      </c>
      <c r="C26" s="28" t="s">
        <v>183</v>
      </c>
      <c r="D26" s="22" t="s">
        <v>11</v>
      </c>
      <c r="E26" s="30" t="s">
        <v>3106</v>
      </c>
      <c r="F26" s="40">
        <v>46031.0</v>
      </c>
      <c r="G26" s="30" t="s">
        <v>3107</v>
      </c>
      <c r="H26" s="40">
        <v>46028.0</v>
      </c>
      <c r="I26" s="30" t="s">
        <v>3108</v>
      </c>
      <c r="J26" s="40">
        <v>46062.0</v>
      </c>
      <c r="K26" s="31" t="s">
        <v>95</v>
      </c>
      <c r="L26" s="30" t="s">
        <v>3112</v>
      </c>
      <c r="M26" s="26" t="s">
        <v>43</v>
      </c>
      <c r="N26" s="28"/>
      <c r="O26" s="28"/>
    </row>
    <row r="27" ht="57.75" customHeight="1">
      <c r="A27" s="85" t="s">
        <v>3115</v>
      </c>
      <c r="B27" s="17" t="s">
        <v>189</v>
      </c>
      <c r="C27" s="17" t="s">
        <v>183</v>
      </c>
      <c r="D27" s="22" t="s">
        <v>11</v>
      </c>
      <c r="E27" s="21" t="s">
        <v>3117</v>
      </c>
      <c r="F27" s="35">
        <v>46027.0</v>
      </c>
      <c r="G27" s="35">
        <v>46091.0</v>
      </c>
      <c r="H27" s="35">
        <v>46025.0</v>
      </c>
      <c r="I27" s="35">
        <v>46086.0</v>
      </c>
      <c r="J27" s="35">
        <v>46024.0</v>
      </c>
      <c r="K27" s="23" t="s">
        <v>64</v>
      </c>
      <c r="L27" s="21" t="s">
        <v>3120</v>
      </c>
      <c r="M27" s="26" t="s">
        <v>43</v>
      </c>
      <c r="N27" s="17"/>
      <c r="O27" s="17"/>
    </row>
    <row r="28" ht="57.75" customHeight="1">
      <c r="A28" s="85" t="s">
        <v>3121</v>
      </c>
      <c r="B28" s="28" t="s">
        <v>189</v>
      </c>
      <c r="C28" s="28" t="s">
        <v>183</v>
      </c>
      <c r="D28" s="22" t="s">
        <v>11</v>
      </c>
      <c r="E28" s="30" t="s">
        <v>3123</v>
      </c>
      <c r="F28" s="30">
        <v>24.0</v>
      </c>
      <c r="G28" s="30">
        <v>30.0</v>
      </c>
      <c r="H28" s="30">
        <v>36.0</v>
      </c>
      <c r="I28" s="30">
        <v>42.0</v>
      </c>
      <c r="J28" s="30">
        <v>210.0</v>
      </c>
      <c r="K28" s="31" t="s">
        <v>64</v>
      </c>
      <c r="L28" s="30" t="s">
        <v>3126</v>
      </c>
      <c r="M28" s="26" t="s">
        <v>43</v>
      </c>
      <c r="N28" s="28"/>
      <c r="O28" s="28"/>
    </row>
    <row r="29" ht="57.75" customHeight="1">
      <c r="A29" s="85" t="s">
        <v>3128</v>
      </c>
      <c r="B29" s="17" t="s">
        <v>189</v>
      </c>
      <c r="C29" s="17" t="s">
        <v>183</v>
      </c>
      <c r="D29" s="22" t="s">
        <v>11</v>
      </c>
      <c r="E29" s="21" t="s">
        <v>3130</v>
      </c>
      <c r="F29" s="21" t="s">
        <v>3131</v>
      </c>
      <c r="G29" s="21" t="s">
        <v>3132</v>
      </c>
      <c r="H29" s="21" t="s">
        <v>3134</v>
      </c>
      <c r="I29" s="21" t="s">
        <v>3136</v>
      </c>
      <c r="J29" s="21" t="s">
        <v>3137</v>
      </c>
      <c r="K29" s="23" t="s">
        <v>95</v>
      </c>
      <c r="L29" s="21" t="s">
        <v>3139</v>
      </c>
      <c r="M29" s="26" t="s">
        <v>43</v>
      </c>
      <c r="N29" s="17"/>
      <c r="O29" s="17"/>
    </row>
    <row r="30" ht="57.75" customHeight="1">
      <c r="A30" s="85" t="s">
        <v>3142</v>
      </c>
      <c r="B30" s="28" t="s">
        <v>189</v>
      </c>
      <c r="C30" s="28" t="s">
        <v>183</v>
      </c>
      <c r="D30" s="22" t="s">
        <v>11</v>
      </c>
      <c r="E30" s="30" t="s">
        <v>3143</v>
      </c>
      <c r="F30" s="30">
        <v>30.0</v>
      </c>
      <c r="G30" s="30">
        <v>45.0</v>
      </c>
      <c r="H30" s="30">
        <v>60.0</v>
      </c>
      <c r="I30" s="30">
        <v>75.0</v>
      </c>
      <c r="J30" s="30">
        <v>90.0</v>
      </c>
      <c r="K30" s="31" t="s">
        <v>95</v>
      </c>
      <c r="L30" s="30" t="s">
        <v>3147</v>
      </c>
      <c r="M30" s="26" t="s">
        <v>43</v>
      </c>
      <c r="N30" s="28"/>
      <c r="O30" s="28"/>
    </row>
    <row r="31" ht="57.75" customHeight="1">
      <c r="A31" s="85" t="s">
        <v>3150</v>
      </c>
      <c r="B31" s="17" t="s">
        <v>189</v>
      </c>
      <c r="C31" s="17" t="s">
        <v>183</v>
      </c>
      <c r="D31" s="22" t="s">
        <v>11</v>
      </c>
      <c r="E31" s="21" t="s">
        <v>3152</v>
      </c>
      <c r="F31" s="21">
        <v>16.0</v>
      </c>
      <c r="G31" s="21">
        <v>20.0</v>
      </c>
      <c r="H31" s="21">
        <v>24.0</v>
      </c>
      <c r="I31" s="21">
        <v>28.0</v>
      </c>
      <c r="J31" s="21">
        <v>56.0</v>
      </c>
      <c r="K31" s="23" t="s">
        <v>64</v>
      </c>
      <c r="L31" s="21" t="s">
        <v>3156</v>
      </c>
      <c r="M31" s="26" t="s">
        <v>43</v>
      </c>
      <c r="N31" s="17"/>
      <c r="O31" s="17"/>
    </row>
    <row r="32" ht="57.75" customHeight="1">
      <c r="A32" s="85" t="s">
        <v>3158</v>
      </c>
      <c r="B32" s="28" t="s">
        <v>189</v>
      </c>
      <c r="C32" s="28" t="s">
        <v>183</v>
      </c>
      <c r="D32" s="22" t="s">
        <v>11</v>
      </c>
      <c r="E32" s="30" t="s">
        <v>3161</v>
      </c>
      <c r="F32" s="30">
        <v>24.0</v>
      </c>
      <c r="G32" s="30">
        <v>27.0</v>
      </c>
      <c r="H32" s="30">
        <v>30.0</v>
      </c>
      <c r="I32" s="30">
        <v>36.0</v>
      </c>
      <c r="J32" s="30">
        <v>48.0</v>
      </c>
      <c r="K32" s="31" t="s">
        <v>95</v>
      </c>
      <c r="L32" s="30" t="s">
        <v>3164</v>
      </c>
      <c r="M32" s="26" t="s">
        <v>43</v>
      </c>
      <c r="N32" s="28"/>
      <c r="O32" s="28"/>
    </row>
    <row r="33" ht="57.75" customHeight="1">
      <c r="A33" s="85" t="s">
        <v>3165</v>
      </c>
      <c r="B33" s="17" t="s">
        <v>189</v>
      </c>
      <c r="C33" s="17" t="s">
        <v>183</v>
      </c>
      <c r="D33" s="22" t="s">
        <v>11</v>
      </c>
      <c r="E33" s="21" t="s">
        <v>3167</v>
      </c>
      <c r="F33" s="35">
        <v>46026.0</v>
      </c>
      <c r="G33" s="35">
        <v>46025.0</v>
      </c>
      <c r="H33" s="35">
        <v>46154.0</v>
      </c>
      <c r="I33" s="35">
        <v>46024.0</v>
      </c>
      <c r="J33" s="35">
        <v>46215.0</v>
      </c>
      <c r="K33" s="23" t="s">
        <v>40</v>
      </c>
      <c r="L33" s="21" t="s">
        <v>3169</v>
      </c>
      <c r="M33" s="26" t="s">
        <v>43</v>
      </c>
      <c r="N33" s="17"/>
      <c r="O33" s="17"/>
    </row>
    <row r="34" ht="57.75" customHeight="1">
      <c r="A34" s="85" t="s">
        <v>3170</v>
      </c>
      <c r="B34" s="28" t="s">
        <v>189</v>
      </c>
      <c r="C34" s="28" t="s">
        <v>183</v>
      </c>
      <c r="D34" s="22" t="s">
        <v>11</v>
      </c>
      <c r="E34" s="30" t="s">
        <v>3171</v>
      </c>
      <c r="F34" s="40">
        <v>46106.0</v>
      </c>
      <c r="G34" s="40">
        <v>46259.0</v>
      </c>
      <c r="H34" s="40">
        <v>46351.0</v>
      </c>
      <c r="I34" s="30" t="s">
        <v>3172</v>
      </c>
      <c r="J34" s="30" t="s">
        <v>3173</v>
      </c>
      <c r="K34" s="31" t="s">
        <v>95</v>
      </c>
      <c r="L34" s="30" t="s">
        <v>3174</v>
      </c>
      <c r="M34" s="26" t="s">
        <v>43</v>
      </c>
      <c r="N34" s="28"/>
      <c r="O34" s="28"/>
    </row>
    <row r="35" ht="57.75" customHeight="1">
      <c r="A35" s="85" t="s">
        <v>3175</v>
      </c>
      <c r="B35" s="17" t="s">
        <v>189</v>
      </c>
      <c r="C35" s="17" t="s">
        <v>183</v>
      </c>
      <c r="D35" s="22" t="s">
        <v>11</v>
      </c>
      <c r="E35" s="21" t="s">
        <v>3176</v>
      </c>
      <c r="F35" s="21">
        <v>420.0</v>
      </c>
      <c r="G35" s="21">
        <v>840.0</v>
      </c>
      <c r="H35" s="21">
        <v>1260.0</v>
      </c>
      <c r="I35" s="21">
        <v>2520.0</v>
      </c>
      <c r="J35" s="21">
        <v>5040.0</v>
      </c>
      <c r="K35" s="23" t="s">
        <v>95</v>
      </c>
      <c r="L35" s="21" t="s">
        <v>3177</v>
      </c>
      <c r="M35" s="26" t="s">
        <v>43</v>
      </c>
      <c r="N35" s="17"/>
      <c r="O35" s="17"/>
    </row>
    <row r="36" ht="57.75" customHeight="1">
      <c r="A36" s="85" t="s">
        <v>3178</v>
      </c>
      <c r="B36" s="28" t="s">
        <v>189</v>
      </c>
      <c r="C36" s="28" t="s">
        <v>183</v>
      </c>
      <c r="D36" s="22" t="s">
        <v>11</v>
      </c>
      <c r="E36" s="30" t="s">
        <v>3179</v>
      </c>
      <c r="F36" s="30" t="s">
        <v>3180</v>
      </c>
      <c r="G36" s="30" t="s">
        <v>3181</v>
      </c>
      <c r="H36" s="30" t="s">
        <v>3182</v>
      </c>
      <c r="I36" s="30" t="s">
        <v>3183</v>
      </c>
      <c r="J36" s="30" t="s">
        <v>3184</v>
      </c>
      <c r="K36" s="31" t="s">
        <v>95</v>
      </c>
      <c r="L36" s="30" t="s">
        <v>3185</v>
      </c>
      <c r="M36" s="26" t="s">
        <v>43</v>
      </c>
      <c r="N36" s="28"/>
      <c r="O36" s="28"/>
    </row>
    <row r="37" ht="19.5" customHeight="1">
      <c r="A37" s="63" t="s">
        <v>279</v>
      </c>
      <c r="B37" s="3"/>
      <c r="C37" s="3"/>
      <c r="D37" s="3"/>
      <c r="E37" s="3"/>
      <c r="F37" s="3"/>
      <c r="G37" s="3"/>
      <c r="H37" s="3"/>
      <c r="I37" s="3"/>
      <c r="J37" s="3"/>
      <c r="K37" s="3"/>
      <c r="L37" s="3"/>
      <c r="M37" s="3"/>
      <c r="N37" s="3"/>
      <c r="O37" s="4"/>
    </row>
    <row r="38" ht="57.75" customHeight="1">
      <c r="A38" s="85" t="s">
        <v>3186</v>
      </c>
      <c r="B38" s="17" t="s">
        <v>189</v>
      </c>
      <c r="C38" s="17" t="s">
        <v>183</v>
      </c>
      <c r="D38" s="24" t="s">
        <v>12</v>
      </c>
      <c r="E38" s="17"/>
      <c r="F38" s="17"/>
      <c r="G38" s="17"/>
      <c r="H38" s="17"/>
      <c r="I38" s="17"/>
      <c r="J38" s="17"/>
      <c r="K38" s="90"/>
      <c r="L38" s="17"/>
      <c r="M38" s="26" t="s">
        <v>43</v>
      </c>
      <c r="N38" s="17"/>
      <c r="O38" s="17"/>
    </row>
    <row r="39" ht="57.75" customHeight="1">
      <c r="A39" s="85" t="s">
        <v>3187</v>
      </c>
      <c r="B39" s="28" t="s">
        <v>189</v>
      </c>
      <c r="C39" s="28" t="s">
        <v>183</v>
      </c>
      <c r="D39" s="24" t="s">
        <v>12</v>
      </c>
      <c r="E39" s="28"/>
      <c r="F39" s="28"/>
      <c r="G39" s="28"/>
      <c r="H39" s="28"/>
      <c r="I39" s="28"/>
      <c r="J39" s="28"/>
      <c r="K39" s="91"/>
      <c r="L39" s="28"/>
      <c r="M39" s="26" t="s">
        <v>43</v>
      </c>
      <c r="N39" s="28"/>
      <c r="O39" s="28"/>
    </row>
    <row r="40" ht="57.75" customHeight="1">
      <c r="A40" s="85" t="s">
        <v>3188</v>
      </c>
      <c r="B40" s="17" t="s">
        <v>189</v>
      </c>
      <c r="C40" s="17" t="s">
        <v>183</v>
      </c>
      <c r="D40" s="24" t="s">
        <v>12</v>
      </c>
      <c r="E40" s="17"/>
      <c r="F40" s="17"/>
      <c r="G40" s="17"/>
      <c r="H40" s="17"/>
      <c r="I40" s="17"/>
      <c r="J40" s="17"/>
      <c r="K40" s="90"/>
      <c r="L40" s="17"/>
      <c r="M40" s="26" t="s">
        <v>43</v>
      </c>
      <c r="N40" s="17"/>
      <c r="O40" s="17"/>
    </row>
    <row r="41" ht="57.75" customHeight="1">
      <c r="A41" s="85" t="s">
        <v>3189</v>
      </c>
      <c r="B41" s="28" t="s">
        <v>189</v>
      </c>
      <c r="C41" s="28" t="s">
        <v>183</v>
      </c>
      <c r="D41" s="24" t="s">
        <v>12</v>
      </c>
      <c r="E41" s="28"/>
      <c r="F41" s="28"/>
      <c r="G41" s="28"/>
      <c r="H41" s="28"/>
      <c r="I41" s="28"/>
      <c r="J41" s="28"/>
      <c r="K41" s="91"/>
      <c r="L41" s="28"/>
      <c r="M41" s="26" t="s">
        <v>43</v>
      </c>
      <c r="N41" s="28"/>
      <c r="O41" s="28"/>
    </row>
    <row r="42" ht="57.75" customHeight="1">
      <c r="A42" s="85" t="s">
        <v>3190</v>
      </c>
      <c r="B42" s="17" t="s">
        <v>189</v>
      </c>
      <c r="C42" s="17" t="s">
        <v>183</v>
      </c>
      <c r="D42" s="24" t="s">
        <v>12</v>
      </c>
      <c r="E42" s="17"/>
      <c r="F42" s="17"/>
      <c r="G42" s="17"/>
      <c r="H42" s="17"/>
      <c r="I42" s="17"/>
      <c r="J42" s="17"/>
      <c r="K42" s="90"/>
      <c r="L42" s="17"/>
      <c r="M42" s="26" t="s">
        <v>43</v>
      </c>
      <c r="N42" s="17"/>
      <c r="O42" s="17"/>
    </row>
    <row r="43" ht="57.75" customHeight="1">
      <c r="A43" s="85" t="s">
        <v>3191</v>
      </c>
      <c r="B43" s="28" t="s">
        <v>189</v>
      </c>
      <c r="C43" s="28" t="s">
        <v>183</v>
      </c>
      <c r="D43" s="24" t="s">
        <v>12</v>
      </c>
      <c r="E43" s="28"/>
      <c r="F43" s="28"/>
      <c r="G43" s="28"/>
      <c r="H43" s="28"/>
      <c r="I43" s="28"/>
      <c r="J43" s="28"/>
      <c r="K43" s="91"/>
      <c r="L43" s="28"/>
      <c r="M43" s="26" t="s">
        <v>43</v>
      </c>
      <c r="N43" s="28"/>
      <c r="O43" s="28"/>
    </row>
    <row r="44" ht="57.75" customHeight="1">
      <c r="A44" s="85" t="s">
        <v>3192</v>
      </c>
      <c r="B44" s="17" t="s">
        <v>189</v>
      </c>
      <c r="C44" s="17" t="s">
        <v>183</v>
      </c>
      <c r="D44" s="24" t="s">
        <v>12</v>
      </c>
      <c r="E44" s="17"/>
      <c r="F44" s="17"/>
      <c r="G44" s="17"/>
      <c r="H44" s="17"/>
      <c r="I44" s="17"/>
      <c r="J44" s="17"/>
      <c r="K44" s="90"/>
      <c r="L44" s="17"/>
      <c r="M44" s="26" t="s">
        <v>43</v>
      </c>
      <c r="N44" s="17"/>
      <c r="O44" s="17"/>
    </row>
    <row r="45" ht="57.75" customHeight="1">
      <c r="A45" s="85" t="s">
        <v>3193</v>
      </c>
      <c r="B45" s="28" t="s">
        <v>189</v>
      </c>
      <c r="C45" s="28" t="s">
        <v>183</v>
      </c>
      <c r="D45" s="24" t="s">
        <v>12</v>
      </c>
      <c r="E45" s="28"/>
      <c r="F45" s="28"/>
      <c r="G45" s="28"/>
      <c r="H45" s="28"/>
      <c r="I45" s="28"/>
      <c r="J45" s="28"/>
      <c r="K45" s="91"/>
      <c r="L45" s="28"/>
      <c r="M45" s="26" t="s">
        <v>43</v>
      </c>
      <c r="N45" s="28"/>
      <c r="O45" s="28"/>
    </row>
    <row r="46" ht="57.75" customHeight="1">
      <c r="A46" s="85" t="s">
        <v>3194</v>
      </c>
      <c r="B46" s="17" t="s">
        <v>189</v>
      </c>
      <c r="C46" s="17" t="s">
        <v>183</v>
      </c>
      <c r="D46" s="24" t="s">
        <v>12</v>
      </c>
      <c r="E46" s="17"/>
      <c r="F46" s="17"/>
      <c r="G46" s="17"/>
      <c r="H46" s="17"/>
      <c r="I46" s="17"/>
      <c r="J46" s="17"/>
      <c r="K46" s="90"/>
      <c r="L46" s="17"/>
      <c r="M46" s="26" t="s">
        <v>43</v>
      </c>
      <c r="N46" s="17"/>
      <c r="O46" s="17"/>
    </row>
    <row r="47" ht="57.75" customHeight="1">
      <c r="A47" s="85" t="s">
        <v>3195</v>
      </c>
      <c r="B47" s="28" t="s">
        <v>189</v>
      </c>
      <c r="C47" s="28" t="s">
        <v>183</v>
      </c>
      <c r="D47" s="24" t="s">
        <v>12</v>
      </c>
      <c r="E47" s="28"/>
      <c r="F47" s="28"/>
      <c r="G47" s="28"/>
      <c r="H47" s="28"/>
      <c r="I47" s="28"/>
      <c r="J47" s="28"/>
      <c r="K47" s="91"/>
      <c r="L47" s="28"/>
      <c r="M47" s="26" t="s">
        <v>43</v>
      </c>
      <c r="N47" s="28"/>
      <c r="O47" s="28"/>
    </row>
    <row r="48" ht="57.75" customHeight="1">
      <c r="A48" s="85" t="s">
        <v>3196</v>
      </c>
      <c r="B48" s="17" t="s">
        <v>189</v>
      </c>
      <c r="C48" s="17" t="s">
        <v>183</v>
      </c>
      <c r="D48" s="24" t="s">
        <v>12</v>
      </c>
      <c r="E48" s="17"/>
      <c r="F48" s="17"/>
      <c r="G48" s="17"/>
      <c r="H48" s="17"/>
      <c r="I48" s="17"/>
      <c r="J48" s="17"/>
      <c r="K48" s="90"/>
      <c r="L48" s="17"/>
      <c r="M48" s="26" t="s">
        <v>43</v>
      </c>
      <c r="N48" s="17"/>
      <c r="O48" s="17"/>
    </row>
    <row r="49" ht="57.75" customHeight="1">
      <c r="A49" s="85" t="s">
        <v>3197</v>
      </c>
      <c r="B49" s="28" t="s">
        <v>189</v>
      </c>
      <c r="C49" s="28" t="s">
        <v>183</v>
      </c>
      <c r="D49" s="24" t="s">
        <v>12</v>
      </c>
      <c r="E49" s="28"/>
      <c r="F49" s="28"/>
      <c r="G49" s="28"/>
      <c r="H49" s="28"/>
      <c r="I49" s="28"/>
      <c r="J49" s="28"/>
      <c r="K49" s="91"/>
      <c r="L49" s="28"/>
      <c r="M49" s="26" t="s">
        <v>43</v>
      </c>
      <c r="N49" s="28"/>
      <c r="O49" s="28"/>
    </row>
    <row r="50" ht="57.75" customHeight="1">
      <c r="A50" s="85" t="s">
        <v>3198</v>
      </c>
      <c r="B50" s="17" t="s">
        <v>189</v>
      </c>
      <c r="C50" s="17" t="s">
        <v>183</v>
      </c>
      <c r="D50" s="24" t="s">
        <v>12</v>
      </c>
      <c r="E50" s="17"/>
      <c r="F50" s="17"/>
      <c r="G50" s="17"/>
      <c r="H50" s="17"/>
      <c r="I50" s="17"/>
      <c r="J50" s="17"/>
      <c r="K50" s="90"/>
      <c r="L50" s="17"/>
      <c r="M50" s="26" t="s">
        <v>43</v>
      </c>
      <c r="N50" s="17"/>
      <c r="O50" s="17"/>
    </row>
    <row r="51" ht="57.75" customHeight="1">
      <c r="A51" s="85" t="s">
        <v>3199</v>
      </c>
      <c r="B51" s="28" t="s">
        <v>189</v>
      </c>
      <c r="C51" s="28" t="s">
        <v>183</v>
      </c>
      <c r="D51" s="24" t="s">
        <v>12</v>
      </c>
      <c r="E51" s="28"/>
      <c r="F51" s="28"/>
      <c r="G51" s="28"/>
      <c r="H51" s="28"/>
      <c r="I51" s="28"/>
      <c r="J51" s="28"/>
      <c r="K51" s="91"/>
      <c r="L51" s="28"/>
      <c r="M51" s="26" t="s">
        <v>43</v>
      </c>
      <c r="N51" s="28"/>
      <c r="O51" s="28"/>
    </row>
    <row r="52" ht="57.75" customHeight="1">
      <c r="A52" s="85" t="s">
        <v>3200</v>
      </c>
      <c r="B52" s="17" t="s">
        <v>189</v>
      </c>
      <c r="C52" s="17" t="s">
        <v>183</v>
      </c>
      <c r="D52" s="24" t="s">
        <v>12</v>
      </c>
      <c r="E52" s="17"/>
      <c r="F52" s="17"/>
      <c r="G52" s="17"/>
      <c r="H52" s="17"/>
      <c r="I52" s="17"/>
      <c r="J52" s="17"/>
      <c r="K52" s="90"/>
      <c r="L52" s="17"/>
      <c r="M52" s="26" t="s">
        <v>43</v>
      </c>
      <c r="N52" s="17"/>
      <c r="O52" s="17"/>
    </row>
    <row r="53" ht="25.5" customHeight="1">
      <c r="A53" s="55" t="s">
        <v>3201</v>
      </c>
      <c r="B53" s="57"/>
      <c r="C53" s="57"/>
      <c r="D53" s="57"/>
      <c r="E53" s="57"/>
      <c r="F53" s="57"/>
      <c r="G53" s="57"/>
      <c r="H53" s="57"/>
      <c r="I53" s="57"/>
      <c r="J53" s="58"/>
      <c r="M53" s="94">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6" t="s">
        <v>2973</v>
      </c>
      <c r="B1" s="3"/>
      <c r="C1" s="3"/>
      <c r="D1" s="3"/>
      <c r="E1" s="3"/>
      <c r="F1" s="3"/>
      <c r="G1" s="3"/>
      <c r="H1" s="3"/>
      <c r="I1" s="3"/>
      <c r="J1" s="3"/>
      <c r="K1" s="3"/>
      <c r="L1" s="3"/>
      <c r="M1" s="3"/>
      <c r="N1" s="4"/>
    </row>
    <row r="2" ht="27.75" customHeight="1">
      <c r="A2" s="87" t="s">
        <v>2996</v>
      </c>
      <c r="B2" s="3"/>
      <c r="C2" s="3"/>
      <c r="D2" s="3"/>
      <c r="E2" s="3"/>
      <c r="F2" s="3"/>
      <c r="G2" s="3"/>
      <c r="H2" s="3"/>
      <c r="I2" s="3"/>
      <c r="J2" s="3"/>
      <c r="K2" s="3"/>
      <c r="L2" s="3"/>
      <c r="M2" s="3"/>
      <c r="N2" s="4"/>
    </row>
    <row r="3" ht="24.75" customHeight="1">
      <c r="A3" s="88" t="s">
        <v>8</v>
      </c>
      <c r="B3" s="88" t="s">
        <v>13</v>
      </c>
      <c r="C3" s="88" t="s">
        <v>15</v>
      </c>
      <c r="D3" s="88" t="s">
        <v>17</v>
      </c>
      <c r="E3" s="88" t="s">
        <v>18</v>
      </c>
      <c r="F3" s="88" t="s">
        <v>20</v>
      </c>
      <c r="G3" s="88" t="s">
        <v>21</v>
      </c>
      <c r="H3" s="88" t="s">
        <v>22</v>
      </c>
      <c r="I3" s="88" t="s">
        <v>23</v>
      </c>
      <c r="J3" s="88" t="s">
        <v>25</v>
      </c>
      <c r="K3" s="88" t="s">
        <v>26</v>
      </c>
      <c r="L3" s="88" t="s">
        <v>19</v>
      </c>
      <c r="M3" s="88" t="s">
        <v>27</v>
      </c>
      <c r="N3" s="88" t="s">
        <v>28</v>
      </c>
    </row>
    <row r="4" ht="19.5" customHeight="1">
      <c r="A4" s="13" t="s">
        <v>3028</v>
      </c>
      <c r="B4" s="3"/>
      <c r="C4" s="3"/>
      <c r="D4" s="3"/>
      <c r="E4" s="3"/>
      <c r="F4" s="3"/>
      <c r="G4" s="3"/>
      <c r="H4" s="3"/>
      <c r="I4" s="3"/>
      <c r="J4" s="3"/>
      <c r="K4" s="3"/>
      <c r="L4" s="3"/>
      <c r="M4" s="3"/>
      <c r="N4" s="4"/>
    </row>
    <row r="5" ht="60.0" customHeight="1">
      <c r="A5" s="89" t="s">
        <v>3038</v>
      </c>
      <c r="B5" s="17"/>
      <c r="C5" s="19" t="s">
        <v>9</v>
      </c>
      <c r="D5" s="17"/>
      <c r="E5" s="17"/>
      <c r="F5" s="17"/>
      <c r="G5" s="17"/>
      <c r="H5" s="17"/>
      <c r="I5" s="17"/>
      <c r="J5" s="90"/>
      <c r="K5" s="17"/>
      <c r="L5" s="26" t="s">
        <v>43</v>
      </c>
      <c r="M5" s="17"/>
      <c r="N5" s="17"/>
    </row>
    <row r="6" ht="60.0" customHeight="1">
      <c r="A6" s="89" t="s">
        <v>3053</v>
      </c>
      <c r="B6" s="28"/>
      <c r="C6" s="19" t="s">
        <v>9</v>
      </c>
      <c r="D6" s="28"/>
      <c r="E6" s="28"/>
      <c r="F6" s="28"/>
      <c r="G6" s="28"/>
      <c r="H6" s="28"/>
      <c r="I6" s="28"/>
      <c r="J6" s="91"/>
      <c r="K6" s="28"/>
      <c r="L6" s="26" t="s">
        <v>43</v>
      </c>
      <c r="M6" s="28"/>
      <c r="N6" s="28"/>
    </row>
    <row r="7" ht="60.0" customHeight="1">
      <c r="A7" s="89" t="s">
        <v>3061</v>
      </c>
      <c r="B7" s="17"/>
      <c r="C7" s="19" t="s">
        <v>9</v>
      </c>
      <c r="D7" s="17"/>
      <c r="E7" s="17"/>
      <c r="F7" s="17"/>
      <c r="G7" s="17"/>
      <c r="H7" s="17"/>
      <c r="I7" s="17"/>
      <c r="J7" s="90"/>
      <c r="K7" s="17"/>
      <c r="L7" s="26" t="s">
        <v>43</v>
      </c>
      <c r="M7" s="17"/>
      <c r="N7" s="17"/>
    </row>
    <row r="8" ht="60.0" customHeight="1">
      <c r="A8" s="89" t="s">
        <v>3065</v>
      </c>
      <c r="B8" s="28"/>
      <c r="C8" s="19" t="s">
        <v>9</v>
      </c>
      <c r="D8" s="28"/>
      <c r="E8" s="28"/>
      <c r="F8" s="28"/>
      <c r="G8" s="28"/>
      <c r="H8" s="28"/>
      <c r="I8" s="28"/>
      <c r="J8" s="91"/>
      <c r="K8" s="28"/>
      <c r="L8" s="26" t="s">
        <v>43</v>
      </c>
      <c r="M8" s="28"/>
      <c r="N8" s="28"/>
    </row>
    <row r="9" ht="60.0" customHeight="1">
      <c r="A9" s="89" t="s">
        <v>3069</v>
      </c>
      <c r="B9" s="17"/>
      <c r="C9" s="19" t="s">
        <v>9</v>
      </c>
      <c r="D9" s="17"/>
      <c r="E9" s="17"/>
      <c r="F9" s="17"/>
      <c r="G9" s="17"/>
      <c r="H9" s="17"/>
      <c r="I9" s="17"/>
      <c r="J9" s="90"/>
      <c r="K9" s="17"/>
      <c r="L9" s="26" t="s">
        <v>43</v>
      </c>
      <c r="M9" s="17"/>
      <c r="N9" s="17"/>
    </row>
    <row r="10" ht="60.0" customHeight="1">
      <c r="A10" s="89" t="s">
        <v>3070</v>
      </c>
      <c r="B10" s="28"/>
      <c r="C10" s="19" t="s">
        <v>9</v>
      </c>
      <c r="D10" s="28"/>
      <c r="E10" s="28"/>
      <c r="F10" s="28"/>
      <c r="G10" s="28"/>
      <c r="H10" s="28"/>
      <c r="I10" s="28"/>
      <c r="J10" s="91"/>
      <c r="K10" s="28"/>
      <c r="L10" s="26" t="s">
        <v>43</v>
      </c>
      <c r="M10" s="28"/>
      <c r="N10" s="28"/>
    </row>
    <row r="11" ht="19.5" customHeight="1">
      <c r="A11" s="46" t="s">
        <v>3075</v>
      </c>
      <c r="B11" s="3"/>
      <c r="C11" s="3"/>
      <c r="D11" s="3"/>
      <c r="E11" s="3"/>
      <c r="F11" s="3"/>
      <c r="G11" s="3"/>
      <c r="H11" s="3"/>
      <c r="I11" s="3"/>
      <c r="J11" s="3"/>
      <c r="K11" s="3"/>
      <c r="L11" s="3"/>
      <c r="M11" s="3"/>
      <c r="N11" s="4"/>
    </row>
    <row r="12" ht="60.0" customHeight="1">
      <c r="A12" s="89" t="s">
        <v>3084</v>
      </c>
      <c r="B12" s="17"/>
      <c r="C12" s="22" t="s">
        <v>11</v>
      </c>
      <c r="D12" s="17"/>
      <c r="E12" s="17"/>
      <c r="F12" s="17"/>
      <c r="G12" s="17"/>
      <c r="H12" s="17"/>
      <c r="I12" s="17"/>
      <c r="J12" s="90"/>
      <c r="K12" s="17"/>
      <c r="L12" s="26" t="s">
        <v>43</v>
      </c>
      <c r="M12" s="17"/>
      <c r="N12" s="17"/>
    </row>
    <row r="13" ht="60.0" customHeight="1">
      <c r="A13" s="89" t="s">
        <v>3090</v>
      </c>
      <c r="B13" s="28"/>
      <c r="C13" s="22" t="s">
        <v>11</v>
      </c>
      <c r="D13" s="28"/>
      <c r="E13" s="28"/>
      <c r="F13" s="28"/>
      <c r="G13" s="28"/>
      <c r="H13" s="28"/>
      <c r="I13" s="28"/>
      <c r="J13" s="91"/>
      <c r="K13" s="28"/>
      <c r="L13" s="26" t="s">
        <v>43</v>
      </c>
      <c r="M13" s="28"/>
      <c r="N13" s="28"/>
    </row>
    <row r="14" ht="60.0" customHeight="1">
      <c r="A14" s="89" t="s">
        <v>3095</v>
      </c>
      <c r="B14" s="17"/>
      <c r="C14" s="22" t="s">
        <v>11</v>
      </c>
      <c r="D14" s="17"/>
      <c r="E14" s="17"/>
      <c r="F14" s="17"/>
      <c r="G14" s="17"/>
      <c r="H14" s="17"/>
      <c r="I14" s="17"/>
      <c r="J14" s="90"/>
      <c r="K14" s="17"/>
      <c r="L14" s="26" t="s">
        <v>43</v>
      </c>
      <c r="M14" s="17"/>
      <c r="N14" s="17"/>
    </row>
    <row r="15" ht="60.0" customHeight="1">
      <c r="A15" s="89" t="s">
        <v>3099</v>
      </c>
      <c r="B15" s="28"/>
      <c r="C15" s="22" t="s">
        <v>11</v>
      </c>
      <c r="D15" s="28"/>
      <c r="E15" s="28"/>
      <c r="F15" s="28"/>
      <c r="G15" s="28"/>
      <c r="H15" s="28"/>
      <c r="I15" s="28"/>
      <c r="J15" s="91"/>
      <c r="K15" s="28"/>
      <c r="L15" s="26" t="s">
        <v>43</v>
      </c>
      <c r="M15" s="28"/>
      <c r="N15" s="28"/>
    </row>
    <row r="16" ht="60.0" customHeight="1">
      <c r="A16" s="89" t="s">
        <v>3103</v>
      </c>
      <c r="B16" s="17"/>
      <c r="C16" s="22" t="s">
        <v>11</v>
      </c>
      <c r="D16" s="17"/>
      <c r="E16" s="17"/>
      <c r="F16" s="17"/>
      <c r="G16" s="17"/>
      <c r="H16" s="17"/>
      <c r="I16" s="17"/>
      <c r="J16" s="90"/>
      <c r="K16" s="17"/>
      <c r="L16" s="26" t="s">
        <v>43</v>
      </c>
      <c r="M16" s="17"/>
      <c r="N16" s="17"/>
    </row>
    <row r="17" ht="60.0" customHeight="1">
      <c r="A17" s="89" t="s">
        <v>3110</v>
      </c>
      <c r="B17" s="28"/>
      <c r="C17" s="22" t="s">
        <v>11</v>
      </c>
      <c r="D17" s="28"/>
      <c r="E17" s="28"/>
      <c r="F17" s="28"/>
      <c r="G17" s="28"/>
      <c r="H17" s="28"/>
      <c r="I17" s="28"/>
      <c r="J17" s="91"/>
      <c r="K17" s="28"/>
      <c r="L17" s="26" t="s">
        <v>43</v>
      </c>
      <c r="M17" s="28"/>
      <c r="N17" s="28"/>
    </row>
    <row r="18" ht="60.0" customHeight="1">
      <c r="A18" s="89" t="s">
        <v>3114</v>
      </c>
      <c r="B18" s="17"/>
      <c r="C18" s="22" t="s">
        <v>11</v>
      </c>
      <c r="D18" s="17"/>
      <c r="E18" s="17"/>
      <c r="F18" s="17"/>
      <c r="G18" s="17"/>
      <c r="H18" s="17"/>
      <c r="I18" s="17"/>
      <c r="J18" s="90"/>
      <c r="K18" s="17"/>
      <c r="L18" s="26" t="s">
        <v>43</v>
      </c>
      <c r="M18" s="17"/>
      <c r="N18" s="17"/>
    </row>
    <row r="19" ht="60.0" customHeight="1">
      <c r="A19" s="89" t="s">
        <v>3118</v>
      </c>
      <c r="B19" s="28"/>
      <c r="C19" s="22" t="s">
        <v>11</v>
      </c>
      <c r="D19" s="28"/>
      <c r="E19" s="28"/>
      <c r="F19" s="28"/>
      <c r="G19" s="28"/>
      <c r="H19" s="28"/>
      <c r="I19" s="28"/>
      <c r="J19" s="91"/>
      <c r="K19" s="28"/>
      <c r="L19" s="26" t="s">
        <v>43</v>
      </c>
      <c r="M19" s="28"/>
      <c r="N19" s="28"/>
    </row>
    <row r="20" ht="19.5" customHeight="1">
      <c r="A20" s="63" t="s">
        <v>3122</v>
      </c>
      <c r="B20" s="3"/>
      <c r="C20" s="3"/>
      <c r="D20" s="3"/>
      <c r="E20" s="3"/>
      <c r="F20" s="3"/>
      <c r="G20" s="3"/>
      <c r="H20" s="3"/>
      <c r="I20" s="3"/>
      <c r="J20" s="3"/>
      <c r="K20" s="3"/>
      <c r="L20" s="3"/>
      <c r="M20" s="3"/>
      <c r="N20" s="4"/>
    </row>
    <row r="21" ht="60.0" customHeight="1">
      <c r="A21" s="89" t="s">
        <v>3127</v>
      </c>
      <c r="B21" s="17"/>
      <c r="C21" s="24" t="s">
        <v>12</v>
      </c>
      <c r="D21" s="17"/>
      <c r="E21" s="17"/>
      <c r="F21" s="17"/>
      <c r="G21" s="17"/>
      <c r="H21" s="17"/>
      <c r="I21" s="17"/>
      <c r="J21" s="90"/>
      <c r="K21" s="17"/>
      <c r="L21" s="26" t="s">
        <v>43</v>
      </c>
      <c r="M21" s="17"/>
      <c r="N21" s="17"/>
    </row>
    <row r="22" ht="60.0" customHeight="1">
      <c r="A22" s="89" t="s">
        <v>3133</v>
      </c>
      <c r="B22" s="28"/>
      <c r="C22" s="24" t="s">
        <v>12</v>
      </c>
      <c r="D22" s="28"/>
      <c r="E22" s="28"/>
      <c r="F22" s="28"/>
      <c r="G22" s="28"/>
      <c r="H22" s="28"/>
      <c r="I22" s="28"/>
      <c r="J22" s="91"/>
      <c r="K22" s="28"/>
      <c r="L22" s="26" t="s">
        <v>43</v>
      </c>
      <c r="M22" s="28"/>
      <c r="N22" s="28"/>
    </row>
    <row r="23" ht="60.0" customHeight="1">
      <c r="A23" s="89" t="s">
        <v>3140</v>
      </c>
      <c r="B23" s="17"/>
      <c r="C23" s="24" t="s">
        <v>12</v>
      </c>
      <c r="D23" s="17"/>
      <c r="E23" s="17"/>
      <c r="F23" s="17"/>
      <c r="G23" s="17"/>
      <c r="H23" s="17"/>
      <c r="I23" s="17"/>
      <c r="J23" s="90"/>
      <c r="K23" s="17"/>
      <c r="L23" s="26" t="s">
        <v>43</v>
      </c>
      <c r="M23" s="17"/>
      <c r="N23" s="17"/>
    </row>
    <row r="24" ht="60.0" customHeight="1">
      <c r="A24" s="89" t="s">
        <v>3144</v>
      </c>
      <c r="B24" s="28"/>
      <c r="C24" s="24" t="s">
        <v>12</v>
      </c>
      <c r="D24" s="28"/>
      <c r="E24" s="28"/>
      <c r="F24" s="28"/>
      <c r="G24" s="28"/>
      <c r="H24" s="28"/>
      <c r="I24" s="28"/>
      <c r="J24" s="91"/>
      <c r="K24" s="28"/>
      <c r="L24" s="26" t="s">
        <v>43</v>
      </c>
      <c r="M24" s="28"/>
      <c r="N24" s="28"/>
    </row>
    <row r="25" ht="60.0" customHeight="1">
      <c r="A25" s="89" t="s">
        <v>3149</v>
      </c>
      <c r="B25" s="17"/>
      <c r="C25" s="24" t="s">
        <v>12</v>
      </c>
      <c r="D25" s="17"/>
      <c r="E25" s="17"/>
      <c r="F25" s="17"/>
      <c r="G25" s="17"/>
      <c r="H25" s="17"/>
      <c r="I25" s="17"/>
      <c r="J25" s="90"/>
      <c r="K25" s="17"/>
      <c r="L25" s="26" t="s">
        <v>43</v>
      </c>
      <c r="M25" s="17"/>
      <c r="N25" s="17"/>
    </row>
    <row r="26" ht="60.0" customHeight="1">
      <c r="A26" s="89" t="s">
        <v>3153</v>
      </c>
      <c r="B26" s="28"/>
      <c r="C26" s="24" t="s">
        <v>12</v>
      </c>
      <c r="D26" s="28"/>
      <c r="E26" s="28"/>
      <c r="F26" s="28"/>
      <c r="G26" s="28"/>
      <c r="H26" s="28"/>
      <c r="I26" s="28"/>
      <c r="J26" s="91"/>
      <c r="K26" s="28"/>
      <c r="L26" s="26" t="s">
        <v>43</v>
      </c>
      <c r="M26" s="28"/>
      <c r="N26" s="28"/>
    </row>
    <row r="27" ht="25.5" customHeight="1">
      <c r="A27" s="55" t="s">
        <v>3159</v>
      </c>
      <c r="B27" s="57"/>
      <c r="C27" s="57"/>
      <c r="D27" s="57"/>
      <c r="E27" s="57"/>
      <c r="F27" s="57"/>
      <c r="G27" s="57"/>
      <c r="H27" s="57"/>
      <c r="I27" s="58"/>
      <c r="L27" s="93">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6" t="s">
        <v>3202</v>
      </c>
      <c r="B1" s="3"/>
      <c r="C1" s="3"/>
      <c r="D1" s="3"/>
      <c r="E1" s="3"/>
      <c r="F1" s="3"/>
      <c r="G1" s="3"/>
      <c r="H1" s="3"/>
      <c r="I1" s="3"/>
      <c r="J1" s="3"/>
      <c r="K1" s="3"/>
      <c r="L1" s="3"/>
      <c r="M1" s="3"/>
      <c r="N1" s="4"/>
    </row>
    <row r="2" ht="27.75" customHeight="1">
      <c r="A2" s="68" t="s">
        <v>3203</v>
      </c>
      <c r="B2" s="3"/>
      <c r="C2" s="3"/>
      <c r="D2" s="3"/>
      <c r="E2" s="3"/>
      <c r="F2" s="3"/>
      <c r="G2" s="3"/>
      <c r="H2" s="3"/>
      <c r="I2" s="3"/>
      <c r="J2" s="3"/>
      <c r="K2" s="3"/>
      <c r="L2" s="3"/>
      <c r="M2" s="3"/>
      <c r="N2" s="4"/>
    </row>
    <row r="3" ht="24.75" customHeight="1">
      <c r="A3" s="9" t="s">
        <v>8</v>
      </c>
      <c r="B3" s="9" t="s">
        <v>13</v>
      </c>
      <c r="C3" s="9" t="s">
        <v>15</v>
      </c>
      <c r="D3" s="9" t="s">
        <v>17</v>
      </c>
      <c r="E3" s="9" t="s">
        <v>18</v>
      </c>
      <c r="F3" s="9" t="s">
        <v>20</v>
      </c>
      <c r="G3" s="9" t="s">
        <v>21</v>
      </c>
      <c r="H3" s="9" t="s">
        <v>22</v>
      </c>
      <c r="I3" s="9" t="s">
        <v>23</v>
      </c>
      <c r="J3" s="9" t="s">
        <v>25</v>
      </c>
      <c r="K3" s="9" t="s">
        <v>26</v>
      </c>
      <c r="L3" s="9" t="s">
        <v>19</v>
      </c>
      <c r="M3" s="9" t="s">
        <v>27</v>
      </c>
      <c r="N3" s="9" t="s">
        <v>28</v>
      </c>
    </row>
    <row r="4" ht="19.5" customHeight="1">
      <c r="A4" s="13" t="s">
        <v>3028</v>
      </c>
      <c r="B4" s="3"/>
      <c r="C4" s="3"/>
      <c r="D4" s="3"/>
      <c r="E4" s="3"/>
      <c r="F4" s="3"/>
      <c r="G4" s="3"/>
      <c r="H4" s="3"/>
      <c r="I4" s="3"/>
      <c r="J4" s="3"/>
      <c r="K4" s="3"/>
      <c r="L4" s="3"/>
      <c r="M4" s="3"/>
      <c r="N4" s="4"/>
    </row>
    <row r="5" ht="60.0" customHeight="1">
      <c r="A5" s="95" t="s">
        <v>3205</v>
      </c>
      <c r="B5" s="17"/>
      <c r="C5" s="19" t="s">
        <v>9</v>
      </c>
      <c r="D5" s="17"/>
      <c r="E5" s="17"/>
      <c r="F5" s="17"/>
      <c r="G5" s="17"/>
      <c r="H5" s="17"/>
      <c r="I5" s="17"/>
      <c r="J5" s="90"/>
      <c r="K5" s="17"/>
      <c r="L5" s="26" t="s">
        <v>43</v>
      </c>
      <c r="M5" s="17"/>
      <c r="N5" s="17"/>
    </row>
    <row r="6" ht="60.0" customHeight="1">
      <c r="A6" s="95" t="s">
        <v>3207</v>
      </c>
      <c r="B6" s="28"/>
      <c r="C6" s="19" t="s">
        <v>9</v>
      </c>
      <c r="D6" s="28"/>
      <c r="E6" s="28"/>
      <c r="F6" s="28"/>
      <c r="G6" s="28"/>
      <c r="H6" s="28"/>
      <c r="I6" s="28"/>
      <c r="J6" s="91"/>
      <c r="K6" s="28"/>
      <c r="L6" s="26" t="s">
        <v>43</v>
      </c>
      <c r="M6" s="28"/>
      <c r="N6" s="28"/>
    </row>
    <row r="7" ht="60.0" customHeight="1">
      <c r="A7" s="95" t="s">
        <v>3208</v>
      </c>
      <c r="B7" s="17"/>
      <c r="C7" s="19" t="s">
        <v>9</v>
      </c>
      <c r="D7" s="17"/>
      <c r="E7" s="17"/>
      <c r="F7" s="17"/>
      <c r="G7" s="17"/>
      <c r="H7" s="17"/>
      <c r="I7" s="17"/>
      <c r="J7" s="90"/>
      <c r="K7" s="17"/>
      <c r="L7" s="26" t="s">
        <v>43</v>
      </c>
      <c r="M7" s="17"/>
      <c r="N7" s="17"/>
    </row>
    <row r="8" ht="60.0" customHeight="1">
      <c r="A8" s="95" t="s">
        <v>3209</v>
      </c>
      <c r="B8" s="28"/>
      <c r="C8" s="19" t="s">
        <v>9</v>
      </c>
      <c r="D8" s="28"/>
      <c r="E8" s="28"/>
      <c r="F8" s="28"/>
      <c r="G8" s="28"/>
      <c r="H8" s="28"/>
      <c r="I8" s="28"/>
      <c r="J8" s="91"/>
      <c r="K8" s="28"/>
      <c r="L8" s="26" t="s">
        <v>43</v>
      </c>
      <c r="M8" s="28"/>
      <c r="N8" s="28"/>
    </row>
    <row r="9" ht="60.0" customHeight="1">
      <c r="A9" s="95" t="s">
        <v>3210</v>
      </c>
      <c r="B9" s="17"/>
      <c r="C9" s="19" t="s">
        <v>9</v>
      </c>
      <c r="D9" s="17"/>
      <c r="E9" s="17"/>
      <c r="F9" s="17"/>
      <c r="G9" s="17"/>
      <c r="H9" s="17"/>
      <c r="I9" s="17"/>
      <c r="J9" s="90"/>
      <c r="K9" s="17"/>
      <c r="L9" s="26" t="s">
        <v>43</v>
      </c>
      <c r="M9" s="17"/>
      <c r="N9" s="17"/>
    </row>
    <row r="10" ht="60.0" customHeight="1">
      <c r="A10" s="95" t="s">
        <v>3212</v>
      </c>
      <c r="B10" s="28"/>
      <c r="C10" s="19" t="s">
        <v>9</v>
      </c>
      <c r="D10" s="28"/>
      <c r="E10" s="28"/>
      <c r="F10" s="28"/>
      <c r="G10" s="28"/>
      <c r="H10" s="28"/>
      <c r="I10" s="28"/>
      <c r="J10" s="91"/>
      <c r="K10" s="28"/>
      <c r="L10" s="26" t="s">
        <v>43</v>
      </c>
      <c r="M10" s="28"/>
      <c r="N10" s="28"/>
    </row>
    <row r="11" ht="19.5" customHeight="1">
      <c r="A11" s="46" t="s">
        <v>3075</v>
      </c>
      <c r="B11" s="3"/>
      <c r="C11" s="3"/>
      <c r="D11" s="3"/>
      <c r="E11" s="3"/>
      <c r="F11" s="3"/>
      <c r="G11" s="3"/>
      <c r="H11" s="3"/>
      <c r="I11" s="3"/>
      <c r="J11" s="3"/>
      <c r="K11" s="3"/>
      <c r="L11" s="3"/>
      <c r="M11" s="3"/>
      <c r="N11" s="4"/>
    </row>
    <row r="12" ht="60.0" customHeight="1">
      <c r="A12" s="95" t="s">
        <v>3214</v>
      </c>
      <c r="B12" s="17"/>
      <c r="C12" s="22" t="s">
        <v>11</v>
      </c>
      <c r="D12" s="17"/>
      <c r="E12" s="17"/>
      <c r="F12" s="17"/>
      <c r="G12" s="17"/>
      <c r="H12" s="17"/>
      <c r="I12" s="17"/>
      <c r="J12" s="90"/>
      <c r="K12" s="17"/>
      <c r="L12" s="26" t="s">
        <v>43</v>
      </c>
      <c r="M12" s="17"/>
      <c r="N12" s="17"/>
    </row>
    <row r="13" ht="60.0" customHeight="1">
      <c r="A13" s="95" t="s">
        <v>3215</v>
      </c>
      <c r="B13" s="28"/>
      <c r="C13" s="22" t="s">
        <v>11</v>
      </c>
      <c r="D13" s="28"/>
      <c r="E13" s="28"/>
      <c r="F13" s="28"/>
      <c r="G13" s="28"/>
      <c r="H13" s="28"/>
      <c r="I13" s="28"/>
      <c r="J13" s="91"/>
      <c r="K13" s="28"/>
      <c r="L13" s="26" t="s">
        <v>43</v>
      </c>
      <c r="M13" s="28"/>
      <c r="N13" s="28"/>
    </row>
    <row r="14" ht="60.0" customHeight="1">
      <c r="A14" s="95" t="s">
        <v>3217</v>
      </c>
      <c r="B14" s="17"/>
      <c r="C14" s="22" t="s">
        <v>11</v>
      </c>
      <c r="D14" s="17"/>
      <c r="E14" s="17"/>
      <c r="F14" s="17"/>
      <c r="G14" s="17"/>
      <c r="H14" s="17"/>
      <c r="I14" s="17"/>
      <c r="J14" s="90"/>
      <c r="K14" s="17"/>
      <c r="L14" s="26" t="s">
        <v>43</v>
      </c>
      <c r="M14" s="17"/>
      <c r="N14" s="17"/>
    </row>
    <row r="15" ht="60.0" customHeight="1">
      <c r="A15" s="95" t="s">
        <v>3219</v>
      </c>
      <c r="B15" s="28"/>
      <c r="C15" s="22" t="s">
        <v>11</v>
      </c>
      <c r="D15" s="28"/>
      <c r="E15" s="28"/>
      <c r="F15" s="28"/>
      <c r="G15" s="28"/>
      <c r="H15" s="28"/>
      <c r="I15" s="28"/>
      <c r="J15" s="91"/>
      <c r="K15" s="28"/>
      <c r="L15" s="26" t="s">
        <v>43</v>
      </c>
      <c r="M15" s="28"/>
      <c r="N15" s="28"/>
    </row>
    <row r="16" ht="60.0" customHeight="1">
      <c r="A16" s="95" t="s">
        <v>3221</v>
      </c>
      <c r="B16" s="17"/>
      <c r="C16" s="22" t="s">
        <v>11</v>
      </c>
      <c r="D16" s="17"/>
      <c r="E16" s="17"/>
      <c r="F16" s="17"/>
      <c r="G16" s="17"/>
      <c r="H16" s="17"/>
      <c r="I16" s="17"/>
      <c r="J16" s="90"/>
      <c r="K16" s="17"/>
      <c r="L16" s="26" t="s">
        <v>43</v>
      </c>
      <c r="M16" s="17"/>
      <c r="N16" s="17"/>
    </row>
    <row r="17" ht="60.0" customHeight="1">
      <c r="A17" s="95" t="s">
        <v>3223</v>
      </c>
      <c r="B17" s="28"/>
      <c r="C17" s="22" t="s">
        <v>11</v>
      </c>
      <c r="D17" s="28"/>
      <c r="E17" s="28"/>
      <c r="F17" s="28"/>
      <c r="G17" s="28"/>
      <c r="H17" s="28"/>
      <c r="I17" s="28"/>
      <c r="J17" s="91"/>
      <c r="K17" s="28"/>
      <c r="L17" s="26" t="s">
        <v>43</v>
      </c>
      <c r="M17" s="28"/>
      <c r="N17" s="28"/>
    </row>
    <row r="18" ht="60.0" customHeight="1">
      <c r="A18" s="95" t="s">
        <v>3224</v>
      </c>
      <c r="B18" s="17"/>
      <c r="C18" s="22" t="s">
        <v>11</v>
      </c>
      <c r="D18" s="17"/>
      <c r="E18" s="17"/>
      <c r="F18" s="17"/>
      <c r="G18" s="17"/>
      <c r="H18" s="17"/>
      <c r="I18" s="17"/>
      <c r="J18" s="90"/>
      <c r="K18" s="17"/>
      <c r="L18" s="26" t="s">
        <v>43</v>
      </c>
      <c r="M18" s="17"/>
      <c r="N18" s="17"/>
    </row>
    <row r="19" ht="60.0" customHeight="1">
      <c r="A19" s="95" t="s">
        <v>3225</v>
      </c>
      <c r="B19" s="28"/>
      <c r="C19" s="22" t="s">
        <v>11</v>
      </c>
      <c r="D19" s="28"/>
      <c r="E19" s="28"/>
      <c r="F19" s="28"/>
      <c r="G19" s="28"/>
      <c r="H19" s="28"/>
      <c r="I19" s="28"/>
      <c r="J19" s="91"/>
      <c r="K19" s="28"/>
      <c r="L19" s="26" t="s">
        <v>43</v>
      </c>
      <c r="M19" s="28"/>
      <c r="N19" s="28"/>
    </row>
    <row r="20" ht="19.5" customHeight="1">
      <c r="A20" s="63" t="s">
        <v>3122</v>
      </c>
      <c r="B20" s="3"/>
      <c r="C20" s="3"/>
      <c r="D20" s="3"/>
      <c r="E20" s="3"/>
      <c r="F20" s="3"/>
      <c r="G20" s="3"/>
      <c r="H20" s="3"/>
      <c r="I20" s="3"/>
      <c r="J20" s="3"/>
      <c r="K20" s="3"/>
      <c r="L20" s="3"/>
      <c r="M20" s="3"/>
      <c r="N20" s="4"/>
    </row>
    <row r="21" ht="60.0" customHeight="1">
      <c r="A21" s="95" t="s">
        <v>3227</v>
      </c>
      <c r="B21" s="17"/>
      <c r="C21" s="24" t="s">
        <v>12</v>
      </c>
      <c r="D21" s="17"/>
      <c r="E21" s="17"/>
      <c r="F21" s="17"/>
      <c r="G21" s="17"/>
      <c r="H21" s="17"/>
      <c r="I21" s="17"/>
      <c r="J21" s="90"/>
      <c r="K21" s="17"/>
      <c r="L21" s="26" t="s">
        <v>43</v>
      </c>
      <c r="M21" s="17"/>
      <c r="N21" s="17"/>
    </row>
    <row r="22" ht="60.0" customHeight="1">
      <c r="A22" s="95" t="s">
        <v>3229</v>
      </c>
      <c r="B22" s="28"/>
      <c r="C22" s="24" t="s">
        <v>12</v>
      </c>
      <c r="D22" s="28"/>
      <c r="E22" s="28"/>
      <c r="F22" s="28"/>
      <c r="G22" s="28"/>
      <c r="H22" s="28"/>
      <c r="I22" s="28"/>
      <c r="J22" s="91"/>
      <c r="K22" s="28"/>
      <c r="L22" s="26" t="s">
        <v>43</v>
      </c>
      <c r="M22" s="28"/>
      <c r="N22" s="28"/>
    </row>
    <row r="23" ht="60.0" customHeight="1">
      <c r="A23" s="95" t="s">
        <v>3231</v>
      </c>
      <c r="B23" s="17"/>
      <c r="C23" s="24" t="s">
        <v>12</v>
      </c>
      <c r="D23" s="17"/>
      <c r="E23" s="17"/>
      <c r="F23" s="17"/>
      <c r="G23" s="17"/>
      <c r="H23" s="17"/>
      <c r="I23" s="17"/>
      <c r="J23" s="90"/>
      <c r="K23" s="17"/>
      <c r="L23" s="26" t="s">
        <v>43</v>
      </c>
      <c r="M23" s="17"/>
      <c r="N23" s="17"/>
    </row>
    <row r="24" ht="60.0" customHeight="1">
      <c r="A24" s="95" t="s">
        <v>3233</v>
      </c>
      <c r="B24" s="28"/>
      <c r="C24" s="24" t="s">
        <v>12</v>
      </c>
      <c r="D24" s="28"/>
      <c r="E24" s="28"/>
      <c r="F24" s="28"/>
      <c r="G24" s="28"/>
      <c r="H24" s="28"/>
      <c r="I24" s="28"/>
      <c r="J24" s="91"/>
      <c r="K24" s="28"/>
      <c r="L24" s="26" t="s">
        <v>43</v>
      </c>
      <c r="M24" s="28"/>
      <c r="N24" s="28"/>
    </row>
    <row r="25" ht="60.0" customHeight="1">
      <c r="A25" s="95" t="s">
        <v>3234</v>
      </c>
      <c r="B25" s="17"/>
      <c r="C25" s="24" t="s">
        <v>12</v>
      </c>
      <c r="D25" s="17"/>
      <c r="E25" s="17"/>
      <c r="F25" s="17"/>
      <c r="G25" s="17"/>
      <c r="H25" s="17"/>
      <c r="I25" s="17"/>
      <c r="J25" s="90"/>
      <c r="K25" s="17"/>
      <c r="L25" s="26" t="s">
        <v>43</v>
      </c>
      <c r="M25" s="17"/>
      <c r="N25" s="17"/>
    </row>
    <row r="26" ht="60.0" customHeight="1">
      <c r="A26" s="95" t="s">
        <v>3236</v>
      </c>
      <c r="B26" s="28"/>
      <c r="C26" s="24" t="s">
        <v>12</v>
      </c>
      <c r="D26" s="28"/>
      <c r="E26" s="28"/>
      <c r="F26" s="28"/>
      <c r="G26" s="28"/>
      <c r="H26" s="28"/>
      <c r="I26" s="28"/>
      <c r="J26" s="91"/>
      <c r="K26" s="28"/>
      <c r="L26" s="26" t="s">
        <v>43</v>
      </c>
      <c r="M26" s="28"/>
      <c r="N26" s="28"/>
    </row>
    <row r="27" ht="25.5" customHeight="1">
      <c r="A27" s="55" t="s">
        <v>3238</v>
      </c>
      <c r="B27" s="57"/>
      <c r="C27" s="57"/>
      <c r="D27" s="57"/>
      <c r="E27" s="57"/>
      <c r="F27" s="57"/>
      <c r="G27" s="57"/>
      <c r="H27" s="57"/>
      <c r="I27" s="58"/>
      <c r="L27" s="97">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6" t="s">
        <v>3204</v>
      </c>
      <c r="B1" s="3"/>
      <c r="C1" s="3"/>
      <c r="D1" s="3"/>
      <c r="E1" s="3"/>
      <c r="F1" s="3"/>
      <c r="G1" s="3"/>
      <c r="H1" s="3"/>
      <c r="I1" s="3"/>
      <c r="J1" s="3"/>
      <c r="K1" s="3"/>
      <c r="L1" s="3"/>
      <c r="M1" s="3"/>
      <c r="N1" s="4"/>
    </row>
    <row r="2" ht="27.75" customHeight="1">
      <c r="A2" s="77" t="s">
        <v>3206</v>
      </c>
      <c r="B2" s="3"/>
      <c r="C2" s="3"/>
      <c r="D2" s="3"/>
      <c r="E2" s="3"/>
      <c r="F2" s="3"/>
      <c r="G2" s="3"/>
      <c r="H2" s="3"/>
      <c r="I2" s="3"/>
      <c r="J2" s="3"/>
      <c r="K2" s="3"/>
      <c r="L2" s="3"/>
      <c r="M2" s="3"/>
      <c r="N2" s="4"/>
    </row>
    <row r="3" ht="24.75" customHeight="1">
      <c r="A3" s="96" t="s">
        <v>8</v>
      </c>
      <c r="B3" s="96" t="s">
        <v>13</v>
      </c>
      <c r="C3" s="96" t="s">
        <v>15</v>
      </c>
      <c r="D3" s="96" t="s">
        <v>17</v>
      </c>
      <c r="E3" s="96" t="s">
        <v>18</v>
      </c>
      <c r="F3" s="96" t="s">
        <v>20</v>
      </c>
      <c r="G3" s="96" t="s">
        <v>21</v>
      </c>
      <c r="H3" s="96" t="s">
        <v>22</v>
      </c>
      <c r="I3" s="96" t="s">
        <v>23</v>
      </c>
      <c r="J3" s="96" t="s">
        <v>25</v>
      </c>
      <c r="K3" s="96" t="s">
        <v>26</v>
      </c>
      <c r="L3" s="96" t="s">
        <v>19</v>
      </c>
      <c r="M3" s="96" t="s">
        <v>27</v>
      </c>
      <c r="N3" s="96" t="s">
        <v>28</v>
      </c>
    </row>
    <row r="4" ht="19.5" customHeight="1">
      <c r="A4" s="13" t="s">
        <v>3028</v>
      </c>
      <c r="B4" s="3"/>
      <c r="C4" s="3"/>
      <c r="D4" s="3"/>
      <c r="E4" s="3"/>
      <c r="F4" s="3"/>
      <c r="G4" s="3"/>
      <c r="H4" s="3"/>
      <c r="I4" s="3"/>
      <c r="J4" s="3"/>
      <c r="K4" s="3"/>
      <c r="L4" s="3"/>
      <c r="M4" s="3"/>
      <c r="N4" s="4"/>
    </row>
    <row r="5" ht="60.0" customHeight="1">
      <c r="A5" s="78" t="s">
        <v>3211</v>
      </c>
      <c r="B5" s="17"/>
      <c r="C5" s="19" t="s">
        <v>9</v>
      </c>
      <c r="D5" s="17"/>
      <c r="E5" s="17"/>
      <c r="F5" s="17"/>
      <c r="G5" s="17"/>
      <c r="H5" s="17"/>
      <c r="I5" s="17"/>
      <c r="J5" s="90"/>
      <c r="K5" s="17"/>
      <c r="L5" s="26" t="s">
        <v>43</v>
      </c>
      <c r="M5" s="17"/>
      <c r="N5" s="17"/>
    </row>
    <row r="6" ht="60.0" customHeight="1">
      <c r="A6" s="78" t="s">
        <v>3213</v>
      </c>
      <c r="B6" s="28"/>
      <c r="C6" s="19" t="s">
        <v>9</v>
      </c>
      <c r="D6" s="28"/>
      <c r="E6" s="28"/>
      <c r="F6" s="28"/>
      <c r="G6" s="28"/>
      <c r="H6" s="28"/>
      <c r="I6" s="28"/>
      <c r="J6" s="91"/>
      <c r="K6" s="28"/>
      <c r="L6" s="26" t="s">
        <v>43</v>
      </c>
      <c r="M6" s="28"/>
      <c r="N6" s="28"/>
    </row>
    <row r="7" ht="60.0" customHeight="1">
      <c r="A7" s="78" t="s">
        <v>3216</v>
      </c>
      <c r="B7" s="17"/>
      <c r="C7" s="19" t="s">
        <v>9</v>
      </c>
      <c r="D7" s="17"/>
      <c r="E7" s="17"/>
      <c r="F7" s="17"/>
      <c r="G7" s="17"/>
      <c r="H7" s="17"/>
      <c r="I7" s="17"/>
      <c r="J7" s="90"/>
      <c r="K7" s="17"/>
      <c r="L7" s="26" t="s">
        <v>43</v>
      </c>
      <c r="M7" s="17"/>
      <c r="N7" s="17"/>
    </row>
    <row r="8" ht="60.0" customHeight="1">
      <c r="A8" s="78" t="s">
        <v>3218</v>
      </c>
      <c r="B8" s="28"/>
      <c r="C8" s="19" t="s">
        <v>9</v>
      </c>
      <c r="D8" s="28"/>
      <c r="E8" s="28"/>
      <c r="F8" s="28"/>
      <c r="G8" s="28"/>
      <c r="H8" s="28"/>
      <c r="I8" s="28"/>
      <c r="J8" s="91"/>
      <c r="K8" s="28"/>
      <c r="L8" s="26" t="s">
        <v>43</v>
      </c>
      <c r="M8" s="28"/>
      <c r="N8" s="28"/>
    </row>
    <row r="9" ht="60.0" customHeight="1">
      <c r="A9" s="78" t="s">
        <v>3220</v>
      </c>
      <c r="B9" s="17"/>
      <c r="C9" s="19" t="s">
        <v>9</v>
      </c>
      <c r="D9" s="17"/>
      <c r="E9" s="17"/>
      <c r="F9" s="17"/>
      <c r="G9" s="17"/>
      <c r="H9" s="17"/>
      <c r="I9" s="17"/>
      <c r="J9" s="90"/>
      <c r="K9" s="17"/>
      <c r="L9" s="26" t="s">
        <v>43</v>
      </c>
      <c r="M9" s="17"/>
      <c r="N9" s="17"/>
    </row>
    <row r="10" ht="60.0" customHeight="1">
      <c r="A10" s="78" t="s">
        <v>3222</v>
      </c>
      <c r="B10" s="28"/>
      <c r="C10" s="19" t="s">
        <v>9</v>
      </c>
      <c r="D10" s="28"/>
      <c r="E10" s="28"/>
      <c r="F10" s="28"/>
      <c r="G10" s="28"/>
      <c r="H10" s="28"/>
      <c r="I10" s="28"/>
      <c r="J10" s="91"/>
      <c r="K10" s="28"/>
      <c r="L10" s="26" t="s">
        <v>43</v>
      </c>
      <c r="M10" s="28"/>
      <c r="N10" s="28"/>
    </row>
    <row r="11" ht="19.5" customHeight="1">
      <c r="A11" s="46" t="s">
        <v>3075</v>
      </c>
      <c r="B11" s="3"/>
      <c r="C11" s="3"/>
      <c r="D11" s="3"/>
      <c r="E11" s="3"/>
      <c r="F11" s="3"/>
      <c r="G11" s="3"/>
      <c r="H11" s="3"/>
      <c r="I11" s="3"/>
      <c r="J11" s="3"/>
      <c r="K11" s="3"/>
      <c r="L11" s="3"/>
      <c r="M11" s="3"/>
      <c r="N11" s="4"/>
    </row>
    <row r="12" ht="60.0" customHeight="1">
      <c r="A12" s="78" t="s">
        <v>3226</v>
      </c>
      <c r="B12" s="17"/>
      <c r="C12" s="22" t="s">
        <v>11</v>
      </c>
      <c r="D12" s="17"/>
      <c r="E12" s="17"/>
      <c r="F12" s="17"/>
      <c r="G12" s="17"/>
      <c r="H12" s="17"/>
      <c r="I12" s="17"/>
      <c r="J12" s="90"/>
      <c r="K12" s="17"/>
      <c r="L12" s="26" t="s">
        <v>43</v>
      </c>
      <c r="M12" s="17"/>
      <c r="N12" s="17"/>
    </row>
    <row r="13" ht="60.0" customHeight="1">
      <c r="A13" s="78" t="s">
        <v>3228</v>
      </c>
      <c r="B13" s="28"/>
      <c r="C13" s="22" t="s">
        <v>11</v>
      </c>
      <c r="D13" s="28"/>
      <c r="E13" s="28"/>
      <c r="F13" s="28"/>
      <c r="G13" s="28"/>
      <c r="H13" s="28"/>
      <c r="I13" s="28"/>
      <c r="J13" s="91"/>
      <c r="K13" s="28"/>
      <c r="L13" s="26" t="s">
        <v>43</v>
      </c>
      <c r="M13" s="28"/>
      <c r="N13" s="28"/>
    </row>
    <row r="14" ht="60.0" customHeight="1">
      <c r="A14" s="78" t="s">
        <v>3230</v>
      </c>
      <c r="B14" s="17"/>
      <c r="C14" s="22" t="s">
        <v>11</v>
      </c>
      <c r="D14" s="17"/>
      <c r="E14" s="17"/>
      <c r="F14" s="17"/>
      <c r="G14" s="17"/>
      <c r="H14" s="17"/>
      <c r="I14" s="17"/>
      <c r="J14" s="90"/>
      <c r="K14" s="17"/>
      <c r="L14" s="26" t="s">
        <v>43</v>
      </c>
      <c r="M14" s="17"/>
      <c r="N14" s="17"/>
    </row>
    <row r="15" ht="60.0" customHeight="1">
      <c r="A15" s="78" t="s">
        <v>3232</v>
      </c>
      <c r="B15" s="28"/>
      <c r="C15" s="22" t="s">
        <v>11</v>
      </c>
      <c r="D15" s="28"/>
      <c r="E15" s="28"/>
      <c r="F15" s="28"/>
      <c r="G15" s="28"/>
      <c r="H15" s="28"/>
      <c r="I15" s="28"/>
      <c r="J15" s="91"/>
      <c r="K15" s="28"/>
      <c r="L15" s="26" t="s">
        <v>43</v>
      </c>
      <c r="M15" s="28"/>
      <c r="N15" s="28"/>
    </row>
    <row r="16" ht="60.0" customHeight="1">
      <c r="A16" s="78" t="s">
        <v>3235</v>
      </c>
      <c r="B16" s="17"/>
      <c r="C16" s="22" t="s">
        <v>11</v>
      </c>
      <c r="D16" s="17"/>
      <c r="E16" s="17"/>
      <c r="F16" s="17"/>
      <c r="G16" s="17"/>
      <c r="H16" s="17"/>
      <c r="I16" s="17"/>
      <c r="J16" s="90"/>
      <c r="K16" s="17"/>
      <c r="L16" s="26" t="s">
        <v>43</v>
      </c>
      <c r="M16" s="17"/>
      <c r="N16" s="17"/>
    </row>
    <row r="17" ht="60.0" customHeight="1">
      <c r="A17" s="78" t="s">
        <v>3237</v>
      </c>
      <c r="B17" s="28"/>
      <c r="C17" s="22" t="s">
        <v>11</v>
      </c>
      <c r="D17" s="28"/>
      <c r="E17" s="28"/>
      <c r="F17" s="28"/>
      <c r="G17" s="28"/>
      <c r="H17" s="28"/>
      <c r="I17" s="28"/>
      <c r="J17" s="91"/>
      <c r="K17" s="28"/>
      <c r="L17" s="26" t="s">
        <v>43</v>
      </c>
      <c r="M17" s="28"/>
      <c r="N17" s="28"/>
    </row>
    <row r="18" ht="60.0" customHeight="1">
      <c r="A18" s="78" t="s">
        <v>3239</v>
      </c>
      <c r="B18" s="17"/>
      <c r="C18" s="22" t="s">
        <v>11</v>
      </c>
      <c r="D18" s="17"/>
      <c r="E18" s="17"/>
      <c r="F18" s="17"/>
      <c r="G18" s="17"/>
      <c r="H18" s="17"/>
      <c r="I18" s="17"/>
      <c r="J18" s="90"/>
      <c r="K18" s="17"/>
      <c r="L18" s="26" t="s">
        <v>43</v>
      </c>
      <c r="M18" s="17"/>
      <c r="N18" s="17"/>
    </row>
    <row r="19" ht="60.0" customHeight="1">
      <c r="A19" s="78" t="s">
        <v>3240</v>
      </c>
      <c r="B19" s="28"/>
      <c r="C19" s="22" t="s">
        <v>11</v>
      </c>
      <c r="D19" s="28"/>
      <c r="E19" s="28"/>
      <c r="F19" s="28"/>
      <c r="G19" s="28"/>
      <c r="H19" s="28"/>
      <c r="I19" s="28"/>
      <c r="J19" s="91"/>
      <c r="K19" s="28"/>
      <c r="L19" s="26" t="s">
        <v>43</v>
      </c>
      <c r="M19" s="28"/>
      <c r="N19" s="28"/>
    </row>
    <row r="20" ht="19.5" customHeight="1">
      <c r="A20" s="63" t="s">
        <v>3122</v>
      </c>
      <c r="B20" s="3"/>
      <c r="C20" s="3"/>
      <c r="D20" s="3"/>
      <c r="E20" s="3"/>
      <c r="F20" s="3"/>
      <c r="G20" s="3"/>
      <c r="H20" s="3"/>
      <c r="I20" s="3"/>
      <c r="J20" s="3"/>
      <c r="K20" s="3"/>
      <c r="L20" s="3"/>
      <c r="M20" s="3"/>
      <c r="N20" s="4"/>
    </row>
    <row r="21" ht="60.0" customHeight="1">
      <c r="A21" s="78" t="s">
        <v>3241</v>
      </c>
      <c r="B21" s="17"/>
      <c r="C21" s="24" t="s">
        <v>12</v>
      </c>
      <c r="D21" s="17"/>
      <c r="E21" s="17"/>
      <c r="F21" s="17"/>
      <c r="G21" s="17"/>
      <c r="H21" s="17"/>
      <c r="I21" s="17"/>
      <c r="J21" s="90"/>
      <c r="K21" s="17"/>
      <c r="L21" s="26" t="s">
        <v>43</v>
      </c>
      <c r="M21" s="17"/>
      <c r="N21" s="17"/>
    </row>
    <row r="22" ht="60.0" customHeight="1">
      <c r="A22" s="78" t="s">
        <v>3242</v>
      </c>
      <c r="B22" s="28"/>
      <c r="C22" s="24" t="s">
        <v>12</v>
      </c>
      <c r="D22" s="28"/>
      <c r="E22" s="28"/>
      <c r="F22" s="28"/>
      <c r="G22" s="28"/>
      <c r="H22" s="28"/>
      <c r="I22" s="28"/>
      <c r="J22" s="91"/>
      <c r="K22" s="28"/>
      <c r="L22" s="26" t="s">
        <v>43</v>
      </c>
      <c r="M22" s="28"/>
      <c r="N22" s="28"/>
    </row>
    <row r="23" ht="60.0" customHeight="1">
      <c r="A23" s="78" t="s">
        <v>3243</v>
      </c>
      <c r="B23" s="17"/>
      <c r="C23" s="24" t="s">
        <v>12</v>
      </c>
      <c r="D23" s="17"/>
      <c r="E23" s="17"/>
      <c r="F23" s="17"/>
      <c r="G23" s="17"/>
      <c r="H23" s="17"/>
      <c r="I23" s="17"/>
      <c r="J23" s="90"/>
      <c r="K23" s="17"/>
      <c r="L23" s="26" t="s">
        <v>43</v>
      </c>
      <c r="M23" s="17"/>
      <c r="N23" s="17"/>
    </row>
    <row r="24" ht="60.0" customHeight="1">
      <c r="A24" s="78" t="s">
        <v>3244</v>
      </c>
      <c r="B24" s="28"/>
      <c r="C24" s="24" t="s">
        <v>12</v>
      </c>
      <c r="D24" s="28"/>
      <c r="E24" s="28"/>
      <c r="F24" s="28"/>
      <c r="G24" s="28"/>
      <c r="H24" s="28"/>
      <c r="I24" s="28"/>
      <c r="J24" s="91"/>
      <c r="K24" s="28"/>
      <c r="L24" s="26" t="s">
        <v>43</v>
      </c>
      <c r="M24" s="28"/>
      <c r="N24" s="28"/>
    </row>
    <row r="25" ht="60.0" customHeight="1">
      <c r="A25" s="78" t="s">
        <v>3245</v>
      </c>
      <c r="B25" s="17"/>
      <c r="C25" s="24" t="s">
        <v>12</v>
      </c>
      <c r="D25" s="17"/>
      <c r="E25" s="17"/>
      <c r="F25" s="17"/>
      <c r="G25" s="17"/>
      <c r="H25" s="17"/>
      <c r="I25" s="17"/>
      <c r="J25" s="90"/>
      <c r="K25" s="17"/>
      <c r="L25" s="26" t="s">
        <v>43</v>
      </c>
      <c r="M25" s="17"/>
      <c r="N25" s="17"/>
    </row>
    <row r="26" ht="60.0" customHeight="1">
      <c r="A26" s="78" t="s">
        <v>3246</v>
      </c>
      <c r="B26" s="28"/>
      <c r="C26" s="24" t="s">
        <v>12</v>
      </c>
      <c r="D26" s="28"/>
      <c r="E26" s="28"/>
      <c r="F26" s="28"/>
      <c r="G26" s="28"/>
      <c r="H26" s="28"/>
      <c r="I26" s="28"/>
      <c r="J26" s="91"/>
      <c r="K26" s="28"/>
      <c r="L26" s="26" t="s">
        <v>43</v>
      </c>
      <c r="M26" s="28"/>
      <c r="N26" s="28"/>
    </row>
    <row r="27" ht="25.5" customHeight="1">
      <c r="A27" s="55" t="s">
        <v>3247</v>
      </c>
      <c r="B27" s="57"/>
      <c r="C27" s="57"/>
      <c r="D27" s="57"/>
      <c r="E27" s="57"/>
      <c r="F27" s="57"/>
      <c r="G27" s="57"/>
      <c r="H27" s="57"/>
      <c r="I27" s="58"/>
      <c r="L27" s="79">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6" t="s">
        <v>2973</v>
      </c>
      <c r="B1" s="3"/>
      <c r="C1" s="3"/>
      <c r="D1" s="3"/>
      <c r="E1" s="3"/>
      <c r="F1" s="3"/>
      <c r="G1" s="3"/>
      <c r="H1" s="3"/>
      <c r="I1" s="3"/>
      <c r="J1" s="3"/>
      <c r="K1" s="3"/>
      <c r="L1" s="3"/>
      <c r="M1" s="3"/>
      <c r="N1" s="4"/>
    </row>
    <row r="2" ht="27.75" customHeight="1">
      <c r="A2" s="87" t="s">
        <v>2996</v>
      </c>
      <c r="B2" s="3"/>
      <c r="C2" s="3"/>
      <c r="D2" s="3"/>
      <c r="E2" s="3"/>
      <c r="F2" s="3"/>
      <c r="G2" s="3"/>
      <c r="H2" s="3"/>
      <c r="I2" s="3"/>
      <c r="J2" s="3"/>
      <c r="K2" s="3"/>
      <c r="L2" s="3"/>
      <c r="M2" s="3"/>
      <c r="N2" s="4"/>
    </row>
    <row r="3" ht="24.75" customHeight="1">
      <c r="A3" s="88" t="s">
        <v>8</v>
      </c>
      <c r="B3" s="88" t="s">
        <v>13</v>
      </c>
      <c r="C3" s="88" t="s">
        <v>15</v>
      </c>
      <c r="D3" s="88" t="s">
        <v>17</v>
      </c>
      <c r="E3" s="88" t="s">
        <v>18</v>
      </c>
      <c r="F3" s="88" t="s">
        <v>20</v>
      </c>
      <c r="G3" s="88" t="s">
        <v>21</v>
      </c>
      <c r="H3" s="88" t="s">
        <v>22</v>
      </c>
      <c r="I3" s="88" t="s">
        <v>23</v>
      </c>
      <c r="J3" s="88" t="s">
        <v>25</v>
      </c>
      <c r="K3" s="88" t="s">
        <v>26</v>
      </c>
      <c r="L3" s="88" t="s">
        <v>19</v>
      </c>
      <c r="M3" s="88" t="s">
        <v>27</v>
      </c>
      <c r="N3" s="88" t="s">
        <v>28</v>
      </c>
    </row>
    <row r="4" ht="19.5" customHeight="1">
      <c r="A4" s="13" t="s">
        <v>3028</v>
      </c>
      <c r="B4" s="3"/>
      <c r="C4" s="3"/>
      <c r="D4" s="3"/>
      <c r="E4" s="3"/>
      <c r="F4" s="3"/>
      <c r="G4" s="3"/>
      <c r="H4" s="3"/>
      <c r="I4" s="3"/>
      <c r="J4" s="3"/>
      <c r="K4" s="3"/>
      <c r="L4" s="3"/>
      <c r="M4" s="3"/>
      <c r="N4" s="4"/>
    </row>
    <row r="5" ht="60.0" customHeight="1">
      <c r="A5" s="89" t="s">
        <v>3038</v>
      </c>
      <c r="B5" s="17"/>
      <c r="C5" s="19" t="s">
        <v>9</v>
      </c>
      <c r="D5" s="17"/>
      <c r="E5" s="17"/>
      <c r="F5" s="17"/>
      <c r="G5" s="17"/>
      <c r="H5" s="17"/>
      <c r="I5" s="17"/>
      <c r="J5" s="90"/>
      <c r="K5" s="17"/>
      <c r="L5" s="26" t="s">
        <v>43</v>
      </c>
      <c r="M5" s="17"/>
      <c r="N5" s="17"/>
    </row>
    <row r="6" ht="60.0" customHeight="1">
      <c r="A6" s="89" t="s">
        <v>3053</v>
      </c>
      <c r="B6" s="28"/>
      <c r="C6" s="19" t="s">
        <v>9</v>
      </c>
      <c r="D6" s="28"/>
      <c r="E6" s="28"/>
      <c r="F6" s="28"/>
      <c r="G6" s="28"/>
      <c r="H6" s="28"/>
      <c r="I6" s="28"/>
      <c r="J6" s="91"/>
      <c r="K6" s="28"/>
      <c r="L6" s="26" t="s">
        <v>43</v>
      </c>
      <c r="M6" s="28"/>
      <c r="N6" s="28"/>
    </row>
    <row r="7" ht="60.0" customHeight="1">
      <c r="A7" s="89" t="s">
        <v>3061</v>
      </c>
      <c r="B7" s="17"/>
      <c r="C7" s="19" t="s">
        <v>9</v>
      </c>
      <c r="D7" s="17"/>
      <c r="E7" s="17"/>
      <c r="F7" s="17"/>
      <c r="G7" s="17"/>
      <c r="H7" s="17"/>
      <c r="I7" s="17"/>
      <c r="J7" s="90"/>
      <c r="K7" s="17"/>
      <c r="L7" s="26" t="s">
        <v>43</v>
      </c>
      <c r="M7" s="17"/>
      <c r="N7" s="17"/>
    </row>
    <row r="8" ht="60.0" customHeight="1">
      <c r="A8" s="89" t="s">
        <v>3065</v>
      </c>
      <c r="B8" s="28"/>
      <c r="C8" s="19" t="s">
        <v>9</v>
      </c>
      <c r="D8" s="28"/>
      <c r="E8" s="28"/>
      <c r="F8" s="28"/>
      <c r="G8" s="28"/>
      <c r="H8" s="28"/>
      <c r="I8" s="28"/>
      <c r="J8" s="91"/>
      <c r="K8" s="28"/>
      <c r="L8" s="26" t="s">
        <v>43</v>
      </c>
      <c r="M8" s="28"/>
      <c r="N8" s="28"/>
    </row>
    <row r="9" ht="60.0" customHeight="1">
      <c r="A9" s="89" t="s">
        <v>3069</v>
      </c>
      <c r="B9" s="17"/>
      <c r="C9" s="19" t="s">
        <v>9</v>
      </c>
      <c r="D9" s="17"/>
      <c r="E9" s="17"/>
      <c r="F9" s="17"/>
      <c r="G9" s="17"/>
      <c r="H9" s="17"/>
      <c r="I9" s="17"/>
      <c r="J9" s="90"/>
      <c r="K9" s="17"/>
      <c r="L9" s="26" t="s">
        <v>43</v>
      </c>
      <c r="M9" s="17"/>
      <c r="N9" s="17"/>
    </row>
    <row r="10" ht="60.0" customHeight="1">
      <c r="A10" s="89" t="s">
        <v>3070</v>
      </c>
      <c r="B10" s="28"/>
      <c r="C10" s="19" t="s">
        <v>9</v>
      </c>
      <c r="D10" s="28"/>
      <c r="E10" s="28"/>
      <c r="F10" s="28"/>
      <c r="G10" s="28"/>
      <c r="H10" s="28"/>
      <c r="I10" s="28"/>
      <c r="J10" s="91"/>
      <c r="K10" s="28"/>
      <c r="L10" s="26" t="s">
        <v>43</v>
      </c>
      <c r="M10" s="28"/>
      <c r="N10" s="28"/>
    </row>
    <row r="11" ht="19.5" customHeight="1">
      <c r="A11" s="46" t="s">
        <v>3075</v>
      </c>
      <c r="B11" s="3"/>
      <c r="C11" s="3"/>
      <c r="D11" s="3"/>
      <c r="E11" s="3"/>
      <c r="F11" s="3"/>
      <c r="G11" s="3"/>
      <c r="H11" s="3"/>
      <c r="I11" s="3"/>
      <c r="J11" s="3"/>
      <c r="K11" s="3"/>
      <c r="L11" s="3"/>
      <c r="M11" s="3"/>
      <c r="N11" s="4"/>
    </row>
    <row r="12" ht="60.0" customHeight="1">
      <c r="A12" s="89" t="s">
        <v>3084</v>
      </c>
      <c r="B12" s="17"/>
      <c r="C12" s="22" t="s">
        <v>11</v>
      </c>
      <c r="D12" s="17"/>
      <c r="E12" s="17"/>
      <c r="F12" s="17"/>
      <c r="G12" s="17"/>
      <c r="H12" s="17"/>
      <c r="I12" s="17"/>
      <c r="J12" s="90"/>
      <c r="K12" s="17"/>
      <c r="L12" s="26" t="s">
        <v>43</v>
      </c>
      <c r="M12" s="17"/>
      <c r="N12" s="17"/>
    </row>
    <row r="13" ht="60.0" customHeight="1">
      <c r="A13" s="89" t="s">
        <v>3090</v>
      </c>
      <c r="B13" s="28"/>
      <c r="C13" s="22" t="s">
        <v>11</v>
      </c>
      <c r="D13" s="28"/>
      <c r="E13" s="28"/>
      <c r="F13" s="28"/>
      <c r="G13" s="28"/>
      <c r="H13" s="28"/>
      <c r="I13" s="28"/>
      <c r="J13" s="91"/>
      <c r="K13" s="28"/>
      <c r="L13" s="26" t="s">
        <v>43</v>
      </c>
      <c r="M13" s="28"/>
      <c r="N13" s="28"/>
    </row>
    <row r="14" ht="60.0" customHeight="1">
      <c r="A14" s="89" t="s">
        <v>3095</v>
      </c>
      <c r="B14" s="17"/>
      <c r="C14" s="22" t="s">
        <v>11</v>
      </c>
      <c r="D14" s="17"/>
      <c r="E14" s="17"/>
      <c r="F14" s="17"/>
      <c r="G14" s="17"/>
      <c r="H14" s="17"/>
      <c r="I14" s="17"/>
      <c r="J14" s="90"/>
      <c r="K14" s="17"/>
      <c r="L14" s="26" t="s">
        <v>43</v>
      </c>
      <c r="M14" s="17"/>
      <c r="N14" s="17"/>
    </row>
    <row r="15" ht="60.0" customHeight="1">
      <c r="A15" s="89" t="s">
        <v>3099</v>
      </c>
      <c r="B15" s="28"/>
      <c r="C15" s="22" t="s">
        <v>11</v>
      </c>
      <c r="D15" s="28"/>
      <c r="E15" s="28"/>
      <c r="F15" s="28"/>
      <c r="G15" s="28"/>
      <c r="H15" s="28"/>
      <c r="I15" s="28"/>
      <c r="J15" s="91"/>
      <c r="K15" s="28"/>
      <c r="L15" s="26" t="s">
        <v>43</v>
      </c>
      <c r="M15" s="28"/>
      <c r="N15" s="28"/>
    </row>
    <row r="16" ht="60.0" customHeight="1">
      <c r="A16" s="89" t="s">
        <v>3103</v>
      </c>
      <c r="B16" s="17"/>
      <c r="C16" s="22" t="s">
        <v>11</v>
      </c>
      <c r="D16" s="17"/>
      <c r="E16" s="17"/>
      <c r="F16" s="17"/>
      <c r="G16" s="17"/>
      <c r="H16" s="17"/>
      <c r="I16" s="17"/>
      <c r="J16" s="90"/>
      <c r="K16" s="17"/>
      <c r="L16" s="26" t="s">
        <v>43</v>
      </c>
      <c r="M16" s="17"/>
      <c r="N16" s="17"/>
    </row>
    <row r="17" ht="60.0" customHeight="1">
      <c r="A17" s="89" t="s">
        <v>3110</v>
      </c>
      <c r="B17" s="28"/>
      <c r="C17" s="22" t="s">
        <v>11</v>
      </c>
      <c r="D17" s="28"/>
      <c r="E17" s="28"/>
      <c r="F17" s="28"/>
      <c r="G17" s="28"/>
      <c r="H17" s="28"/>
      <c r="I17" s="28"/>
      <c r="J17" s="91"/>
      <c r="K17" s="28"/>
      <c r="L17" s="26" t="s">
        <v>43</v>
      </c>
      <c r="M17" s="28"/>
      <c r="N17" s="28"/>
    </row>
    <row r="18" ht="60.0" customHeight="1">
      <c r="A18" s="89" t="s">
        <v>3114</v>
      </c>
      <c r="B18" s="17"/>
      <c r="C18" s="22" t="s">
        <v>11</v>
      </c>
      <c r="D18" s="17"/>
      <c r="E18" s="17"/>
      <c r="F18" s="17"/>
      <c r="G18" s="17"/>
      <c r="H18" s="17"/>
      <c r="I18" s="17"/>
      <c r="J18" s="90"/>
      <c r="K18" s="17"/>
      <c r="L18" s="26" t="s">
        <v>43</v>
      </c>
      <c r="M18" s="17"/>
      <c r="N18" s="17"/>
    </row>
    <row r="19" ht="60.0" customHeight="1">
      <c r="A19" s="89" t="s">
        <v>3118</v>
      </c>
      <c r="B19" s="28"/>
      <c r="C19" s="22" t="s">
        <v>11</v>
      </c>
      <c r="D19" s="28"/>
      <c r="E19" s="28"/>
      <c r="F19" s="28"/>
      <c r="G19" s="28"/>
      <c r="H19" s="28"/>
      <c r="I19" s="28"/>
      <c r="J19" s="91"/>
      <c r="K19" s="28"/>
      <c r="L19" s="26" t="s">
        <v>43</v>
      </c>
      <c r="M19" s="28"/>
      <c r="N19" s="28"/>
    </row>
    <row r="20" ht="19.5" customHeight="1">
      <c r="A20" s="63" t="s">
        <v>3122</v>
      </c>
      <c r="B20" s="3"/>
      <c r="C20" s="3"/>
      <c r="D20" s="3"/>
      <c r="E20" s="3"/>
      <c r="F20" s="3"/>
      <c r="G20" s="3"/>
      <c r="H20" s="3"/>
      <c r="I20" s="3"/>
      <c r="J20" s="3"/>
      <c r="K20" s="3"/>
      <c r="L20" s="3"/>
      <c r="M20" s="3"/>
      <c r="N20" s="4"/>
    </row>
    <row r="21" ht="60.0" customHeight="1">
      <c r="A21" s="89" t="s">
        <v>3127</v>
      </c>
      <c r="B21" s="17"/>
      <c r="C21" s="24" t="s">
        <v>12</v>
      </c>
      <c r="D21" s="17"/>
      <c r="E21" s="17"/>
      <c r="F21" s="17"/>
      <c r="G21" s="17"/>
      <c r="H21" s="17"/>
      <c r="I21" s="17"/>
      <c r="J21" s="90"/>
      <c r="K21" s="17"/>
      <c r="L21" s="26" t="s">
        <v>43</v>
      </c>
      <c r="M21" s="17"/>
      <c r="N21" s="17"/>
    </row>
    <row r="22" ht="60.0" customHeight="1">
      <c r="A22" s="89" t="s">
        <v>3133</v>
      </c>
      <c r="B22" s="28"/>
      <c r="C22" s="24" t="s">
        <v>12</v>
      </c>
      <c r="D22" s="28"/>
      <c r="E22" s="28"/>
      <c r="F22" s="28"/>
      <c r="G22" s="28"/>
      <c r="H22" s="28"/>
      <c r="I22" s="28"/>
      <c r="J22" s="91"/>
      <c r="K22" s="28"/>
      <c r="L22" s="26" t="s">
        <v>43</v>
      </c>
      <c r="M22" s="28"/>
      <c r="N22" s="28"/>
    </row>
    <row r="23" ht="60.0" customHeight="1">
      <c r="A23" s="89" t="s">
        <v>3140</v>
      </c>
      <c r="B23" s="17"/>
      <c r="C23" s="24" t="s">
        <v>12</v>
      </c>
      <c r="D23" s="17"/>
      <c r="E23" s="17"/>
      <c r="F23" s="17"/>
      <c r="G23" s="17"/>
      <c r="H23" s="17"/>
      <c r="I23" s="17"/>
      <c r="J23" s="90"/>
      <c r="K23" s="17"/>
      <c r="L23" s="26" t="s">
        <v>43</v>
      </c>
      <c r="M23" s="17"/>
      <c r="N23" s="17"/>
    </row>
    <row r="24" ht="60.0" customHeight="1">
      <c r="A24" s="89" t="s">
        <v>3144</v>
      </c>
      <c r="B24" s="28"/>
      <c r="C24" s="24" t="s">
        <v>12</v>
      </c>
      <c r="D24" s="28"/>
      <c r="E24" s="28"/>
      <c r="F24" s="28"/>
      <c r="G24" s="28"/>
      <c r="H24" s="28"/>
      <c r="I24" s="28"/>
      <c r="J24" s="91"/>
      <c r="K24" s="28"/>
      <c r="L24" s="26" t="s">
        <v>43</v>
      </c>
      <c r="M24" s="28"/>
      <c r="N24" s="28"/>
    </row>
    <row r="25" ht="60.0" customHeight="1">
      <c r="A25" s="89" t="s">
        <v>3149</v>
      </c>
      <c r="B25" s="17"/>
      <c r="C25" s="24" t="s">
        <v>12</v>
      </c>
      <c r="D25" s="17"/>
      <c r="E25" s="17"/>
      <c r="F25" s="17"/>
      <c r="G25" s="17"/>
      <c r="H25" s="17"/>
      <c r="I25" s="17"/>
      <c r="J25" s="90"/>
      <c r="K25" s="17"/>
      <c r="L25" s="26" t="s">
        <v>43</v>
      </c>
      <c r="M25" s="17"/>
      <c r="N25" s="17"/>
    </row>
    <row r="26" ht="60.0" customHeight="1">
      <c r="A26" s="89" t="s">
        <v>3153</v>
      </c>
      <c r="B26" s="28"/>
      <c r="C26" s="24" t="s">
        <v>12</v>
      </c>
      <c r="D26" s="28"/>
      <c r="E26" s="28"/>
      <c r="F26" s="28"/>
      <c r="G26" s="28"/>
      <c r="H26" s="28"/>
      <c r="I26" s="28"/>
      <c r="J26" s="91"/>
      <c r="K26" s="28"/>
      <c r="L26" s="26" t="s">
        <v>43</v>
      </c>
      <c r="M26" s="28"/>
      <c r="N26" s="28"/>
    </row>
    <row r="27" ht="25.5" customHeight="1">
      <c r="A27" s="55" t="s">
        <v>3159</v>
      </c>
      <c r="B27" s="57"/>
      <c r="C27" s="57"/>
      <c r="D27" s="57"/>
      <c r="E27" s="57"/>
      <c r="F27" s="57"/>
      <c r="G27" s="57"/>
      <c r="H27" s="57"/>
      <c r="I27" s="58"/>
      <c r="L27" s="93">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6" t="s">
        <v>3202</v>
      </c>
      <c r="B1" s="3"/>
      <c r="C1" s="3"/>
      <c r="D1" s="3"/>
      <c r="E1" s="3"/>
      <c r="F1" s="3"/>
      <c r="G1" s="3"/>
      <c r="H1" s="3"/>
      <c r="I1" s="3"/>
      <c r="J1" s="3"/>
      <c r="K1" s="3"/>
      <c r="L1" s="3"/>
      <c r="M1" s="3"/>
      <c r="N1" s="4"/>
    </row>
    <row r="2" ht="27.75" customHeight="1">
      <c r="A2" s="68" t="s">
        <v>3203</v>
      </c>
      <c r="B2" s="3"/>
      <c r="C2" s="3"/>
      <c r="D2" s="3"/>
      <c r="E2" s="3"/>
      <c r="F2" s="3"/>
      <c r="G2" s="3"/>
      <c r="H2" s="3"/>
      <c r="I2" s="3"/>
      <c r="J2" s="3"/>
      <c r="K2" s="3"/>
      <c r="L2" s="3"/>
      <c r="M2" s="3"/>
      <c r="N2" s="4"/>
    </row>
    <row r="3" ht="24.75" customHeight="1">
      <c r="A3" s="9" t="s">
        <v>8</v>
      </c>
      <c r="B3" s="9" t="s">
        <v>13</v>
      </c>
      <c r="C3" s="9" t="s">
        <v>15</v>
      </c>
      <c r="D3" s="9" t="s">
        <v>17</v>
      </c>
      <c r="E3" s="9" t="s">
        <v>18</v>
      </c>
      <c r="F3" s="9" t="s">
        <v>20</v>
      </c>
      <c r="G3" s="9" t="s">
        <v>21</v>
      </c>
      <c r="H3" s="9" t="s">
        <v>22</v>
      </c>
      <c r="I3" s="9" t="s">
        <v>23</v>
      </c>
      <c r="J3" s="9" t="s">
        <v>25</v>
      </c>
      <c r="K3" s="9" t="s">
        <v>26</v>
      </c>
      <c r="L3" s="9" t="s">
        <v>19</v>
      </c>
      <c r="M3" s="9" t="s">
        <v>27</v>
      </c>
      <c r="N3" s="9" t="s">
        <v>28</v>
      </c>
    </row>
    <row r="4" ht="19.5" customHeight="1">
      <c r="A4" s="13" t="s">
        <v>3028</v>
      </c>
      <c r="B4" s="3"/>
      <c r="C4" s="3"/>
      <c r="D4" s="3"/>
      <c r="E4" s="3"/>
      <c r="F4" s="3"/>
      <c r="G4" s="3"/>
      <c r="H4" s="3"/>
      <c r="I4" s="3"/>
      <c r="J4" s="3"/>
      <c r="K4" s="3"/>
      <c r="L4" s="3"/>
      <c r="M4" s="3"/>
      <c r="N4" s="4"/>
    </row>
    <row r="5" ht="60.0" customHeight="1">
      <c r="A5" s="95" t="s">
        <v>3205</v>
      </c>
      <c r="B5" s="17"/>
      <c r="C5" s="19" t="s">
        <v>9</v>
      </c>
      <c r="D5" s="17"/>
      <c r="E5" s="17"/>
      <c r="F5" s="17"/>
      <c r="G5" s="17"/>
      <c r="H5" s="17"/>
      <c r="I5" s="17"/>
      <c r="J5" s="90"/>
      <c r="K5" s="17"/>
      <c r="L5" s="26" t="s">
        <v>43</v>
      </c>
      <c r="M5" s="17"/>
      <c r="N5" s="17"/>
    </row>
    <row r="6" ht="60.0" customHeight="1">
      <c r="A6" s="95" t="s">
        <v>3207</v>
      </c>
      <c r="B6" s="28"/>
      <c r="C6" s="19" t="s">
        <v>9</v>
      </c>
      <c r="D6" s="28"/>
      <c r="E6" s="28"/>
      <c r="F6" s="28"/>
      <c r="G6" s="28"/>
      <c r="H6" s="28"/>
      <c r="I6" s="28"/>
      <c r="J6" s="91"/>
      <c r="K6" s="28"/>
      <c r="L6" s="26" t="s">
        <v>43</v>
      </c>
      <c r="M6" s="28"/>
      <c r="N6" s="28"/>
    </row>
    <row r="7" ht="60.0" customHeight="1">
      <c r="A7" s="95" t="s">
        <v>3208</v>
      </c>
      <c r="B7" s="17"/>
      <c r="C7" s="19" t="s">
        <v>9</v>
      </c>
      <c r="D7" s="17"/>
      <c r="E7" s="17"/>
      <c r="F7" s="17"/>
      <c r="G7" s="17"/>
      <c r="H7" s="17"/>
      <c r="I7" s="17"/>
      <c r="J7" s="90"/>
      <c r="K7" s="17"/>
      <c r="L7" s="26" t="s">
        <v>43</v>
      </c>
      <c r="M7" s="17"/>
      <c r="N7" s="17"/>
    </row>
    <row r="8" ht="60.0" customHeight="1">
      <c r="A8" s="95" t="s">
        <v>3209</v>
      </c>
      <c r="B8" s="28"/>
      <c r="C8" s="19" t="s">
        <v>9</v>
      </c>
      <c r="D8" s="28"/>
      <c r="E8" s="28"/>
      <c r="F8" s="28"/>
      <c r="G8" s="28"/>
      <c r="H8" s="28"/>
      <c r="I8" s="28"/>
      <c r="J8" s="91"/>
      <c r="K8" s="28"/>
      <c r="L8" s="26" t="s">
        <v>43</v>
      </c>
      <c r="M8" s="28"/>
      <c r="N8" s="28"/>
    </row>
    <row r="9" ht="60.0" customHeight="1">
      <c r="A9" s="95" t="s">
        <v>3210</v>
      </c>
      <c r="B9" s="17"/>
      <c r="C9" s="19" t="s">
        <v>9</v>
      </c>
      <c r="D9" s="17"/>
      <c r="E9" s="17"/>
      <c r="F9" s="17"/>
      <c r="G9" s="17"/>
      <c r="H9" s="17"/>
      <c r="I9" s="17"/>
      <c r="J9" s="90"/>
      <c r="K9" s="17"/>
      <c r="L9" s="26" t="s">
        <v>43</v>
      </c>
      <c r="M9" s="17"/>
      <c r="N9" s="17"/>
    </row>
    <row r="10" ht="60.0" customHeight="1">
      <c r="A10" s="95" t="s">
        <v>3212</v>
      </c>
      <c r="B10" s="28"/>
      <c r="C10" s="19" t="s">
        <v>9</v>
      </c>
      <c r="D10" s="28"/>
      <c r="E10" s="28"/>
      <c r="F10" s="28"/>
      <c r="G10" s="28"/>
      <c r="H10" s="28"/>
      <c r="I10" s="28"/>
      <c r="J10" s="91"/>
      <c r="K10" s="28"/>
      <c r="L10" s="26" t="s">
        <v>43</v>
      </c>
      <c r="M10" s="28"/>
      <c r="N10" s="28"/>
    </row>
    <row r="11" ht="19.5" customHeight="1">
      <c r="A11" s="46" t="s">
        <v>3075</v>
      </c>
      <c r="B11" s="3"/>
      <c r="C11" s="3"/>
      <c r="D11" s="3"/>
      <c r="E11" s="3"/>
      <c r="F11" s="3"/>
      <c r="G11" s="3"/>
      <c r="H11" s="3"/>
      <c r="I11" s="3"/>
      <c r="J11" s="3"/>
      <c r="K11" s="3"/>
      <c r="L11" s="3"/>
      <c r="M11" s="3"/>
      <c r="N11" s="4"/>
    </row>
    <row r="12" ht="60.0" customHeight="1">
      <c r="A12" s="95" t="s">
        <v>3214</v>
      </c>
      <c r="B12" s="17"/>
      <c r="C12" s="22" t="s">
        <v>11</v>
      </c>
      <c r="D12" s="17"/>
      <c r="E12" s="17"/>
      <c r="F12" s="17"/>
      <c r="G12" s="17"/>
      <c r="H12" s="17"/>
      <c r="I12" s="17"/>
      <c r="J12" s="90"/>
      <c r="K12" s="17"/>
      <c r="L12" s="26" t="s">
        <v>43</v>
      </c>
      <c r="M12" s="17"/>
      <c r="N12" s="17"/>
    </row>
    <row r="13" ht="60.0" customHeight="1">
      <c r="A13" s="95" t="s">
        <v>3215</v>
      </c>
      <c r="B13" s="28"/>
      <c r="C13" s="22" t="s">
        <v>11</v>
      </c>
      <c r="D13" s="28"/>
      <c r="E13" s="28"/>
      <c r="F13" s="28"/>
      <c r="G13" s="28"/>
      <c r="H13" s="28"/>
      <c r="I13" s="28"/>
      <c r="J13" s="91"/>
      <c r="K13" s="28"/>
      <c r="L13" s="26" t="s">
        <v>43</v>
      </c>
      <c r="M13" s="28"/>
      <c r="N13" s="28"/>
    </row>
    <row r="14" ht="60.0" customHeight="1">
      <c r="A14" s="95" t="s">
        <v>3217</v>
      </c>
      <c r="B14" s="17"/>
      <c r="C14" s="22" t="s">
        <v>11</v>
      </c>
      <c r="D14" s="17"/>
      <c r="E14" s="17"/>
      <c r="F14" s="17"/>
      <c r="G14" s="17"/>
      <c r="H14" s="17"/>
      <c r="I14" s="17"/>
      <c r="J14" s="90"/>
      <c r="K14" s="17"/>
      <c r="L14" s="26" t="s">
        <v>43</v>
      </c>
      <c r="M14" s="17"/>
      <c r="N14" s="17"/>
    </row>
    <row r="15" ht="60.0" customHeight="1">
      <c r="A15" s="95" t="s">
        <v>3219</v>
      </c>
      <c r="B15" s="28"/>
      <c r="C15" s="22" t="s">
        <v>11</v>
      </c>
      <c r="D15" s="28"/>
      <c r="E15" s="28"/>
      <c r="F15" s="28"/>
      <c r="G15" s="28"/>
      <c r="H15" s="28"/>
      <c r="I15" s="28"/>
      <c r="J15" s="91"/>
      <c r="K15" s="28"/>
      <c r="L15" s="26" t="s">
        <v>43</v>
      </c>
      <c r="M15" s="28"/>
      <c r="N15" s="28"/>
    </row>
    <row r="16" ht="60.0" customHeight="1">
      <c r="A16" s="95" t="s">
        <v>3221</v>
      </c>
      <c r="B16" s="17"/>
      <c r="C16" s="22" t="s">
        <v>11</v>
      </c>
      <c r="D16" s="17"/>
      <c r="E16" s="17"/>
      <c r="F16" s="17"/>
      <c r="G16" s="17"/>
      <c r="H16" s="17"/>
      <c r="I16" s="17"/>
      <c r="J16" s="90"/>
      <c r="K16" s="17"/>
      <c r="L16" s="26" t="s">
        <v>43</v>
      </c>
      <c r="M16" s="17"/>
      <c r="N16" s="17"/>
    </row>
    <row r="17" ht="60.0" customHeight="1">
      <c r="A17" s="95" t="s">
        <v>3223</v>
      </c>
      <c r="B17" s="28"/>
      <c r="C17" s="22" t="s">
        <v>11</v>
      </c>
      <c r="D17" s="28"/>
      <c r="E17" s="28"/>
      <c r="F17" s="28"/>
      <c r="G17" s="28"/>
      <c r="H17" s="28"/>
      <c r="I17" s="28"/>
      <c r="J17" s="91"/>
      <c r="K17" s="28"/>
      <c r="L17" s="26" t="s">
        <v>43</v>
      </c>
      <c r="M17" s="28"/>
      <c r="N17" s="28"/>
    </row>
    <row r="18" ht="60.0" customHeight="1">
      <c r="A18" s="95" t="s">
        <v>3224</v>
      </c>
      <c r="B18" s="17"/>
      <c r="C18" s="22" t="s">
        <v>11</v>
      </c>
      <c r="D18" s="17"/>
      <c r="E18" s="17"/>
      <c r="F18" s="17"/>
      <c r="G18" s="17"/>
      <c r="H18" s="17"/>
      <c r="I18" s="17"/>
      <c r="J18" s="90"/>
      <c r="K18" s="17"/>
      <c r="L18" s="26" t="s">
        <v>43</v>
      </c>
      <c r="M18" s="17"/>
      <c r="N18" s="17"/>
    </row>
    <row r="19" ht="60.0" customHeight="1">
      <c r="A19" s="95" t="s">
        <v>3225</v>
      </c>
      <c r="B19" s="28"/>
      <c r="C19" s="22" t="s">
        <v>11</v>
      </c>
      <c r="D19" s="28"/>
      <c r="E19" s="28"/>
      <c r="F19" s="28"/>
      <c r="G19" s="28"/>
      <c r="H19" s="28"/>
      <c r="I19" s="28"/>
      <c r="J19" s="91"/>
      <c r="K19" s="28"/>
      <c r="L19" s="26" t="s">
        <v>43</v>
      </c>
      <c r="M19" s="28"/>
      <c r="N19" s="28"/>
    </row>
    <row r="20" ht="19.5" customHeight="1">
      <c r="A20" s="63" t="s">
        <v>3122</v>
      </c>
      <c r="B20" s="3"/>
      <c r="C20" s="3"/>
      <c r="D20" s="3"/>
      <c r="E20" s="3"/>
      <c r="F20" s="3"/>
      <c r="G20" s="3"/>
      <c r="H20" s="3"/>
      <c r="I20" s="3"/>
      <c r="J20" s="3"/>
      <c r="K20" s="3"/>
      <c r="L20" s="3"/>
      <c r="M20" s="3"/>
      <c r="N20" s="4"/>
    </row>
    <row r="21" ht="60.0" customHeight="1">
      <c r="A21" s="95" t="s">
        <v>3227</v>
      </c>
      <c r="B21" s="17"/>
      <c r="C21" s="24" t="s">
        <v>12</v>
      </c>
      <c r="D21" s="17"/>
      <c r="E21" s="17"/>
      <c r="F21" s="17"/>
      <c r="G21" s="17"/>
      <c r="H21" s="17"/>
      <c r="I21" s="17"/>
      <c r="J21" s="90"/>
      <c r="K21" s="17"/>
      <c r="L21" s="26" t="s">
        <v>43</v>
      </c>
      <c r="M21" s="17"/>
      <c r="N21" s="17"/>
    </row>
    <row r="22" ht="60.0" customHeight="1">
      <c r="A22" s="95" t="s">
        <v>3229</v>
      </c>
      <c r="B22" s="28"/>
      <c r="C22" s="24" t="s">
        <v>12</v>
      </c>
      <c r="D22" s="28"/>
      <c r="E22" s="28"/>
      <c r="F22" s="28"/>
      <c r="G22" s="28"/>
      <c r="H22" s="28"/>
      <c r="I22" s="28"/>
      <c r="J22" s="91"/>
      <c r="K22" s="28"/>
      <c r="L22" s="26" t="s">
        <v>43</v>
      </c>
      <c r="M22" s="28"/>
      <c r="N22" s="28"/>
    </row>
    <row r="23" ht="60.0" customHeight="1">
      <c r="A23" s="95" t="s">
        <v>3231</v>
      </c>
      <c r="B23" s="17"/>
      <c r="C23" s="24" t="s">
        <v>12</v>
      </c>
      <c r="D23" s="17"/>
      <c r="E23" s="17"/>
      <c r="F23" s="17"/>
      <c r="G23" s="17"/>
      <c r="H23" s="17"/>
      <c r="I23" s="17"/>
      <c r="J23" s="90"/>
      <c r="K23" s="17"/>
      <c r="L23" s="26" t="s">
        <v>43</v>
      </c>
      <c r="M23" s="17"/>
      <c r="N23" s="17"/>
    </row>
    <row r="24" ht="60.0" customHeight="1">
      <c r="A24" s="95" t="s">
        <v>3233</v>
      </c>
      <c r="B24" s="28"/>
      <c r="C24" s="24" t="s">
        <v>12</v>
      </c>
      <c r="D24" s="28"/>
      <c r="E24" s="28"/>
      <c r="F24" s="28"/>
      <c r="G24" s="28"/>
      <c r="H24" s="28"/>
      <c r="I24" s="28"/>
      <c r="J24" s="91"/>
      <c r="K24" s="28"/>
      <c r="L24" s="26" t="s">
        <v>43</v>
      </c>
      <c r="M24" s="28"/>
      <c r="N24" s="28"/>
    </row>
    <row r="25" ht="60.0" customHeight="1">
      <c r="A25" s="95" t="s">
        <v>3234</v>
      </c>
      <c r="B25" s="17"/>
      <c r="C25" s="24" t="s">
        <v>12</v>
      </c>
      <c r="D25" s="17"/>
      <c r="E25" s="17"/>
      <c r="F25" s="17"/>
      <c r="G25" s="17"/>
      <c r="H25" s="17"/>
      <c r="I25" s="17"/>
      <c r="J25" s="90"/>
      <c r="K25" s="17"/>
      <c r="L25" s="26" t="s">
        <v>43</v>
      </c>
      <c r="M25" s="17"/>
      <c r="N25" s="17"/>
    </row>
    <row r="26" ht="60.0" customHeight="1">
      <c r="A26" s="95" t="s">
        <v>3236</v>
      </c>
      <c r="B26" s="28"/>
      <c r="C26" s="24" t="s">
        <v>12</v>
      </c>
      <c r="D26" s="28"/>
      <c r="E26" s="28"/>
      <c r="F26" s="28"/>
      <c r="G26" s="28"/>
      <c r="H26" s="28"/>
      <c r="I26" s="28"/>
      <c r="J26" s="91"/>
      <c r="K26" s="28"/>
      <c r="L26" s="26" t="s">
        <v>43</v>
      </c>
      <c r="M26" s="28"/>
      <c r="N26" s="28"/>
    </row>
    <row r="27" ht="25.5" customHeight="1">
      <c r="A27" s="55" t="s">
        <v>3238</v>
      </c>
      <c r="B27" s="57"/>
      <c r="C27" s="57"/>
      <c r="D27" s="57"/>
      <c r="E27" s="57"/>
      <c r="F27" s="57"/>
      <c r="G27" s="57"/>
      <c r="H27" s="57"/>
      <c r="I27" s="58"/>
      <c r="L27" s="97">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6" t="s">
        <v>3204</v>
      </c>
      <c r="B1" s="3"/>
      <c r="C1" s="3"/>
      <c r="D1" s="3"/>
      <c r="E1" s="3"/>
      <c r="F1" s="3"/>
      <c r="G1" s="3"/>
      <c r="H1" s="3"/>
      <c r="I1" s="3"/>
      <c r="J1" s="3"/>
      <c r="K1" s="3"/>
      <c r="L1" s="3"/>
      <c r="M1" s="3"/>
      <c r="N1" s="4"/>
    </row>
    <row r="2" ht="27.75" customHeight="1">
      <c r="A2" s="77" t="s">
        <v>3206</v>
      </c>
      <c r="B2" s="3"/>
      <c r="C2" s="3"/>
      <c r="D2" s="3"/>
      <c r="E2" s="3"/>
      <c r="F2" s="3"/>
      <c r="G2" s="3"/>
      <c r="H2" s="3"/>
      <c r="I2" s="3"/>
      <c r="J2" s="3"/>
      <c r="K2" s="3"/>
      <c r="L2" s="3"/>
      <c r="M2" s="3"/>
      <c r="N2" s="4"/>
    </row>
    <row r="3" ht="24.75" customHeight="1">
      <c r="A3" s="96" t="s">
        <v>8</v>
      </c>
      <c r="B3" s="96" t="s">
        <v>13</v>
      </c>
      <c r="C3" s="96" t="s">
        <v>15</v>
      </c>
      <c r="D3" s="96" t="s">
        <v>17</v>
      </c>
      <c r="E3" s="96" t="s">
        <v>18</v>
      </c>
      <c r="F3" s="96" t="s">
        <v>20</v>
      </c>
      <c r="G3" s="96" t="s">
        <v>21</v>
      </c>
      <c r="H3" s="96" t="s">
        <v>22</v>
      </c>
      <c r="I3" s="96" t="s">
        <v>23</v>
      </c>
      <c r="J3" s="96" t="s">
        <v>25</v>
      </c>
      <c r="K3" s="96" t="s">
        <v>26</v>
      </c>
      <c r="L3" s="96" t="s">
        <v>19</v>
      </c>
      <c r="M3" s="96" t="s">
        <v>27</v>
      </c>
      <c r="N3" s="96" t="s">
        <v>28</v>
      </c>
    </row>
    <row r="4" ht="19.5" customHeight="1">
      <c r="A4" s="13" t="s">
        <v>3028</v>
      </c>
      <c r="B4" s="3"/>
      <c r="C4" s="3"/>
      <c r="D4" s="3"/>
      <c r="E4" s="3"/>
      <c r="F4" s="3"/>
      <c r="G4" s="3"/>
      <c r="H4" s="3"/>
      <c r="I4" s="3"/>
      <c r="J4" s="3"/>
      <c r="K4" s="3"/>
      <c r="L4" s="3"/>
      <c r="M4" s="3"/>
      <c r="N4" s="4"/>
    </row>
    <row r="5" ht="60.0" customHeight="1">
      <c r="A5" s="78" t="s">
        <v>3211</v>
      </c>
      <c r="B5" s="17"/>
      <c r="C5" s="19" t="s">
        <v>9</v>
      </c>
      <c r="D5" s="17"/>
      <c r="E5" s="17"/>
      <c r="F5" s="17"/>
      <c r="G5" s="17"/>
      <c r="H5" s="17"/>
      <c r="I5" s="17"/>
      <c r="J5" s="90"/>
      <c r="K5" s="17"/>
      <c r="L5" s="26" t="s">
        <v>43</v>
      </c>
      <c r="M5" s="17"/>
      <c r="N5" s="17"/>
    </row>
    <row r="6" ht="60.0" customHeight="1">
      <c r="A6" s="78" t="s">
        <v>3213</v>
      </c>
      <c r="B6" s="28"/>
      <c r="C6" s="19" t="s">
        <v>9</v>
      </c>
      <c r="D6" s="28"/>
      <c r="E6" s="28"/>
      <c r="F6" s="28"/>
      <c r="G6" s="28"/>
      <c r="H6" s="28"/>
      <c r="I6" s="28"/>
      <c r="J6" s="91"/>
      <c r="K6" s="28"/>
      <c r="L6" s="26" t="s">
        <v>43</v>
      </c>
      <c r="M6" s="28"/>
      <c r="N6" s="28"/>
    </row>
    <row r="7" ht="60.0" customHeight="1">
      <c r="A7" s="78" t="s">
        <v>3216</v>
      </c>
      <c r="B7" s="17"/>
      <c r="C7" s="19" t="s">
        <v>9</v>
      </c>
      <c r="D7" s="17"/>
      <c r="E7" s="17"/>
      <c r="F7" s="17"/>
      <c r="G7" s="17"/>
      <c r="H7" s="17"/>
      <c r="I7" s="17"/>
      <c r="J7" s="90"/>
      <c r="K7" s="17"/>
      <c r="L7" s="26" t="s">
        <v>43</v>
      </c>
      <c r="M7" s="17"/>
      <c r="N7" s="17"/>
    </row>
    <row r="8" ht="60.0" customHeight="1">
      <c r="A8" s="78" t="s">
        <v>3218</v>
      </c>
      <c r="B8" s="28"/>
      <c r="C8" s="19" t="s">
        <v>9</v>
      </c>
      <c r="D8" s="28"/>
      <c r="E8" s="28"/>
      <c r="F8" s="28"/>
      <c r="G8" s="28"/>
      <c r="H8" s="28"/>
      <c r="I8" s="28"/>
      <c r="J8" s="91"/>
      <c r="K8" s="28"/>
      <c r="L8" s="26" t="s">
        <v>43</v>
      </c>
      <c r="M8" s="28"/>
      <c r="N8" s="28"/>
    </row>
    <row r="9" ht="60.0" customHeight="1">
      <c r="A9" s="78" t="s">
        <v>3220</v>
      </c>
      <c r="B9" s="17"/>
      <c r="C9" s="19" t="s">
        <v>9</v>
      </c>
      <c r="D9" s="17"/>
      <c r="E9" s="17"/>
      <c r="F9" s="17"/>
      <c r="G9" s="17"/>
      <c r="H9" s="17"/>
      <c r="I9" s="17"/>
      <c r="J9" s="90"/>
      <c r="K9" s="17"/>
      <c r="L9" s="26" t="s">
        <v>43</v>
      </c>
      <c r="M9" s="17"/>
      <c r="N9" s="17"/>
    </row>
    <row r="10" ht="60.0" customHeight="1">
      <c r="A10" s="78" t="s">
        <v>3222</v>
      </c>
      <c r="B10" s="28"/>
      <c r="C10" s="19" t="s">
        <v>9</v>
      </c>
      <c r="D10" s="28"/>
      <c r="E10" s="28"/>
      <c r="F10" s="28"/>
      <c r="G10" s="28"/>
      <c r="H10" s="28"/>
      <c r="I10" s="28"/>
      <c r="J10" s="91"/>
      <c r="K10" s="28"/>
      <c r="L10" s="26" t="s">
        <v>43</v>
      </c>
      <c r="M10" s="28"/>
      <c r="N10" s="28"/>
    </row>
    <row r="11" ht="19.5" customHeight="1">
      <c r="A11" s="46" t="s">
        <v>3075</v>
      </c>
      <c r="B11" s="3"/>
      <c r="C11" s="3"/>
      <c r="D11" s="3"/>
      <c r="E11" s="3"/>
      <c r="F11" s="3"/>
      <c r="G11" s="3"/>
      <c r="H11" s="3"/>
      <c r="I11" s="3"/>
      <c r="J11" s="3"/>
      <c r="K11" s="3"/>
      <c r="L11" s="3"/>
      <c r="M11" s="3"/>
      <c r="N11" s="4"/>
    </row>
    <row r="12" ht="60.0" customHeight="1">
      <c r="A12" s="78" t="s">
        <v>3226</v>
      </c>
      <c r="B12" s="17"/>
      <c r="C12" s="22" t="s">
        <v>11</v>
      </c>
      <c r="D12" s="17"/>
      <c r="E12" s="17"/>
      <c r="F12" s="17"/>
      <c r="G12" s="17"/>
      <c r="H12" s="17"/>
      <c r="I12" s="17"/>
      <c r="J12" s="90"/>
      <c r="K12" s="17"/>
      <c r="L12" s="26" t="s">
        <v>43</v>
      </c>
      <c r="M12" s="17"/>
      <c r="N12" s="17"/>
    </row>
    <row r="13" ht="60.0" customHeight="1">
      <c r="A13" s="78" t="s">
        <v>3228</v>
      </c>
      <c r="B13" s="28"/>
      <c r="C13" s="22" t="s">
        <v>11</v>
      </c>
      <c r="D13" s="28"/>
      <c r="E13" s="28"/>
      <c r="F13" s="28"/>
      <c r="G13" s="28"/>
      <c r="H13" s="28"/>
      <c r="I13" s="28"/>
      <c r="J13" s="91"/>
      <c r="K13" s="28"/>
      <c r="L13" s="26" t="s">
        <v>43</v>
      </c>
      <c r="M13" s="28"/>
      <c r="N13" s="28"/>
    </row>
    <row r="14" ht="60.0" customHeight="1">
      <c r="A14" s="78" t="s">
        <v>3230</v>
      </c>
      <c r="B14" s="17"/>
      <c r="C14" s="22" t="s">
        <v>11</v>
      </c>
      <c r="D14" s="17"/>
      <c r="E14" s="17"/>
      <c r="F14" s="17"/>
      <c r="G14" s="17"/>
      <c r="H14" s="17"/>
      <c r="I14" s="17"/>
      <c r="J14" s="90"/>
      <c r="K14" s="17"/>
      <c r="L14" s="26" t="s">
        <v>43</v>
      </c>
      <c r="M14" s="17"/>
      <c r="N14" s="17"/>
    </row>
    <row r="15" ht="60.0" customHeight="1">
      <c r="A15" s="78" t="s">
        <v>3232</v>
      </c>
      <c r="B15" s="28"/>
      <c r="C15" s="22" t="s">
        <v>11</v>
      </c>
      <c r="D15" s="28"/>
      <c r="E15" s="28"/>
      <c r="F15" s="28"/>
      <c r="G15" s="28"/>
      <c r="H15" s="28"/>
      <c r="I15" s="28"/>
      <c r="J15" s="91"/>
      <c r="K15" s="28"/>
      <c r="L15" s="26" t="s">
        <v>43</v>
      </c>
      <c r="M15" s="28"/>
      <c r="N15" s="28"/>
    </row>
    <row r="16" ht="60.0" customHeight="1">
      <c r="A16" s="78" t="s">
        <v>3235</v>
      </c>
      <c r="B16" s="17"/>
      <c r="C16" s="22" t="s">
        <v>11</v>
      </c>
      <c r="D16" s="17"/>
      <c r="E16" s="17"/>
      <c r="F16" s="17"/>
      <c r="G16" s="17"/>
      <c r="H16" s="17"/>
      <c r="I16" s="17"/>
      <c r="J16" s="90"/>
      <c r="K16" s="17"/>
      <c r="L16" s="26" t="s">
        <v>43</v>
      </c>
      <c r="M16" s="17"/>
      <c r="N16" s="17"/>
    </row>
    <row r="17" ht="60.0" customHeight="1">
      <c r="A17" s="78" t="s">
        <v>3237</v>
      </c>
      <c r="B17" s="28"/>
      <c r="C17" s="22" t="s">
        <v>11</v>
      </c>
      <c r="D17" s="28"/>
      <c r="E17" s="28"/>
      <c r="F17" s="28"/>
      <c r="G17" s="28"/>
      <c r="H17" s="28"/>
      <c r="I17" s="28"/>
      <c r="J17" s="91"/>
      <c r="K17" s="28"/>
      <c r="L17" s="26" t="s">
        <v>43</v>
      </c>
      <c r="M17" s="28"/>
      <c r="N17" s="28"/>
    </row>
    <row r="18" ht="60.0" customHeight="1">
      <c r="A18" s="78" t="s">
        <v>3239</v>
      </c>
      <c r="B18" s="17"/>
      <c r="C18" s="22" t="s">
        <v>11</v>
      </c>
      <c r="D18" s="17"/>
      <c r="E18" s="17"/>
      <c r="F18" s="17"/>
      <c r="G18" s="17"/>
      <c r="H18" s="17"/>
      <c r="I18" s="17"/>
      <c r="J18" s="90"/>
      <c r="K18" s="17"/>
      <c r="L18" s="26" t="s">
        <v>43</v>
      </c>
      <c r="M18" s="17"/>
      <c r="N18" s="17"/>
    </row>
    <row r="19" ht="60.0" customHeight="1">
      <c r="A19" s="78" t="s">
        <v>3240</v>
      </c>
      <c r="B19" s="28"/>
      <c r="C19" s="22" t="s">
        <v>11</v>
      </c>
      <c r="D19" s="28"/>
      <c r="E19" s="28"/>
      <c r="F19" s="28"/>
      <c r="G19" s="28"/>
      <c r="H19" s="28"/>
      <c r="I19" s="28"/>
      <c r="J19" s="91"/>
      <c r="K19" s="28"/>
      <c r="L19" s="26" t="s">
        <v>43</v>
      </c>
      <c r="M19" s="28"/>
      <c r="N19" s="28"/>
    </row>
    <row r="20" ht="19.5" customHeight="1">
      <c r="A20" s="63" t="s">
        <v>3122</v>
      </c>
      <c r="B20" s="3"/>
      <c r="C20" s="3"/>
      <c r="D20" s="3"/>
      <c r="E20" s="3"/>
      <c r="F20" s="3"/>
      <c r="G20" s="3"/>
      <c r="H20" s="3"/>
      <c r="I20" s="3"/>
      <c r="J20" s="3"/>
      <c r="K20" s="3"/>
      <c r="L20" s="3"/>
      <c r="M20" s="3"/>
      <c r="N20" s="4"/>
    </row>
    <row r="21" ht="60.0" customHeight="1">
      <c r="A21" s="78" t="s">
        <v>3241</v>
      </c>
      <c r="B21" s="17"/>
      <c r="C21" s="24" t="s">
        <v>12</v>
      </c>
      <c r="D21" s="17"/>
      <c r="E21" s="17"/>
      <c r="F21" s="17"/>
      <c r="G21" s="17"/>
      <c r="H21" s="17"/>
      <c r="I21" s="17"/>
      <c r="J21" s="90"/>
      <c r="K21" s="17"/>
      <c r="L21" s="26" t="s">
        <v>43</v>
      </c>
      <c r="M21" s="17"/>
      <c r="N21" s="17"/>
    </row>
    <row r="22" ht="60.0" customHeight="1">
      <c r="A22" s="78" t="s">
        <v>3242</v>
      </c>
      <c r="B22" s="28"/>
      <c r="C22" s="24" t="s">
        <v>12</v>
      </c>
      <c r="D22" s="28"/>
      <c r="E22" s="28"/>
      <c r="F22" s="28"/>
      <c r="G22" s="28"/>
      <c r="H22" s="28"/>
      <c r="I22" s="28"/>
      <c r="J22" s="91"/>
      <c r="K22" s="28"/>
      <c r="L22" s="26" t="s">
        <v>43</v>
      </c>
      <c r="M22" s="28"/>
      <c r="N22" s="28"/>
    </row>
    <row r="23" ht="60.0" customHeight="1">
      <c r="A23" s="78" t="s">
        <v>3243</v>
      </c>
      <c r="B23" s="17"/>
      <c r="C23" s="24" t="s">
        <v>12</v>
      </c>
      <c r="D23" s="17"/>
      <c r="E23" s="17"/>
      <c r="F23" s="17"/>
      <c r="G23" s="17"/>
      <c r="H23" s="17"/>
      <c r="I23" s="17"/>
      <c r="J23" s="90"/>
      <c r="K23" s="17"/>
      <c r="L23" s="26" t="s">
        <v>43</v>
      </c>
      <c r="M23" s="17"/>
      <c r="N23" s="17"/>
    </row>
    <row r="24" ht="60.0" customHeight="1">
      <c r="A24" s="78" t="s">
        <v>3244</v>
      </c>
      <c r="B24" s="28"/>
      <c r="C24" s="24" t="s">
        <v>12</v>
      </c>
      <c r="D24" s="28"/>
      <c r="E24" s="28"/>
      <c r="F24" s="28"/>
      <c r="G24" s="28"/>
      <c r="H24" s="28"/>
      <c r="I24" s="28"/>
      <c r="J24" s="91"/>
      <c r="K24" s="28"/>
      <c r="L24" s="26" t="s">
        <v>43</v>
      </c>
      <c r="M24" s="28"/>
      <c r="N24" s="28"/>
    </row>
    <row r="25" ht="60.0" customHeight="1">
      <c r="A25" s="78" t="s">
        <v>3245</v>
      </c>
      <c r="B25" s="17"/>
      <c r="C25" s="24" t="s">
        <v>12</v>
      </c>
      <c r="D25" s="17"/>
      <c r="E25" s="17"/>
      <c r="F25" s="17"/>
      <c r="G25" s="17"/>
      <c r="H25" s="17"/>
      <c r="I25" s="17"/>
      <c r="J25" s="90"/>
      <c r="K25" s="17"/>
      <c r="L25" s="26" t="s">
        <v>43</v>
      </c>
      <c r="M25" s="17"/>
      <c r="N25" s="17"/>
    </row>
    <row r="26" ht="60.0" customHeight="1">
      <c r="A26" s="78" t="s">
        <v>3246</v>
      </c>
      <c r="B26" s="28"/>
      <c r="C26" s="24" t="s">
        <v>12</v>
      </c>
      <c r="D26" s="28"/>
      <c r="E26" s="28"/>
      <c r="F26" s="28"/>
      <c r="G26" s="28"/>
      <c r="H26" s="28"/>
      <c r="I26" s="28"/>
      <c r="J26" s="91"/>
      <c r="K26" s="28"/>
      <c r="L26" s="26" t="s">
        <v>43</v>
      </c>
      <c r="M26" s="28"/>
      <c r="N26" s="28"/>
    </row>
    <row r="27" ht="25.5" customHeight="1">
      <c r="A27" s="55" t="s">
        <v>3247</v>
      </c>
      <c r="B27" s="57"/>
      <c r="C27" s="57"/>
      <c r="D27" s="57"/>
      <c r="E27" s="57"/>
      <c r="F27" s="57"/>
      <c r="G27" s="57"/>
      <c r="H27" s="57"/>
      <c r="I27" s="58"/>
      <c r="L27" s="79">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6" t="s">
        <v>2973</v>
      </c>
      <c r="B1" s="3"/>
      <c r="C1" s="3"/>
      <c r="D1" s="3"/>
      <c r="E1" s="3"/>
      <c r="F1" s="3"/>
      <c r="G1" s="3"/>
      <c r="H1" s="3"/>
      <c r="I1" s="3"/>
      <c r="J1" s="3"/>
      <c r="K1" s="3"/>
      <c r="L1" s="3"/>
      <c r="M1" s="3"/>
      <c r="N1" s="4"/>
    </row>
    <row r="2" ht="27.75" customHeight="1">
      <c r="A2" s="87" t="s">
        <v>2996</v>
      </c>
      <c r="B2" s="3"/>
      <c r="C2" s="3"/>
      <c r="D2" s="3"/>
      <c r="E2" s="3"/>
      <c r="F2" s="3"/>
      <c r="G2" s="3"/>
      <c r="H2" s="3"/>
      <c r="I2" s="3"/>
      <c r="J2" s="3"/>
      <c r="K2" s="3"/>
      <c r="L2" s="3"/>
      <c r="M2" s="3"/>
      <c r="N2" s="4"/>
    </row>
    <row r="3" ht="24.75" customHeight="1">
      <c r="A3" s="88" t="s">
        <v>8</v>
      </c>
      <c r="B3" s="88" t="s">
        <v>13</v>
      </c>
      <c r="C3" s="88" t="s">
        <v>15</v>
      </c>
      <c r="D3" s="88" t="s">
        <v>17</v>
      </c>
      <c r="E3" s="88" t="s">
        <v>18</v>
      </c>
      <c r="F3" s="88" t="s">
        <v>20</v>
      </c>
      <c r="G3" s="88" t="s">
        <v>21</v>
      </c>
      <c r="H3" s="88" t="s">
        <v>22</v>
      </c>
      <c r="I3" s="88" t="s">
        <v>23</v>
      </c>
      <c r="J3" s="88" t="s">
        <v>25</v>
      </c>
      <c r="K3" s="88" t="s">
        <v>26</v>
      </c>
      <c r="L3" s="88" t="s">
        <v>19</v>
      </c>
      <c r="M3" s="88" t="s">
        <v>27</v>
      </c>
      <c r="N3" s="88" t="s">
        <v>28</v>
      </c>
    </row>
    <row r="4" ht="19.5" customHeight="1">
      <c r="A4" s="13" t="s">
        <v>3028</v>
      </c>
      <c r="B4" s="3"/>
      <c r="C4" s="3"/>
      <c r="D4" s="3"/>
      <c r="E4" s="3"/>
      <c r="F4" s="3"/>
      <c r="G4" s="3"/>
      <c r="H4" s="3"/>
      <c r="I4" s="3"/>
      <c r="J4" s="3"/>
      <c r="K4" s="3"/>
      <c r="L4" s="3"/>
      <c r="M4" s="3"/>
      <c r="N4" s="4"/>
    </row>
    <row r="5" ht="60.0" customHeight="1">
      <c r="A5" s="89" t="s">
        <v>3038</v>
      </c>
      <c r="B5" s="17"/>
      <c r="C5" s="19" t="s">
        <v>9</v>
      </c>
      <c r="D5" s="17"/>
      <c r="E5" s="17"/>
      <c r="F5" s="17"/>
      <c r="G5" s="17"/>
      <c r="H5" s="17"/>
      <c r="I5" s="17"/>
      <c r="J5" s="90"/>
      <c r="K5" s="17"/>
      <c r="L5" s="26" t="s">
        <v>43</v>
      </c>
      <c r="M5" s="17"/>
      <c r="N5" s="17"/>
    </row>
    <row r="6" ht="60.0" customHeight="1">
      <c r="A6" s="89" t="s">
        <v>3053</v>
      </c>
      <c r="B6" s="28"/>
      <c r="C6" s="19" t="s">
        <v>9</v>
      </c>
      <c r="D6" s="28"/>
      <c r="E6" s="28"/>
      <c r="F6" s="28"/>
      <c r="G6" s="28"/>
      <c r="H6" s="28"/>
      <c r="I6" s="28"/>
      <c r="J6" s="91"/>
      <c r="K6" s="28"/>
      <c r="L6" s="26" t="s">
        <v>43</v>
      </c>
      <c r="M6" s="28"/>
      <c r="N6" s="28"/>
    </row>
    <row r="7" ht="60.0" customHeight="1">
      <c r="A7" s="89" t="s">
        <v>3061</v>
      </c>
      <c r="B7" s="17"/>
      <c r="C7" s="19" t="s">
        <v>9</v>
      </c>
      <c r="D7" s="17"/>
      <c r="E7" s="17"/>
      <c r="F7" s="17"/>
      <c r="G7" s="17"/>
      <c r="H7" s="17"/>
      <c r="I7" s="17"/>
      <c r="J7" s="90"/>
      <c r="K7" s="17"/>
      <c r="L7" s="26" t="s">
        <v>43</v>
      </c>
      <c r="M7" s="17"/>
      <c r="N7" s="17"/>
    </row>
    <row r="8" ht="60.0" customHeight="1">
      <c r="A8" s="89" t="s">
        <v>3065</v>
      </c>
      <c r="B8" s="28"/>
      <c r="C8" s="19" t="s">
        <v>9</v>
      </c>
      <c r="D8" s="28"/>
      <c r="E8" s="28"/>
      <c r="F8" s="28"/>
      <c r="G8" s="28"/>
      <c r="H8" s="28"/>
      <c r="I8" s="28"/>
      <c r="J8" s="91"/>
      <c r="K8" s="28"/>
      <c r="L8" s="26" t="s">
        <v>43</v>
      </c>
      <c r="M8" s="28"/>
      <c r="N8" s="28"/>
    </row>
    <row r="9" ht="60.0" customHeight="1">
      <c r="A9" s="89" t="s">
        <v>3069</v>
      </c>
      <c r="B9" s="17"/>
      <c r="C9" s="19" t="s">
        <v>9</v>
      </c>
      <c r="D9" s="17"/>
      <c r="E9" s="17"/>
      <c r="F9" s="17"/>
      <c r="G9" s="17"/>
      <c r="H9" s="17"/>
      <c r="I9" s="17"/>
      <c r="J9" s="90"/>
      <c r="K9" s="17"/>
      <c r="L9" s="26" t="s">
        <v>43</v>
      </c>
      <c r="M9" s="17"/>
      <c r="N9" s="17"/>
    </row>
    <row r="10" ht="60.0" customHeight="1">
      <c r="A10" s="89" t="s">
        <v>3070</v>
      </c>
      <c r="B10" s="28"/>
      <c r="C10" s="19" t="s">
        <v>9</v>
      </c>
      <c r="D10" s="28"/>
      <c r="E10" s="28"/>
      <c r="F10" s="28"/>
      <c r="G10" s="28"/>
      <c r="H10" s="28"/>
      <c r="I10" s="28"/>
      <c r="J10" s="91"/>
      <c r="K10" s="28"/>
      <c r="L10" s="26" t="s">
        <v>43</v>
      </c>
      <c r="M10" s="28"/>
      <c r="N10" s="28"/>
    </row>
    <row r="11" ht="19.5" customHeight="1">
      <c r="A11" s="46" t="s">
        <v>3075</v>
      </c>
      <c r="B11" s="3"/>
      <c r="C11" s="3"/>
      <c r="D11" s="3"/>
      <c r="E11" s="3"/>
      <c r="F11" s="3"/>
      <c r="G11" s="3"/>
      <c r="H11" s="3"/>
      <c r="I11" s="3"/>
      <c r="J11" s="3"/>
      <c r="K11" s="3"/>
      <c r="L11" s="3"/>
      <c r="M11" s="3"/>
      <c r="N11" s="4"/>
    </row>
    <row r="12" ht="60.0" customHeight="1">
      <c r="A12" s="89" t="s">
        <v>3084</v>
      </c>
      <c r="B12" s="17"/>
      <c r="C12" s="22" t="s">
        <v>11</v>
      </c>
      <c r="D12" s="17"/>
      <c r="E12" s="17"/>
      <c r="F12" s="17"/>
      <c r="G12" s="17"/>
      <c r="H12" s="17"/>
      <c r="I12" s="17"/>
      <c r="J12" s="90"/>
      <c r="K12" s="17"/>
      <c r="L12" s="26" t="s">
        <v>43</v>
      </c>
      <c r="M12" s="17"/>
      <c r="N12" s="17"/>
    </row>
    <row r="13" ht="60.0" customHeight="1">
      <c r="A13" s="89" t="s">
        <v>3090</v>
      </c>
      <c r="B13" s="28"/>
      <c r="C13" s="22" t="s">
        <v>11</v>
      </c>
      <c r="D13" s="28"/>
      <c r="E13" s="28"/>
      <c r="F13" s="28"/>
      <c r="G13" s="28"/>
      <c r="H13" s="28"/>
      <c r="I13" s="28"/>
      <c r="J13" s="91"/>
      <c r="K13" s="28"/>
      <c r="L13" s="26" t="s">
        <v>43</v>
      </c>
      <c r="M13" s="28"/>
      <c r="N13" s="28"/>
    </row>
    <row r="14" ht="60.0" customHeight="1">
      <c r="A14" s="89" t="s">
        <v>3095</v>
      </c>
      <c r="B14" s="17"/>
      <c r="C14" s="22" t="s">
        <v>11</v>
      </c>
      <c r="D14" s="17"/>
      <c r="E14" s="17"/>
      <c r="F14" s="17"/>
      <c r="G14" s="17"/>
      <c r="H14" s="17"/>
      <c r="I14" s="17"/>
      <c r="J14" s="90"/>
      <c r="K14" s="17"/>
      <c r="L14" s="26" t="s">
        <v>43</v>
      </c>
      <c r="M14" s="17"/>
      <c r="N14" s="17"/>
    </row>
    <row r="15" ht="60.0" customHeight="1">
      <c r="A15" s="89" t="s">
        <v>3099</v>
      </c>
      <c r="B15" s="28"/>
      <c r="C15" s="22" t="s">
        <v>11</v>
      </c>
      <c r="D15" s="28"/>
      <c r="E15" s="28"/>
      <c r="F15" s="28"/>
      <c r="G15" s="28"/>
      <c r="H15" s="28"/>
      <c r="I15" s="28"/>
      <c r="J15" s="91"/>
      <c r="K15" s="28"/>
      <c r="L15" s="26" t="s">
        <v>43</v>
      </c>
      <c r="M15" s="28"/>
      <c r="N15" s="28"/>
    </row>
    <row r="16" ht="60.0" customHeight="1">
      <c r="A16" s="89" t="s">
        <v>3103</v>
      </c>
      <c r="B16" s="17"/>
      <c r="C16" s="22" t="s">
        <v>11</v>
      </c>
      <c r="D16" s="17"/>
      <c r="E16" s="17"/>
      <c r="F16" s="17"/>
      <c r="G16" s="17"/>
      <c r="H16" s="17"/>
      <c r="I16" s="17"/>
      <c r="J16" s="90"/>
      <c r="K16" s="17"/>
      <c r="L16" s="26" t="s">
        <v>43</v>
      </c>
      <c r="M16" s="17"/>
      <c r="N16" s="17"/>
    </row>
    <row r="17" ht="60.0" customHeight="1">
      <c r="A17" s="89" t="s">
        <v>3110</v>
      </c>
      <c r="B17" s="28"/>
      <c r="C17" s="22" t="s">
        <v>11</v>
      </c>
      <c r="D17" s="28"/>
      <c r="E17" s="28"/>
      <c r="F17" s="28"/>
      <c r="G17" s="28"/>
      <c r="H17" s="28"/>
      <c r="I17" s="28"/>
      <c r="J17" s="91"/>
      <c r="K17" s="28"/>
      <c r="L17" s="26" t="s">
        <v>43</v>
      </c>
      <c r="M17" s="28"/>
      <c r="N17" s="28"/>
    </row>
    <row r="18" ht="60.0" customHeight="1">
      <c r="A18" s="89" t="s">
        <v>3114</v>
      </c>
      <c r="B18" s="17"/>
      <c r="C18" s="22" t="s">
        <v>11</v>
      </c>
      <c r="D18" s="17"/>
      <c r="E18" s="17"/>
      <c r="F18" s="17"/>
      <c r="G18" s="17"/>
      <c r="H18" s="17"/>
      <c r="I18" s="17"/>
      <c r="J18" s="90"/>
      <c r="K18" s="17"/>
      <c r="L18" s="26" t="s">
        <v>43</v>
      </c>
      <c r="M18" s="17"/>
      <c r="N18" s="17"/>
    </row>
    <row r="19" ht="60.0" customHeight="1">
      <c r="A19" s="89" t="s">
        <v>3118</v>
      </c>
      <c r="B19" s="28"/>
      <c r="C19" s="22" t="s">
        <v>11</v>
      </c>
      <c r="D19" s="28"/>
      <c r="E19" s="28"/>
      <c r="F19" s="28"/>
      <c r="G19" s="28"/>
      <c r="H19" s="28"/>
      <c r="I19" s="28"/>
      <c r="J19" s="91"/>
      <c r="K19" s="28"/>
      <c r="L19" s="26" t="s">
        <v>43</v>
      </c>
      <c r="M19" s="28"/>
      <c r="N19" s="28"/>
    </row>
    <row r="20" ht="19.5" customHeight="1">
      <c r="A20" s="63" t="s">
        <v>3122</v>
      </c>
      <c r="B20" s="3"/>
      <c r="C20" s="3"/>
      <c r="D20" s="3"/>
      <c r="E20" s="3"/>
      <c r="F20" s="3"/>
      <c r="G20" s="3"/>
      <c r="H20" s="3"/>
      <c r="I20" s="3"/>
      <c r="J20" s="3"/>
      <c r="K20" s="3"/>
      <c r="L20" s="3"/>
      <c r="M20" s="3"/>
      <c r="N20" s="4"/>
    </row>
    <row r="21" ht="60.0" customHeight="1">
      <c r="A21" s="89" t="s">
        <v>3127</v>
      </c>
      <c r="B21" s="17"/>
      <c r="C21" s="24" t="s">
        <v>12</v>
      </c>
      <c r="D21" s="17"/>
      <c r="E21" s="17"/>
      <c r="F21" s="17"/>
      <c r="G21" s="17"/>
      <c r="H21" s="17"/>
      <c r="I21" s="17"/>
      <c r="J21" s="90"/>
      <c r="K21" s="17"/>
      <c r="L21" s="26" t="s">
        <v>43</v>
      </c>
      <c r="M21" s="17"/>
      <c r="N21" s="17"/>
    </row>
    <row r="22" ht="60.0" customHeight="1">
      <c r="A22" s="89" t="s">
        <v>3133</v>
      </c>
      <c r="B22" s="28"/>
      <c r="C22" s="24" t="s">
        <v>12</v>
      </c>
      <c r="D22" s="28"/>
      <c r="E22" s="28"/>
      <c r="F22" s="28"/>
      <c r="G22" s="28"/>
      <c r="H22" s="28"/>
      <c r="I22" s="28"/>
      <c r="J22" s="91"/>
      <c r="K22" s="28"/>
      <c r="L22" s="26" t="s">
        <v>43</v>
      </c>
      <c r="M22" s="28"/>
      <c r="N22" s="28"/>
    </row>
    <row r="23" ht="60.0" customHeight="1">
      <c r="A23" s="89" t="s">
        <v>3140</v>
      </c>
      <c r="B23" s="17"/>
      <c r="C23" s="24" t="s">
        <v>12</v>
      </c>
      <c r="D23" s="17"/>
      <c r="E23" s="17"/>
      <c r="F23" s="17"/>
      <c r="G23" s="17"/>
      <c r="H23" s="17"/>
      <c r="I23" s="17"/>
      <c r="J23" s="90"/>
      <c r="K23" s="17"/>
      <c r="L23" s="26" t="s">
        <v>43</v>
      </c>
      <c r="M23" s="17"/>
      <c r="N23" s="17"/>
    </row>
    <row r="24" ht="60.0" customHeight="1">
      <c r="A24" s="89" t="s">
        <v>3144</v>
      </c>
      <c r="B24" s="28"/>
      <c r="C24" s="24" t="s">
        <v>12</v>
      </c>
      <c r="D24" s="28"/>
      <c r="E24" s="28"/>
      <c r="F24" s="28"/>
      <c r="G24" s="28"/>
      <c r="H24" s="28"/>
      <c r="I24" s="28"/>
      <c r="J24" s="91"/>
      <c r="K24" s="28"/>
      <c r="L24" s="26" t="s">
        <v>43</v>
      </c>
      <c r="M24" s="28"/>
      <c r="N24" s="28"/>
    </row>
    <row r="25" ht="60.0" customHeight="1">
      <c r="A25" s="89" t="s">
        <v>3149</v>
      </c>
      <c r="B25" s="17"/>
      <c r="C25" s="24" t="s">
        <v>12</v>
      </c>
      <c r="D25" s="17"/>
      <c r="E25" s="17"/>
      <c r="F25" s="17"/>
      <c r="G25" s="17"/>
      <c r="H25" s="17"/>
      <c r="I25" s="17"/>
      <c r="J25" s="90"/>
      <c r="K25" s="17"/>
      <c r="L25" s="26" t="s">
        <v>43</v>
      </c>
      <c r="M25" s="17"/>
      <c r="N25" s="17"/>
    </row>
    <row r="26" ht="60.0" customHeight="1">
      <c r="A26" s="89" t="s">
        <v>3153</v>
      </c>
      <c r="B26" s="28"/>
      <c r="C26" s="24" t="s">
        <v>12</v>
      </c>
      <c r="D26" s="28"/>
      <c r="E26" s="28"/>
      <c r="F26" s="28"/>
      <c r="G26" s="28"/>
      <c r="H26" s="28"/>
      <c r="I26" s="28"/>
      <c r="J26" s="91"/>
      <c r="K26" s="28"/>
      <c r="L26" s="26" t="s">
        <v>43</v>
      </c>
      <c r="M26" s="28"/>
      <c r="N26" s="28"/>
    </row>
    <row r="27" ht="25.5" customHeight="1">
      <c r="A27" s="55" t="s">
        <v>3159</v>
      </c>
      <c r="B27" s="57"/>
      <c r="C27" s="57"/>
      <c r="D27" s="57"/>
      <c r="E27" s="57"/>
      <c r="F27" s="57"/>
      <c r="G27" s="57"/>
      <c r="H27" s="57"/>
      <c r="I27" s="58"/>
      <c r="L27" s="93">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6" t="s">
        <v>3202</v>
      </c>
      <c r="B1" s="3"/>
      <c r="C1" s="3"/>
      <c r="D1" s="3"/>
      <c r="E1" s="3"/>
      <c r="F1" s="3"/>
      <c r="G1" s="3"/>
      <c r="H1" s="3"/>
      <c r="I1" s="3"/>
      <c r="J1" s="3"/>
      <c r="K1" s="3"/>
      <c r="L1" s="3"/>
      <c r="M1" s="3"/>
      <c r="N1" s="4"/>
    </row>
    <row r="2" ht="27.75" customHeight="1">
      <c r="A2" s="68" t="s">
        <v>3203</v>
      </c>
      <c r="B2" s="3"/>
      <c r="C2" s="3"/>
      <c r="D2" s="3"/>
      <c r="E2" s="3"/>
      <c r="F2" s="3"/>
      <c r="G2" s="3"/>
      <c r="H2" s="3"/>
      <c r="I2" s="3"/>
      <c r="J2" s="3"/>
      <c r="K2" s="3"/>
      <c r="L2" s="3"/>
      <c r="M2" s="3"/>
      <c r="N2" s="4"/>
    </row>
    <row r="3" ht="24.75" customHeight="1">
      <c r="A3" s="9" t="s">
        <v>8</v>
      </c>
      <c r="B3" s="9" t="s">
        <v>13</v>
      </c>
      <c r="C3" s="9" t="s">
        <v>15</v>
      </c>
      <c r="D3" s="9" t="s">
        <v>17</v>
      </c>
      <c r="E3" s="9" t="s">
        <v>18</v>
      </c>
      <c r="F3" s="9" t="s">
        <v>20</v>
      </c>
      <c r="G3" s="9" t="s">
        <v>21</v>
      </c>
      <c r="H3" s="9" t="s">
        <v>22</v>
      </c>
      <c r="I3" s="9" t="s">
        <v>23</v>
      </c>
      <c r="J3" s="9" t="s">
        <v>25</v>
      </c>
      <c r="K3" s="9" t="s">
        <v>26</v>
      </c>
      <c r="L3" s="9" t="s">
        <v>19</v>
      </c>
      <c r="M3" s="9" t="s">
        <v>27</v>
      </c>
      <c r="N3" s="9" t="s">
        <v>28</v>
      </c>
    </row>
    <row r="4" ht="19.5" customHeight="1">
      <c r="A4" s="13" t="s">
        <v>3028</v>
      </c>
      <c r="B4" s="3"/>
      <c r="C4" s="3"/>
      <c r="D4" s="3"/>
      <c r="E4" s="3"/>
      <c r="F4" s="3"/>
      <c r="G4" s="3"/>
      <c r="H4" s="3"/>
      <c r="I4" s="3"/>
      <c r="J4" s="3"/>
      <c r="K4" s="3"/>
      <c r="L4" s="3"/>
      <c r="M4" s="3"/>
      <c r="N4" s="4"/>
    </row>
    <row r="5" ht="60.0" customHeight="1">
      <c r="A5" s="95" t="s">
        <v>3205</v>
      </c>
      <c r="B5" s="17"/>
      <c r="C5" s="19" t="s">
        <v>9</v>
      </c>
      <c r="D5" s="17"/>
      <c r="E5" s="17"/>
      <c r="F5" s="17"/>
      <c r="G5" s="17"/>
      <c r="H5" s="17"/>
      <c r="I5" s="17"/>
      <c r="J5" s="90"/>
      <c r="K5" s="17"/>
      <c r="L5" s="26" t="s">
        <v>43</v>
      </c>
      <c r="M5" s="17"/>
      <c r="N5" s="17"/>
    </row>
    <row r="6" ht="60.0" customHeight="1">
      <c r="A6" s="95" t="s">
        <v>3207</v>
      </c>
      <c r="B6" s="28"/>
      <c r="C6" s="19" t="s">
        <v>9</v>
      </c>
      <c r="D6" s="28"/>
      <c r="E6" s="28"/>
      <c r="F6" s="28"/>
      <c r="G6" s="28"/>
      <c r="H6" s="28"/>
      <c r="I6" s="28"/>
      <c r="J6" s="91"/>
      <c r="K6" s="28"/>
      <c r="L6" s="26" t="s">
        <v>43</v>
      </c>
      <c r="M6" s="28"/>
      <c r="N6" s="28"/>
    </row>
    <row r="7" ht="60.0" customHeight="1">
      <c r="A7" s="95" t="s">
        <v>3208</v>
      </c>
      <c r="B7" s="17"/>
      <c r="C7" s="19" t="s">
        <v>9</v>
      </c>
      <c r="D7" s="17"/>
      <c r="E7" s="17"/>
      <c r="F7" s="17"/>
      <c r="G7" s="17"/>
      <c r="H7" s="17"/>
      <c r="I7" s="17"/>
      <c r="J7" s="90"/>
      <c r="K7" s="17"/>
      <c r="L7" s="26" t="s">
        <v>43</v>
      </c>
      <c r="M7" s="17"/>
      <c r="N7" s="17"/>
    </row>
    <row r="8" ht="60.0" customHeight="1">
      <c r="A8" s="95" t="s">
        <v>3209</v>
      </c>
      <c r="B8" s="28"/>
      <c r="C8" s="19" t="s">
        <v>9</v>
      </c>
      <c r="D8" s="28"/>
      <c r="E8" s="28"/>
      <c r="F8" s="28"/>
      <c r="G8" s="28"/>
      <c r="H8" s="28"/>
      <c r="I8" s="28"/>
      <c r="J8" s="91"/>
      <c r="K8" s="28"/>
      <c r="L8" s="26" t="s">
        <v>43</v>
      </c>
      <c r="M8" s="28"/>
      <c r="N8" s="28"/>
    </row>
    <row r="9" ht="60.0" customHeight="1">
      <c r="A9" s="95" t="s">
        <v>3210</v>
      </c>
      <c r="B9" s="17"/>
      <c r="C9" s="19" t="s">
        <v>9</v>
      </c>
      <c r="D9" s="17"/>
      <c r="E9" s="17"/>
      <c r="F9" s="17"/>
      <c r="G9" s="17"/>
      <c r="H9" s="17"/>
      <c r="I9" s="17"/>
      <c r="J9" s="90"/>
      <c r="K9" s="17"/>
      <c r="L9" s="26" t="s">
        <v>43</v>
      </c>
      <c r="M9" s="17"/>
      <c r="N9" s="17"/>
    </row>
    <row r="10" ht="60.0" customHeight="1">
      <c r="A10" s="95" t="s">
        <v>3212</v>
      </c>
      <c r="B10" s="28"/>
      <c r="C10" s="19" t="s">
        <v>9</v>
      </c>
      <c r="D10" s="28"/>
      <c r="E10" s="28"/>
      <c r="F10" s="28"/>
      <c r="G10" s="28"/>
      <c r="H10" s="28"/>
      <c r="I10" s="28"/>
      <c r="J10" s="91"/>
      <c r="K10" s="28"/>
      <c r="L10" s="26" t="s">
        <v>43</v>
      </c>
      <c r="M10" s="28"/>
      <c r="N10" s="28"/>
    </row>
    <row r="11" ht="19.5" customHeight="1">
      <c r="A11" s="46" t="s">
        <v>3075</v>
      </c>
      <c r="B11" s="3"/>
      <c r="C11" s="3"/>
      <c r="D11" s="3"/>
      <c r="E11" s="3"/>
      <c r="F11" s="3"/>
      <c r="G11" s="3"/>
      <c r="H11" s="3"/>
      <c r="I11" s="3"/>
      <c r="J11" s="3"/>
      <c r="K11" s="3"/>
      <c r="L11" s="3"/>
      <c r="M11" s="3"/>
      <c r="N11" s="4"/>
    </row>
    <row r="12" ht="60.0" customHeight="1">
      <c r="A12" s="95" t="s">
        <v>3214</v>
      </c>
      <c r="B12" s="17"/>
      <c r="C12" s="22" t="s">
        <v>11</v>
      </c>
      <c r="D12" s="17"/>
      <c r="E12" s="17"/>
      <c r="F12" s="17"/>
      <c r="G12" s="17"/>
      <c r="H12" s="17"/>
      <c r="I12" s="17"/>
      <c r="J12" s="90"/>
      <c r="K12" s="17"/>
      <c r="L12" s="26" t="s">
        <v>43</v>
      </c>
      <c r="M12" s="17"/>
      <c r="N12" s="17"/>
    </row>
    <row r="13" ht="60.0" customHeight="1">
      <c r="A13" s="95" t="s">
        <v>3215</v>
      </c>
      <c r="B13" s="28"/>
      <c r="C13" s="22" t="s">
        <v>11</v>
      </c>
      <c r="D13" s="28"/>
      <c r="E13" s="28"/>
      <c r="F13" s="28"/>
      <c r="G13" s="28"/>
      <c r="H13" s="28"/>
      <c r="I13" s="28"/>
      <c r="J13" s="91"/>
      <c r="K13" s="28"/>
      <c r="L13" s="26" t="s">
        <v>43</v>
      </c>
      <c r="M13" s="28"/>
      <c r="N13" s="28"/>
    </row>
    <row r="14" ht="60.0" customHeight="1">
      <c r="A14" s="95" t="s">
        <v>3217</v>
      </c>
      <c r="B14" s="17"/>
      <c r="C14" s="22" t="s">
        <v>11</v>
      </c>
      <c r="D14" s="17"/>
      <c r="E14" s="17"/>
      <c r="F14" s="17"/>
      <c r="G14" s="17"/>
      <c r="H14" s="17"/>
      <c r="I14" s="17"/>
      <c r="J14" s="90"/>
      <c r="K14" s="17"/>
      <c r="L14" s="26" t="s">
        <v>43</v>
      </c>
      <c r="M14" s="17"/>
      <c r="N14" s="17"/>
    </row>
    <row r="15" ht="60.0" customHeight="1">
      <c r="A15" s="95" t="s">
        <v>3219</v>
      </c>
      <c r="B15" s="28"/>
      <c r="C15" s="22" t="s">
        <v>11</v>
      </c>
      <c r="D15" s="28"/>
      <c r="E15" s="28"/>
      <c r="F15" s="28"/>
      <c r="G15" s="28"/>
      <c r="H15" s="28"/>
      <c r="I15" s="28"/>
      <c r="J15" s="91"/>
      <c r="K15" s="28"/>
      <c r="L15" s="26" t="s">
        <v>43</v>
      </c>
      <c r="M15" s="28"/>
      <c r="N15" s="28"/>
    </row>
    <row r="16" ht="60.0" customHeight="1">
      <c r="A16" s="95" t="s">
        <v>3221</v>
      </c>
      <c r="B16" s="17"/>
      <c r="C16" s="22" t="s">
        <v>11</v>
      </c>
      <c r="D16" s="17"/>
      <c r="E16" s="17"/>
      <c r="F16" s="17"/>
      <c r="G16" s="17"/>
      <c r="H16" s="17"/>
      <c r="I16" s="17"/>
      <c r="J16" s="90"/>
      <c r="K16" s="17"/>
      <c r="L16" s="26" t="s">
        <v>43</v>
      </c>
      <c r="M16" s="17"/>
      <c r="N16" s="17"/>
    </row>
    <row r="17" ht="60.0" customHeight="1">
      <c r="A17" s="95" t="s">
        <v>3223</v>
      </c>
      <c r="B17" s="28"/>
      <c r="C17" s="22" t="s">
        <v>11</v>
      </c>
      <c r="D17" s="28"/>
      <c r="E17" s="28"/>
      <c r="F17" s="28"/>
      <c r="G17" s="28"/>
      <c r="H17" s="28"/>
      <c r="I17" s="28"/>
      <c r="J17" s="91"/>
      <c r="K17" s="28"/>
      <c r="L17" s="26" t="s">
        <v>43</v>
      </c>
      <c r="M17" s="28"/>
      <c r="N17" s="28"/>
    </row>
    <row r="18" ht="60.0" customHeight="1">
      <c r="A18" s="95" t="s">
        <v>3224</v>
      </c>
      <c r="B18" s="17"/>
      <c r="C18" s="22" t="s">
        <v>11</v>
      </c>
      <c r="D18" s="17"/>
      <c r="E18" s="17"/>
      <c r="F18" s="17"/>
      <c r="G18" s="17"/>
      <c r="H18" s="17"/>
      <c r="I18" s="17"/>
      <c r="J18" s="90"/>
      <c r="K18" s="17"/>
      <c r="L18" s="26" t="s">
        <v>43</v>
      </c>
      <c r="M18" s="17"/>
      <c r="N18" s="17"/>
    </row>
    <row r="19" ht="60.0" customHeight="1">
      <c r="A19" s="95" t="s">
        <v>3225</v>
      </c>
      <c r="B19" s="28"/>
      <c r="C19" s="22" t="s">
        <v>11</v>
      </c>
      <c r="D19" s="28"/>
      <c r="E19" s="28"/>
      <c r="F19" s="28"/>
      <c r="G19" s="28"/>
      <c r="H19" s="28"/>
      <c r="I19" s="28"/>
      <c r="J19" s="91"/>
      <c r="K19" s="28"/>
      <c r="L19" s="26" t="s">
        <v>43</v>
      </c>
      <c r="M19" s="28"/>
      <c r="N19" s="28"/>
    </row>
    <row r="20" ht="19.5" customHeight="1">
      <c r="A20" s="63" t="s">
        <v>3122</v>
      </c>
      <c r="B20" s="3"/>
      <c r="C20" s="3"/>
      <c r="D20" s="3"/>
      <c r="E20" s="3"/>
      <c r="F20" s="3"/>
      <c r="G20" s="3"/>
      <c r="H20" s="3"/>
      <c r="I20" s="3"/>
      <c r="J20" s="3"/>
      <c r="K20" s="3"/>
      <c r="L20" s="3"/>
      <c r="M20" s="3"/>
      <c r="N20" s="4"/>
    </row>
    <row r="21" ht="60.0" customHeight="1">
      <c r="A21" s="95" t="s">
        <v>3227</v>
      </c>
      <c r="B21" s="17"/>
      <c r="C21" s="24" t="s">
        <v>12</v>
      </c>
      <c r="D21" s="17"/>
      <c r="E21" s="17"/>
      <c r="F21" s="17"/>
      <c r="G21" s="17"/>
      <c r="H21" s="17"/>
      <c r="I21" s="17"/>
      <c r="J21" s="90"/>
      <c r="K21" s="17"/>
      <c r="L21" s="26" t="s">
        <v>43</v>
      </c>
      <c r="M21" s="17"/>
      <c r="N21" s="17"/>
    </row>
    <row r="22" ht="60.0" customHeight="1">
      <c r="A22" s="95" t="s">
        <v>3229</v>
      </c>
      <c r="B22" s="28"/>
      <c r="C22" s="24" t="s">
        <v>12</v>
      </c>
      <c r="D22" s="28"/>
      <c r="E22" s="28"/>
      <c r="F22" s="28"/>
      <c r="G22" s="28"/>
      <c r="H22" s="28"/>
      <c r="I22" s="28"/>
      <c r="J22" s="91"/>
      <c r="K22" s="28"/>
      <c r="L22" s="26" t="s">
        <v>43</v>
      </c>
      <c r="M22" s="28"/>
      <c r="N22" s="28"/>
    </row>
    <row r="23" ht="60.0" customHeight="1">
      <c r="A23" s="95" t="s">
        <v>3231</v>
      </c>
      <c r="B23" s="17"/>
      <c r="C23" s="24" t="s">
        <v>12</v>
      </c>
      <c r="D23" s="17"/>
      <c r="E23" s="17"/>
      <c r="F23" s="17"/>
      <c r="G23" s="17"/>
      <c r="H23" s="17"/>
      <c r="I23" s="17"/>
      <c r="J23" s="90"/>
      <c r="K23" s="17"/>
      <c r="L23" s="26" t="s">
        <v>43</v>
      </c>
      <c r="M23" s="17"/>
      <c r="N23" s="17"/>
    </row>
    <row r="24" ht="60.0" customHeight="1">
      <c r="A24" s="95" t="s">
        <v>3233</v>
      </c>
      <c r="B24" s="28"/>
      <c r="C24" s="24" t="s">
        <v>12</v>
      </c>
      <c r="D24" s="28"/>
      <c r="E24" s="28"/>
      <c r="F24" s="28"/>
      <c r="G24" s="28"/>
      <c r="H24" s="28"/>
      <c r="I24" s="28"/>
      <c r="J24" s="91"/>
      <c r="K24" s="28"/>
      <c r="L24" s="26" t="s">
        <v>43</v>
      </c>
      <c r="M24" s="28"/>
      <c r="N24" s="28"/>
    </row>
    <row r="25" ht="60.0" customHeight="1">
      <c r="A25" s="95" t="s">
        <v>3234</v>
      </c>
      <c r="B25" s="17"/>
      <c r="C25" s="24" t="s">
        <v>12</v>
      </c>
      <c r="D25" s="17"/>
      <c r="E25" s="17"/>
      <c r="F25" s="17"/>
      <c r="G25" s="17"/>
      <c r="H25" s="17"/>
      <c r="I25" s="17"/>
      <c r="J25" s="90"/>
      <c r="K25" s="17"/>
      <c r="L25" s="26" t="s">
        <v>43</v>
      </c>
      <c r="M25" s="17"/>
      <c r="N25" s="17"/>
    </row>
    <row r="26" ht="60.0" customHeight="1">
      <c r="A26" s="95" t="s">
        <v>3236</v>
      </c>
      <c r="B26" s="28"/>
      <c r="C26" s="24" t="s">
        <v>12</v>
      </c>
      <c r="D26" s="28"/>
      <c r="E26" s="28"/>
      <c r="F26" s="28"/>
      <c r="G26" s="28"/>
      <c r="H26" s="28"/>
      <c r="I26" s="28"/>
      <c r="J26" s="91"/>
      <c r="K26" s="28"/>
      <c r="L26" s="26" t="s">
        <v>43</v>
      </c>
      <c r="M26" s="28"/>
      <c r="N26" s="28"/>
    </row>
    <row r="27" ht="25.5" customHeight="1">
      <c r="A27" s="55" t="s">
        <v>3238</v>
      </c>
      <c r="B27" s="57"/>
      <c r="C27" s="57"/>
      <c r="D27" s="57"/>
      <c r="E27" s="57"/>
      <c r="F27" s="57"/>
      <c r="G27" s="57"/>
      <c r="H27" s="57"/>
      <c r="I27" s="58"/>
      <c r="L27" s="97">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6" t="s">
        <v>3204</v>
      </c>
      <c r="B1" s="3"/>
      <c r="C1" s="3"/>
      <c r="D1" s="3"/>
      <c r="E1" s="3"/>
      <c r="F1" s="3"/>
      <c r="G1" s="3"/>
      <c r="H1" s="3"/>
      <c r="I1" s="3"/>
      <c r="J1" s="3"/>
      <c r="K1" s="3"/>
      <c r="L1" s="3"/>
      <c r="M1" s="3"/>
      <c r="N1" s="4"/>
    </row>
    <row r="2" ht="27.75" customHeight="1">
      <c r="A2" s="77" t="s">
        <v>3206</v>
      </c>
      <c r="B2" s="3"/>
      <c r="C2" s="3"/>
      <c r="D2" s="3"/>
      <c r="E2" s="3"/>
      <c r="F2" s="3"/>
      <c r="G2" s="3"/>
      <c r="H2" s="3"/>
      <c r="I2" s="3"/>
      <c r="J2" s="3"/>
      <c r="K2" s="3"/>
      <c r="L2" s="3"/>
      <c r="M2" s="3"/>
      <c r="N2" s="4"/>
    </row>
    <row r="3" ht="24.75" customHeight="1">
      <c r="A3" s="96" t="s">
        <v>8</v>
      </c>
      <c r="B3" s="96" t="s">
        <v>13</v>
      </c>
      <c r="C3" s="96" t="s">
        <v>15</v>
      </c>
      <c r="D3" s="96" t="s">
        <v>17</v>
      </c>
      <c r="E3" s="96" t="s">
        <v>18</v>
      </c>
      <c r="F3" s="96" t="s">
        <v>20</v>
      </c>
      <c r="G3" s="96" t="s">
        <v>21</v>
      </c>
      <c r="H3" s="96" t="s">
        <v>22</v>
      </c>
      <c r="I3" s="96" t="s">
        <v>23</v>
      </c>
      <c r="J3" s="96" t="s">
        <v>25</v>
      </c>
      <c r="K3" s="96" t="s">
        <v>26</v>
      </c>
      <c r="L3" s="96" t="s">
        <v>19</v>
      </c>
      <c r="M3" s="96" t="s">
        <v>27</v>
      </c>
      <c r="N3" s="96" t="s">
        <v>28</v>
      </c>
    </row>
    <row r="4" ht="19.5" customHeight="1">
      <c r="A4" s="13" t="s">
        <v>3028</v>
      </c>
      <c r="B4" s="3"/>
      <c r="C4" s="3"/>
      <c r="D4" s="3"/>
      <c r="E4" s="3"/>
      <c r="F4" s="3"/>
      <c r="G4" s="3"/>
      <c r="H4" s="3"/>
      <c r="I4" s="3"/>
      <c r="J4" s="3"/>
      <c r="K4" s="3"/>
      <c r="L4" s="3"/>
      <c r="M4" s="3"/>
      <c r="N4" s="4"/>
    </row>
    <row r="5" ht="60.0" customHeight="1">
      <c r="A5" s="78" t="s">
        <v>3211</v>
      </c>
      <c r="B5" s="17"/>
      <c r="C5" s="19" t="s">
        <v>9</v>
      </c>
      <c r="D5" s="17"/>
      <c r="E5" s="17"/>
      <c r="F5" s="17"/>
      <c r="G5" s="17"/>
      <c r="H5" s="17"/>
      <c r="I5" s="17"/>
      <c r="J5" s="90"/>
      <c r="K5" s="17"/>
      <c r="L5" s="26" t="s">
        <v>43</v>
      </c>
      <c r="M5" s="17"/>
      <c r="N5" s="17"/>
    </row>
    <row r="6" ht="60.0" customHeight="1">
      <c r="A6" s="78" t="s">
        <v>3213</v>
      </c>
      <c r="B6" s="28"/>
      <c r="C6" s="19" t="s">
        <v>9</v>
      </c>
      <c r="D6" s="28"/>
      <c r="E6" s="28"/>
      <c r="F6" s="28"/>
      <c r="G6" s="28"/>
      <c r="H6" s="28"/>
      <c r="I6" s="28"/>
      <c r="J6" s="91"/>
      <c r="K6" s="28"/>
      <c r="L6" s="26" t="s">
        <v>43</v>
      </c>
      <c r="M6" s="28"/>
      <c r="N6" s="28"/>
    </row>
    <row r="7" ht="60.0" customHeight="1">
      <c r="A7" s="78" t="s">
        <v>3216</v>
      </c>
      <c r="B7" s="17"/>
      <c r="C7" s="19" t="s">
        <v>9</v>
      </c>
      <c r="D7" s="17"/>
      <c r="E7" s="17"/>
      <c r="F7" s="17"/>
      <c r="G7" s="17"/>
      <c r="H7" s="17"/>
      <c r="I7" s="17"/>
      <c r="J7" s="90"/>
      <c r="K7" s="17"/>
      <c r="L7" s="26" t="s">
        <v>43</v>
      </c>
      <c r="M7" s="17"/>
      <c r="N7" s="17"/>
    </row>
    <row r="8" ht="60.0" customHeight="1">
      <c r="A8" s="78" t="s">
        <v>3218</v>
      </c>
      <c r="B8" s="28"/>
      <c r="C8" s="19" t="s">
        <v>9</v>
      </c>
      <c r="D8" s="28"/>
      <c r="E8" s="28"/>
      <c r="F8" s="28"/>
      <c r="G8" s="28"/>
      <c r="H8" s="28"/>
      <c r="I8" s="28"/>
      <c r="J8" s="91"/>
      <c r="K8" s="28"/>
      <c r="L8" s="26" t="s">
        <v>43</v>
      </c>
      <c r="M8" s="28"/>
      <c r="N8" s="28"/>
    </row>
    <row r="9" ht="60.0" customHeight="1">
      <c r="A9" s="78" t="s">
        <v>3220</v>
      </c>
      <c r="B9" s="17"/>
      <c r="C9" s="19" t="s">
        <v>9</v>
      </c>
      <c r="D9" s="17"/>
      <c r="E9" s="17"/>
      <c r="F9" s="17"/>
      <c r="G9" s="17"/>
      <c r="H9" s="17"/>
      <c r="I9" s="17"/>
      <c r="J9" s="90"/>
      <c r="K9" s="17"/>
      <c r="L9" s="26" t="s">
        <v>43</v>
      </c>
      <c r="M9" s="17"/>
      <c r="N9" s="17"/>
    </row>
    <row r="10" ht="60.0" customHeight="1">
      <c r="A10" s="78" t="s">
        <v>3222</v>
      </c>
      <c r="B10" s="28"/>
      <c r="C10" s="19" t="s">
        <v>9</v>
      </c>
      <c r="D10" s="28"/>
      <c r="E10" s="28"/>
      <c r="F10" s="28"/>
      <c r="G10" s="28"/>
      <c r="H10" s="28"/>
      <c r="I10" s="28"/>
      <c r="J10" s="91"/>
      <c r="K10" s="28"/>
      <c r="L10" s="26" t="s">
        <v>43</v>
      </c>
      <c r="M10" s="28"/>
      <c r="N10" s="28"/>
    </row>
    <row r="11" ht="19.5" customHeight="1">
      <c r="A11" s="46" t="s">
        <v>3075</v>
      </c>
      <c r="B11" s="3"/>
      <c r="C11" s="3"/>
      <c r="D11" s="3"/>
      <c r="E11" s="3"/>
      <c r="F11" s="3"/>
      <c r="G11" s="3"/>
      <c r="H11" s="3"/>
      <c r="I11" s="3"/>
      <c r="J11" s="3"/>
      <c r="K11" s="3"/>
      <c r="L11" s="3"/>
      <c r="M11" s="3"/>
      <c r="N11" s="4"/>
    </row>
    <row r="12" ht="60.0" customHeight="1">
      <c r="A12" s="78" t="s">
        <v>3226</v>
      </c>
      <c r="B12" s="17"/>
      <c r="C12" s="22" t="s">
        <v>11</v>
      </c>
      <c r="D12" s="17"/>
      <c r="E12" s="17"/>
      <c r="F12" s="17"/>
      <c r="G12" s="17"/>
      <c r="H12" s="17"/>
      <c r="I12" s="17"/>
      <c r="J12" s="90"/>
      <c r="K12" s="17"/>
      <c r="L12" s="26" t="s">
        <v>43</v>
      </c>
      <c r="M12" s="17"/>
      <c r="N12" s="17"/>
    </row>
    <row r="13" ht="60.0" customHeight="1">
      <c r="A13" s="78" t="s">
        <v>3228</v>
      </c>
      <c r="B13" s="28"/>
      <c r="C13" s="22" t="s">
        <v>11</v>
      </c>
      <c r="D13" s="28"/>
      <c r="E13" s="28"/>
      <c r="F13" s="28"/>
      <c r="G13" s="28"/>
      <c r="H13" s="28"/>
      <c r="I13" s="28"/>
      <c r="J13" s="91"/>
      <c r="K13" s="28"/>
      <c r="L13" s="26" t="s">
        <v>43</v>
      </c>
      <c r="M13" s="28"/>
      <c r="N13" s="28"/>
    </row>
    <row r="14" ht="60.0" customHeight="1">
      <c r="A14" s="78" t="s">
        <v>3230</v>
      </c>
      <c r="B14" s="17"/>
      <c r="C14" s="22" t="s">
        <v>11</v>
      </c>
      <c r="D14" s="17"/>
      <c r="E14" s="17"/>
      <c r="F14" s="17"/>
      <c r="G14" s="17"/>
      <c r="H14" s="17"/>
      <c r="I14" s="17"/>
      <c r="J14" s="90"/>
      <c r="K14" s="17"/>
      <c r="L14" s="26" t="s">
        <v>43</v>
      </c>
      <c r="M14" s="17"/>
      <c r="N14" s="17"/>
    </row>
    <row r="15" ht="60.0" customHeight="1">
      <c r="A15" s="78" t="s">
        <v>3232</v>
      </c>
      <c r="B15" s="28"/>
      <c r="C15" s="22" t="s">
        <v>11</v>
      </c>
      <c r="D15" s="28"/>
      <c r="E15" s="28"/>
      <c r="F15" s="28"/>
      <c r="G15" s="28"/>
      <c r="H15" s="28"/>
      <c r="I15" s="28"/>
      <c r="J15" s="91"/>
      <c r="K15" s="28"/>
      <c r="L15" s="26" t="s">
        <v>43</v>
      </c>
      <c r="M15" s="28"/>
      <c r="N15" s="28"/>
    </row>
    <row r="16" ht="60.0" customHeight="1">
      <c r="A16" s="78" t="s">
        <v>3235</v>
      </c>
      <c r="B16" s="17"/>
      <c r="C16" s="22" t="s">
        <v>11</v>
      </c>
      <c r="D16" s="17"/>
      <c r="E16" s="17"/>
      <c r="F16" s="17"/>
      <c r="G16" s="17"/>
      <c r="H16" s="17"/>
      <c r="I16" s="17"/>
      <c r="J16" s="90"/>
      <c r="K16" s="17"/>
      <c r="L16" s="26" t="s">
        <v>43</v>
      </c>
      <c r="M16" s="17"/>
      <c r="N16" s="17"/>
    </row>
    <row r="17" ht="60.0" customHeight="1">
      <c r="A17" s="78" t="s">
        <v>3237</v>
      </c>
      <c r="B17" s="28"/>
      <c r="C17" s="22" t="s">
        <v>11</v>
      </c>
      <c r="D17" s="28"/>
      <c r="E17" s="28"/>
      <c r="F17" s="28"/>
      <c r="G17" s="28"/>
      <c r="H17" s="28"/>
      <c r="I17" s="28"/>
      <c r="J17" s="91"/>
      <c r="K17" s="28"/>
      <c r="L17" s="26" t="s">
        <v>43</v>
      </c>
      <c r="M17" s="28"/>
      <c r="N17" s="28"/>
    </row>
    <row r="18" ht="60.0" customHeight="1">
      <c r="A18" s="78" t="s">
        <v>3239</v>
      </c>
      <c r="B18" s="17"/>
      <c r="C18" s="22" t="s">
        <v>11</v>
      </c>
      <c r="D18" s="17"/>
      <c r="E18" s="17"/>
      <c r="F18" s="17"/>
      <c r="G18" s="17"/>
      <c r="H18" s="17"/>
      <c r="I18" s="17"/>
      <c r="J18" s="90"/>
      <c r="K18" s="17"/>
      <c r="L18" s="26" t="s">
        <v>43</v>
      </c>
      <c r="M18" s="17"/>
      <c r="N18" s="17"/>
    </row>
    <row r="19" ht="60.0" customHeight="1">
      <c r="A19" s="78" t="s">
        <v>3240</v>
      </c>
      <c r="B19" s="28"/>
      <c r="C19" s="22" t="s">
        <v>11</v>
      </c>
      <c r="D19" s="28"/>
      <c r="E19" s="28"/>
      <c r="F19" s="28"/>
      <c r="G19" s="28"/>
      <c r="H19" s="28"/>
      <c r="I19" s="28"/>
      <c r="J19" s="91"/>
      <c r="K19" s="28"/>
      <c r="L19" s="26" t="s">
        <v>43</v>
      </c>
      <c r="M19" s="28"/>
      <c r="N19" s="28"/>
    </row>
    <row r="20" ht="19.5" customHeight="1">
      <c r="A20" s="63" t="s">
        <v>3122</v>
      </c>
      <c r="B20" s="3"/>
      <c r="C20" s="3"/>
      <c r="D20" s="3"/>
      <c r="E20" s="3"/>
      <c r="F20" s="3"/>
      <c r="G20" s="3"/>
      <c r="H20" s="3"/>
      <c r="I20" s="3"/>
      <c r="J20" s="3"/>
      <c r="K20" s="3"/>
      <c r="L20" s="3"/>
      <c r="M20" s="3"/>
      <c r="N20" s="4"/>
    </row>
    <row r="21" ht="60.0" customHeight="1">
      <c r="A21" s="78" t="s">
        <v>3241</v>
      </c>
      <c r="B21" s="17"/>
      <c r="C21" s="24" t="s">
        <v>12</v>
      </c>
      <c r="D21" s="17"/>
      <c r="E21" s="17"/>
      <c r="F21" s="17"/>
      <c r="G21" s="17"/>
      <c r="H21" s="17"/>
      <c r="I21" s="17"/>
      <c r="J21" s="90"/>
      <c r="K21" s="17"/>
      <c r="L21" s="26" t="s">
        <v>43</v>
      </c>
      <c r="M21" s="17"/>
      <c r="N21" s="17"/>
    </row>
    <row r="22" ht="60.0" customHeight="1">
      <c r="A22" s="78" t="s">
        <v>3242</v>
      </c>
      <c r="B22" s="28"/>
      <c r="C22" s="24" t="s">
        <v>12</v>
      </c>
      <c r="D22" s="28"/>
      <c r="E22" s="28"/>
      <c r="F22" s="28"/>
      <c r="G22" s="28"/>
      <c r="H22" s="28"/>
      <c r="I22" s="28"/>
      <c r="J22" s="91"/>
      <c r="K22" s="28"/>
      <c r="L22" s="26" t="s">
        <v>43</v>
      </c>
      <c r="M22" s="28"/>
      <c r="N22" s="28"/>
    </row>
    <row r="23" ht="60.0" customHeight="1">
      <c r="A23" s="78" t="s">
        <v>3243</v>
      </c>
      <c r="B23" s="17"/>
      <c r="C23" s="24" t="s">
        <v>12</v>
      </c>
      <c r="D23" s="17"/>
      <c r="E23" s="17"/>
      <c r="F23" s="17"/>
      <c r="G23" s="17"/>
      <c r="H23" s="17"/>
      <c r="I23" s="17"/>
      <c r="J23" s="90"/>
      <c r="K23" s="17"/>
      <c r="L23" s="26" t="s">
        <v>43</v>
      </c>
      <c r="M23" s="17"/>
      <c r="N23" s="17"/>
    </row>
    <row r="24" ht="60.0" customHeight="1">
      <c r="A24" s="78" t="s">
        <v>3244</v>
      </c>
      <c r="B24" s="28"/>
      <c r="C24" s="24" t="s">
        <v>12</v>
      </c>
      <c r="D24" s="28"/>
      <c r="E24" s="28"/>
      <c r="F24" s="28"/>
      <c r="G24" s="28"/>
      <c r="H24" s="28"/>
      <c r="I24" s="28"/>
      <c r="J24" s="91"/>
      <c r="K24" s="28"/>
      <c r="L24" s="26" t="s">
        <v>43</v>
      </c>
      <c r="M24" s="28"/>
      <c r="N24" s="28"/>
    </row>
    <row r="25" ht="60.0" customHeight="1">
      <c r="A25" s="78" t="s">
        <v>3245</v>
      </c>
      <c r="B25" s="17"/>
      <c r="C25" s="24" t="s">
        <v>12</v>
      </c>
      <c r="D25" s="17"/>
      <c r="E25" s="17"/>
      <c r="F25" s="17"/>
      <c r="G25" s="17"/>
      <c r="H25" s="17"/>
      <c r="I25" s="17"/>
      <c r="J25" s="90"/>
      <c r="K25" s="17"/>
      <c r="L25" s="26" t="s">
        <v>43</v>
      </c>
      <c r="M25" s="17"/>
      <c r="N25" s="17"/>
    </row>
    <row r="26" ht="60.0" customHeight="1">
      <c r="A26" s="78" t="s">
        <v>3246</v>
      </c>
      <c r="B26" s="28"/>
      <c r="C26" s="24" t="s">
        <v>12</v>
      </c>
      <c r="D26" s="28"/>
      <c r="E26" s="28"/>
      <c r="F26" s="28"/>
      <c r="G26" s="28"/>
      <c r="H26" s="28"/>
      <c r="I26" s="28"/>
      <c r="J26" s="91"/>
      <c r="K26" s="28"/>
      <c r="L26" s="26" t="s">
        <v>43</v>
      </c>
      <c r="M26" s="28"/>
      <c r="N26" s="28"/>
    </row>
    <row r="27" ht="25.5" customHeight="1">
      <c r="A27" s="55" t="s">
        <v>3247</v>
      </c>
      <c r="B27" s="57"/>
      <c r="C27" s="57"/>
      <c r="D27" s="57"/>
      <c r="E27" s="57"/>
      <c r="F27" s="57"/>
      <c r="G27" s="57"/>
      <c r="H27" s="57"/>
      <c r="I27" s="58"/>
      <c r="L27" s="79">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6" t="s">
        <v>2973</v>
      </c>
      <c r="B1" s="3"/>
      <c r="C1" s="3"/>
      <c r="D1" s="3"/>
      <c r="E1" s="3"/>
      <c r="F1" s="3"/>
      <c r="G1" s="3"/>
      <c r="H1" s="3"/>
      <c r="I1" s="3"/>
      <c r="J1" s="3"/>
      <c r="K1" s="3"/>
      <c r="L1" s="3"/>
      <c r="M1" s="3"/>
      <c r="N1" s="4"/>
    </row>
    <row r="2" ht="27.75" customHeight="1">
      <c r="A2" s="87" t="s">
        <v>2996</v>
      </c>
      <c r="B2" s="3"/>
      <c r="C2" s="3"/>
      <c r="D2" s="3"/>
      <c r="E2" s="3"/>
      <c r="F2" s="3"/>
      <c r="G2" s="3"/>
      <c r="H2" s="3"/>
      <c r="I2" s="3"/>
      <c r="J2" s="3"/>
      <c r="K2" s="3"/>
      <c r="L2" s="3"/>
      <c r="M2" s="3"/>
      <c r="N2" s="4"/>
    </row>
    <row r="3" ht="24.75" customHeight="1">
      <c r="A3" s="88" t="s">
        <v>8</v>
      </c>
      <c r="B3" s="88" t="s">
        <v>13</v>
      </c>
      <c r="C3" s="88" t="s">
        <v>15</v>
      </c>
      <c r="D3" s="88" t="s">
        <v>17</v>
      </c>
      <c r="E3" s="88" t="s">
        <v>18</v>
      </c>
      <c r="F3" s="88" t="s">
        <v>20</v>
      </c>
      <c r="G3" s="88" t="s">
        <v>21</v>
      </c>
      <c r="H3" s="88" t="s">
        <v>22</v>
      </c>
      <c r="I3" s="88" t="s">
        <v>23</v>
      </c>
      <c r="J3" s="88" t="s">
        <v>25</v>
      </c>
      <c r="K3" s="88" t="s">
        <v>26</v>
      </c>
      <c r="L3" s="88" t="s">
        <v>19</v>
      </c>
      <c r="M3" s="88" t="s">
        <v>27</v>
      </c>
      <c r="N3" s="88" t="s">
        <v>28</v>
      </c>
    </row>
    <row r="4" ht="19.5" customHeight="1">
      <c r="A4" s="13" t="s">
        <v>3028</v>
      </c>
      <c r="B4" s="3"/>
      <c r="C4" s="3"/>
      <c r="D4" s="3"/>
      <c r="E4" s="3"/>
      <c r="F4" s="3"/>
      <c r="G4" s="3"/>
      <c r="H4" s="3"/>
      <c r="I4" s="3"/>
      <c r="J4" s="3"/>
      <c r="K4" s="3"/>
      <c r="L4" s="3"/>
      <c r="M4" s="3"/>
      <c r="N4" s="4"/>
    </row>
    <row r="5" ht="60.0" customHeight="1">
      <c r="A5" s="89" t="s">
        <v>3038</v>
      </c>
      <c r="B5" s="17"/>
      <c r="C5" s="19" t="s">
        <v>9</v>
      </c>
      <c r="D5" s="17"/>
      <c r="E5" s="17"/>
      <c r="F5" s="17"/>
      <c r="G5" s="17"/>
      <c r="H5" s="17"/>
      <c r="I5" s="17"/>
      <c r="J5" s="90"/>
      <c r="K5" s="17"/>
      <c r="L5" s="26" t="s">
        <v>43</v>
      </c>
      <c r="M5" s="17"/>
      <c r="N5" s="17"/>
    </row>
    <row r="6" ht="60.0" customHeight="1">
      <c r="A6" s="89" t="s">
        <v>3053</v>
      </c>
      <c r="B6" s="28"/>
      <c r="C6" s="19" t="s">
        <v>9</v>
      </c>
      <c r="D6" s="28"/>
      <c r="E6" s="28"/>
      <c r="F6" s="28"/>
      <c r="G6" s="28"/>
      <c r="H6" s="28"/>
      <c r="I6" s="28"/>
      <c r="J6" s="91"/>
      <c r="K6" s="28"/>
      <c r="L6" s="26" t="s">
        <v>43</v>
      </c>
      <c r="M6" s="28"/>
      <c r="N6" s="28"/>
    </row>
    <row r="7" ht="60.0" customHeight="1">
      <c r="A7" s="89" t="s">
        <v>3061</v>
      </c>
      <c r="B7" s="17"/>
      <c r="C7" s="19" t="s">
        <v>9</v>
      </c>
      <c r="D7" s="17"/>
      <c r="E7" s="17"/>
      <c r="F7" s="17"/>
      <c r="G7" s="17"/>
      <c r="H7" s="17"/>
      <c r="I7" s="17"/>
      <c r="J7" s="90"/>
      <c r="K7" s="17"/>
      <c r="L7" s="26" t="s">
        <v>43</v>
      </c>
      <c r="M7" s="17"/>
      <c r="N7" s="17"/>
    </row>
    <row r="8" ht="60.0" customHeight="1">
      <c r="A8" s="89" t="s">
        <v>3065</v>
      </c>
      <c r="B8" s="28"/>
      <c r="C8" s="19" t="s">
        <v>9</v>
      </c>
      <c r="D8" s="28"/>
      <c r="E8" s="28"/>
      <c r="F8" s="28"/>
      <c r="G8" s="28"/>
      <c r="H8" s="28"/>
      <c r="I8" s="28"/>
      <c r="J8" s="91"/>
      <c r="K8" s="28"/>
      <c r="L8" s="26" t="s">
        <v>43</v>
      </c>
      <c r="M8" s="28"/>
      <c r="N8" s="28"/>
    </row>
    <row r="9" ht="60.0" customHeight="1">
      <c r="A9" s="89" t="s">
        <v>3069</v>
      </c>
      <c r="B9" s="17"/>
      <c r="C9" s="19" t="s">
        <v>9</v>
      </c>
      <c r="D9" s="17"/>
      <c r="E9" s="17"/>
      <c r="F9" s="17"/>
      <c r="G9" s="17"/>
      <c r="H9" s="17"/>
      <c r="I9" s="17"/>
      <c r="J9" s="90"/>
      <c r="K9" s="17"/>
      <c r="L9" s="26" t="s">
        <v>43</v>
      </c>
      <c r="M9" s="17"/>
      <c r="N9" s="17"/>
    </row>
    <row r="10" ht="60.0" customHeight="1">
      <c r="A10" s="89" t="s">
        <v>3070</v>
      </c>
      <c r="B10" s="28"/>
      <c r="C10" s="19" t="s">
        <v>9</v>
      </c>
      <c r="D10" s="28"/>
      <c r="E10" s="28"/>
      <c r="F10" s="28"/>
      <c r="G10" s="28"/>
      <c r="H10" s="28"/>
      <c r="I10" s="28"/>
      <c r="J10" s="91"/>
      <c r="K10" s="28"/>
      <c r="L10" s="26" t="s">
        <v>43</v>
      </c>
      <c r="M10" s="28"/>
      <c r="N10" s="28"/>
    </row>
    <row r="11" ht="19.5" customHeight="1">
      <c r="A11" s="46" t="s">
        <v>3075</v>
      </c>
      <c r="B11" s="3"/>
      <c r="C11" s="3"/>
      <c r="D11" s="3"/>
      <c r="E11" s="3"/>
      <c r="F11" s="3"/>
      <c r="G11" s="3"/>
      <c r="H11" s="3"/>
      <c r="I11" s="3"/>
      <c r="J11" s="3"/>
      <c r="K11" s="3"/>
      <c r="L11" s="3"/>
      <c r="M11" s="3"/>
      <c r="N11" s="4"/>
    </row>
    <row r="12" ht="60.0" customHeight="1">
      <c r="A12" s="89" t="s">
        <v>3084</v>
      </c>
      <c r="B12" s="17"/>
      <c r="C12" s="22" t="s">
        <v>11</v>
      </c>
      <c r="D12" s="17"/>
      <c r="E12" s="17"/>
      <c r="F12" s="17"/>
      <c r="G12" s="17"/>
      <c r="H12" s="17"/>
      <c r="I12" s="17"/>
      <c r="J12" s="90"/>
      <c r="K12" s="17"/>
      <c r="L12" s="26" t="s">
        <v>43</v>
      </c>
      <c r="M12" s="17"/>
      <c r="N12" s="17"/>
    </row>
    <row r="13" ht="60.0" customHeight="1">
      <c r="A13" s="89" t="s">
        <v>3090</v>
      </c>
      <c r="B13" s="28"/>
      <c r="C13" s="22" t="s">
        <v>11</v>
      </c>
      <c r="D13" s="28"/>
      <c r="E13" s="28"/>
      <c r="F13" s="28"/>
      <c r="G13" s="28"/>
      <c r="H13" s="28"/>
      <c r="I13" s="28"/>
      <c r="J13" s="91"/>
      <c r="K13" s="28"/>
      <c r="L13" s="26" t="s">
        <v>43</v>
      </c>
      <c r="M13" s="28"/>
      <c r="N13" s="28"/>
    </row>
    <row r="14" ht="60.0" customHeight="1">
      <c r="A14" s="89" t="s">
        <v>3095</v>
      </c>
      <c r="B14" s="17"/>
      <c r="C14" s="22" t="s">
        <v>11</v>
      </c>
      <c r="D14" s="17"/>
      <c r="E14" s="17"/>
      <c r="F14" s="17"/>
      <c r="G14" s="17"/>
      <c r="H14" s="17"/>
      <c r="I14" s="17"/>
      <c r="J14" s="90"/>
      <c r="K14" s="17"/>
      <c r="L14" s="26" t="s">
        <v>43</v>
      </c>
      <c r="M14" s="17"/>
      <c r="N14" s="17"/>
    </row>
    <row r="15" ht="60.0" customHeight="1">
      <c r="A15" s="89" t="s">
        <v>3099</v>
      </c>
      <c r="B15" s="28"/>
      <c r="C15" s="22" t="s">
        <v>11</v>
      </c>
      <c r="D15" s="28"/>
      <c r="E15" s="28"/>
      <c r="F15" s="28"/>
      <c r="G15" s="28"/>
      <c r="H15" s="28"/>
      <c r="I15" s="28"/>
      <c r="J15" s="91"/>
      <c r="K15" s="28"/>
      <c r="L15" s="26" t="s">
        <v>43</v>
      </c>
      <c r="M15" s="28"/>
      <c r="N15" s="28"/>
    </row>
    <row r="16" ht="60.0" customHeight="1">
      <c r="A16" s="89" t="s">
        <v>3103</v>
      </c>
      <c r="B16" s="17"/>
      <c r="C16" s="22" t="s">
        <v>11</v>
      </c>
      <c r="D16" s="17"/>
      <c r="E16" s="17"/>
      <c r="F16" s="17"/>
      <c r="G16" s="17"/>
      <c r="H16" s="17"/>
      <c r="I16" s="17"/>
      <c r="J16" s="90"/>
      <c r="K16" s="17"/>
      <c r="L16" s="26" t="s">
        <v>43</v>
      </c>
      <c r="M16" s="17"/>
      <c r="N16" s="17"/>
    </row>
    <row r="17" ht="60.0" customHeight="1">
      <c r="A17" s="89" t="s">
        <v>3110</v>
      </c>
      <c r="B17" s="28"/>
      <c r="C17" s="22" t="s">
        <v>11</v>
      </c>
      <c r="D17" s="28"/>
      <c r="E17" s="28"/>
      <c r="F17" s="28"/>
      <c r="G17" s="28"/>
      <c r="H17" s="28"/>
      <c r="I17" s="28"/>
      <c r="J17" s="91"/>
      <c r="K17" s="28"/>
      <c r="L17" s="26" t="s">
        <v>43</v>
      </c>
      <c r="M17" s="28"/>
      <c r="N17" s="28"/>
    </row>
    <row r="18" ht="60.0" customHeight="1">
      <c r="A18" s="89" t="s">
        <v>3114</v>
      </c>
      <c r="B18" s="17"/>
      <c r="C18" s="22" t="s">
        <v>11</v>
      </c>
      <c r="D18" s="17"/>
      <c r="E18" s="17"/>
      <c r="F18" s="17"/>
      <c r="G18" s="17"/>
      <c r="H18" s="17"/>
      <c r="I18" s="17"/>
      <c r="J18" s="90"/>
      <c r="K18" s="17"/>
      <c r="L18" s="26" t="s">
        <v>43</v>
      </c>
      <c r="M18" s="17"/>
      <c r="N18" s="17"/>
    </row>
    <row r="19" ht="60.0" customHeight="1">
      <c r="A19" s="89" t="s">
        <v>3118</v>
      </c>
      <c r="B19" s="28"/>
      <c r="C19" s="22" t="s">
        <v>11</v>
      </c>
      <c r="D19" s="28"/>
      <c r="E19" s="28"/>
      <c r="F19" s="28"/>
      <c r="G19" s="28"/>
      <c r="H19" s="28"/>
      <c r="I19" s="28"/>
      <c r="J19" s="91"/>
      <c r="K19" s="28"/>
      <c r="L19" s="26" t="s">
        <v>43</v>
      </c>
      <c r="M19" s="28"/>
      <c r="N19" s="28"/>
    </row>
    <row r="20" ht="19.5" customHeight="1">
      <c r="A20" s="63" t="s">
        <v>3122</v>
      </c>
      <c r="B20" s="3"/>
      <c r="C20" s="3"/>
      <c r="D20" s="3"/>
      <c r="E20" s="3"/>
      <c r="F20" s="3"/>
      <c r="G20" s="3"/>
      <c r="H20" s="3"/>
      <c r="I20" s="3"/>
      <c r="J20" s="3"/>
      <c r="K20" s="3"/>
      <c r="L20" s="3"/>
      <c r="M20" s="3"/>
      <c r="N20" s="4"/>
    </row>
    <row r="21" ht="60.0" customHeight="1">
      <c r="A21" s="89" t="s">
        <v>3127</v>
      </c>
      <c r="B21" s="17"/>
      <c r="C21" s="24" t="s">
        <v>12</v>
      </c>
      <c r="D21" s="17"/>
      <c r="E21" s="17"/>
      <c r="F21" s="17"/>
      <c r="G21" s="17"/>
      <c r="H21" s="17"/>
      <c r="I21" s="17"/>
      <c r="J21" s="90"/>
      <c r="K21" s="17"/>
      <c r="L21" s="26" t="s">
        <v>43</v>
      </c>
      <c r="M21" s="17"/>
      <c r="N21" s="17"/>
    </row>
    <row r="22" ht="60.0" customHeight="1">
      <c r="A22" s="89" t="s">
        <v>3133</v>
      </c>
      <c r="B22" s="28"/>
      <c r="C22" s="24" t="s">
        <v>12</v>
      </c>
      <c r="D22" s="28"/>
      <c r="E22" s="28"/>
      <c r="F22" s="28"/>
      <c r="G22" s="28"/>
      <c r="H22" s="28"/>
      <c r="I22" s="28"/>
      <c r="J22" s="91"/>
      <c r="K22" s="28"/>
      <c r="L22" s="26" t="s">
        <v>43</v>
      </c>
      <c r="M22" s="28"/>
      <c r="N22" s="28"/>
    </row>
    <row r="23" ht="60.0" customHeight="1">
      <c r="A23" s="89" t="s">
        <v>3140</v>
      </c>
      <c r="B23" s="17"/>
      <c r="C23" s="24" t="s">
        <v>12</v>
      </c>
      <c r="D23" s="17"/>
      <c r="E23" s="17"/>
      <c r="F23" s="17"/>
      <c r="G23" s="17"/>
      <c r="H23" s="17"/>
      <c r="I23" s="17"/>
      <c r="J23" s="90"/>
      <c r="K23" s="17"/>
      <c r="L23" s="26" t="s">
        <v>43</v>
      </c>
      <c r="M23" s="17"/>
      <c r="N23" s="17"/>
    </row>
    <row r="24" ht="60.0" customHeight="1">
      <c r="A24" s="89" t="s">
        <v>3144</v>
      </c>
      <c r="B24" s="28"/>
      <c r="C24" s="24" t="s">
        <v>12</v>
      </c>
      <c r="D24" s="28"/>
      <c r="E24" s="28"/>
      <c r="F24" s="28"/>
      <c r="G24" s="28"/>
      <c r="H24" s="28"/>
      <c r="I24" s="28"/>
      <c r="J24" s="91"/>
      <c r="K24" s="28"/>
      <c r="L24" s="26" t="s">
        <v>43</v>
      </c>
      <c r="M24" s="28"/>
      <c r="N24" s="28"/>
    </row>
    <row r="25" ht="60.0" customHeight="1">
      <c r="A25" s="89" t="s">
        <v>3149</v>
      </c>
      <c r="B25" s="17"/>
      <c r="C25" s="24" t="s">
        <v>12</v>
      </c>
      <c r="D25" s="17"/>
      <c r="E25" s="17"/>
      <c r="F25" s="17"/>
      <c r="G25" s="17"/>
      <c r="H25" s="17"/>
      <c r="I25" s="17"/>
      <c r="J25" s="90"/>
      <c r="K25" s="17"/>
      <c r="L25" s="26" t="s">
        <v>43</v>
      </c>
      <c r="M25" s="17"/>
      <c r="N25" s="17"/>
    </row>
    <row r="26" ht="60.0" customHeight="1">
      <c r="A26" s="89" t="s">
        <v>3153</v>
      </c>
      <c r="B26" s="28"/>
      <c r="C26" s="24" t="s">
        <v>12</v>
      </c>
      <c r="D26" s="28"/>
      <c r="E26" s="28"/>
      <c r="F26" s="28"/>
      <c r="G26" s="28"/>
      <c r="H26" s="28"/>
      <c r="I26" s="28"/>
      <c r="J26" s="91"/>
      <c r="K26" s="28"/>
      <c r="L26" s="26" t="s">
        <v>43</v>
      </c>
      <c r="M26" s="28"/>
      <c r="N26" s="28"/>
    </row>
    <row r="27" ht="25.5" customHeight="1">
      <c r="A27" s="55" t="s">
        <v>3159</v>
      </c>
      <c r="B27" s="57"/>
      <c r="C27" s="57"/>
      <c r="D27" s="57"/>
      <c r="E27" s="57"/>
      <c r="F27" s="57"/>
      <c r="G27" s="57"/>
      <c r="H27" s="57"/>
      <c r="I27" s="58"/>
      <c r="L27" s="93">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6" t="s">
        <v>3202</v>
      </c>
      <c r="B1" s="3"/>
      <c r="C1" s="3"/>
      <c r="D1" s="3"/>
      <c r="E1" s="3"/>
      <c r="F1" s="3"/>
      <c r="G1" s="3"/>
      <c r="H1" s="3"/>
      <c r="I1" s="3"/>
      <c r="J1" s="3"/>
      <c r="K1" s="3"/>
      <c r="L1" s="3"/>
      <c r="M1" s="3"/>
      <c r="N1" s="4"/>
    </row>
    <row r="2" ht="27.75" customHeight="1">
      <c r="A2" s="68" t="s">
        <v>3203</v>
      </c>
      <c r="B2" s="3"/>
      <c r="C2" s="3"/>
      <c r="D2" s="3"/>
      <c r="E2" s="3"/>
      <c r="F2" s="3"/>
      <c r="G2" s="3"/>
      <c r="H2" s="3"/>
      <c r="I2" s="3"/>
      <c r="J2" s="3"/>
      <c r="K2" s="3"/>
      <c r="L2" s="3"/>
      <c r="M2" s="3"/>
      <c r="N2" s="4"/>
    </row>
    <row r="3" ht="24.75" customHeight="1">
      <c r="A3" s="9" t="s">
        <v>8</v>
      </c>
      <c r="B3" s="9" t="s">
        <v>13</v>
      </c>
      <c r="C3" s="9" t="s">
        <v>15</v>
      </c>
      <c r="D3" s="9" t="s">
        <v>17</v>
      </c>
      <c r="E3" s="9" t="s">
        <v>18</v>
      </c>
      <c r="F3" s="9" t="s">
        <v>20</v>
      </c>
      <c r="G3" s="9" t="s">
        <v>21</v>
      </c>
      <c r="H3" s="9" t="s">
        <v>22</v>
      </c>
      <c r="I3" s="9" t="s">
        <v>23</v>
      </c>
      <c r="J3" s="9" t="s">
        <v>25</v>
      </c>
      <c r="K3" s="9" t="s">
        <v>26</v>
      </c>
      <c r="L3" s="9" t="s">
        <v>19</v>
      </c>
      <c r="M3" s="9" t="s">
        <v>27</v>
      </c>
      <c r="N3" s="9" t="s">
        <v>28</v>
      </c>
    </row>
    <row r="4" ht="19.5" customHeight="1">
      <c r="A4" s="13" t="s">
        <v>3028</v>
      </c>
      <c r="B4" s="3"/>
      <c r="C4" s="3"/>
      <c r="D4" s="3"/>
      <c r="E4" s="3"/>
      <c r="F4" s="3"/>
      <c r="G4" s="3"/>
      <c r="H4" s="3"/>
      <c r="I4" s="3"/>
      <c r="J4" s="3"/>
      <c r="K4" s="3"/>
      <c r="L4" s="3"/>
      <c r="M4" s="3"/>
      <c r="N4" s="4"/>
    </row>
    <row r="5" ht="60.0" customHeight="1">
      <c r="A5" s="95" t="s">
        <v>3205</v>
      </c>
      <c r="B5" s="17"/>
      <c r="C5" s="19" t="s">
        <v>9</v>
      </c>
      <c r="D5" s="17"/>
      <c r="E5" s="17"/>
      <c r="F5" s="17"/>
      <c r="G5" s="17"/>
      <c r="H5" s="17"/>
      <c r="I5" s="17"/>
      <c r="J5" s="90"/>
      <c r="K5" s="17"/>
      <c r="L5" s="26" t="s">
        <v>43</v>
      </c>
      <c r="M5" s="17"/>
      <c r="N5" s="17"/>
    </row>
    <row r="6" ht="60.0" customHeight="1">
      <c r="A6" s="95" t="s">
        <v>3207</v>
      </c>
      <c r="B6" s="28"/>
      <c r="C6" s="19" t="s">
        <v>9</v>
      </c>
      <c r="D6" s="28"/>
      <c r="E6" s="28"/>
      <c r="F6" s="28"/>
      <c r="G6" s="28"/>
      <c r="H6" s="28"/>
      <c r="I6" s="28"/>
      <c r="J6" s="91"/>
      <c r="K6" s="28"/>
      <c r="L6" s="26" t="s">
        <v>43</v>
      </c>
      <c r="M6" s="28"/>
      <c r="N6" s="28"/>
    </row>
    <row r="7" ht="60.0" customHeight="1">
      <c r="A7" s="95" t="s">
        <v>3208</v>
      </c>
      <c r="B7" s="17"/>
      <c r="C7" s="19" t="s">
        <v>9</v>
      </c>
      <c r="D7" s="17"/>
      <c r="E7" s="17"/>
      <c r="F7" s="17"/>
      <c r="G7" s="17"/>
      <c r="H7" s="17"/>
      <c r="I7" s="17"/>
      <c r="J7" s="90"/>
      <c r="K7" s="17"/>
      <c r="L7" s="26" t="s">
        <v>43</v>
      </c>
      <c r="M7" s="17"/>
      <c r="N7" s="17"/>
    </row>
    <row r="8" ht="60.0" customHeight="1">
      <c r="A8" s="95" t="s">
        <v>3209</v>
      </c>
      <c r="B8" s="28"/>
      <c r="C8" s="19" t="s">
        <v>9</v>
      </c>
      <c r="D8" s="28"/>
      <c r="E8" s="28"/>
      <c r="F8" s="28"/>
      <c r="G8" s="28"/>
      <c r="H8" s="28"/>
      <c r="I8" s="28"/>
      <c r="J8" s="91"/>
      <c r="K8" s="28"/>
      <c r="L8" s="26" t="s">
        <v>43</v>
      </c>
      <c r="M8" s="28"/>
      <c r="N8" s="28"/>
    </row>
    <row r="9" ht="60.0" customHeight="1">
      <c r="A9" s="95" t="s">
        <v>3210</v>
      </c>
      <c r="B9" s="17"/>
      <c r="C9" s="19" t="s">
        <v>9</v>
      </c>
      <c r="D9" s="17"/>
      <c r="E9" s="17"/>
      <c r="F9" s="17"/>
      <c r="G9" s="17"/>
      <c r="H9" s="17"/>
      <c r="I9" s="17"/>
      <c r="J9" s="90"/>
      <c r="K9" s="17"/>
      <c r="L9" s="26" t="s">
        <v>43</v>
      </c>
      <c r="M9" s="17"/>
      <c r="N9" s="17"/>
    </row>
    <row r="10" ht="60.0" customHeight="1">
      <c r="A10" s="95" t="s">
        <v>3212</v>
      </c>
      <c r="B10" s="28"/>
      <c r="C10" s="19" t="s">
        <v>9</v>
      </c>
      <c r="D10" s="28"/>
      <c r="E10" s="28"/>
      <c r="F10" s="28"/>
      <c r="G10" s="28"/>
      <c r="H10" s="28"/>
      <c r="I10" s="28"/>
      <c r="J10" s="91"/>
      <c r="K10" s="28"/>
      <c r="L10" s="26" t="s">
        <v>43</v>
      </c>
      <c r="M10" s="28"/>
      <c r="N10" s="28"/>
    </row>
    <row r="11" ht="19.5" customHeight="1">
      <c r="A11" s="46" t="s">
        <v>3075</v>
      </c>
      <c r="B11" s="3"/>
      <c r="C11" s="3"/>
      <c r="D11" s="3"/>
      <c r="E11" s="3"/>
      <c r="F11" s="3"/>
      <c r="G11" s="3"/>
      <c r="H11" s="3"/>
      <c r="I11" s="3"/>
      <c r="J11" s="3"/>
      <c r="K11" s="3"/>
      <c r="L11" s="3"/>
      <c r="M11" s="3"/>
      <c r="N11" s="4"/>
    </row>
    <row r="12" ht="60.0" customHeight="1">
      <c r="A12" s="95" t="s">
        <v>3214</v>
      </c>
      <c r="B12" s="17"/>
      <c r="C12" s="22" t="s">
        <v>11</v>
      </c>
      <c r="D12" s="17"/>
      <c r="E12" s="17"/>
      <c r="F12" s="17"/>
      <c r="G12" s="17"/>
      <c r="H12" s="17"/>
      <c r="I12" s="17"/>
      <c r="J12" s="90"/>
      <c r="K12" s="17"/>
      <c r="L12" s="26" t="s">
        <v>43</v>
      </c>
      <c r="M12" s="17"/>
      <c r="N12" s="17"/>
    </row>
    <row r="13" ht="60.0" customHeight="1">
      <c r="A13" s="95" t="s">
        <v>3215</v>
      </c>
      <c r="B13" s="28"/>
      <c r="C13" s="22" t="s">
        <v>11</v>
      </c>
      <c r="D13" s="28"/>
      <c r="E13" s="28"/>
      <c r="F13" s="28"/>
      <c r="G13" s="28"/>
      <c r="H13" s="28"/>
      <c r="I13" s="28"/>
      <c r="J13" s="91"/>
      <c r="K13" s="28"/>
      <c r="L13" s="26" t="s">
        <v>43</v>
      </c>
      <c r="M13" s="28"/>
      <c r="N13" s="28"/>
    </row>
    <row r="14" ht="60.0" customHeight="1">
      <c r="A14" s="95" t="s">
        <v>3217</v>
      </c>
      <c r="B14" s="17"/>
      <c r="C14" s="22" t="s">
        <v>11</v>
      </c>
      <c r="D14" s="17"/>
      <c r="E14" s="17"/>
      <c r="F14" s="17"/>
      <c r="G14" s="17"/>
      <c r="H14" s="17"/>
      <c r="I14" s="17"/>
      <c r="J14" s="90"/>
      <c r="K14" s="17"/>
      <c r="L14" s="26" t="s">
        <v>43</v>
      </c>
      <c r="M14" s="17"/>
      <c r="N14" s="17"/>
    </row>
    <row r="15" ht="60.0" customHeight="1">
      <c r="A15" s="95" t="s">
        <v>3219</v>
      </c>
      <c r="B15" s="28"/>
      <c r="C15" s="22" t="s">
        <v>11</v>
      </c>
      <c r="D15" s="28"/>
      <c r="E15" s="28"/>
      <c r="F15" s="28"/>
      <c r="G15" s="28"/>
      <c r="H15" s="28"/>
      <c r="I15" s="28"/>
      <c r="J15" s="91"/>
      <c r="K15" s="28"/>
      <c r="L15" s="26" t="s">
        <v>43</v>
      </c>
      <c r="M15" s="28"/>
      <c r="N15" s="28"/>
    </row>
    <row r="16" ht="60.0" customHeight="1">
      <c r="A16" s="95" t="s">
        <v>3221</v>
      </c>
      <c r="B16" s="17"/>
      <c r="C16" s="22" t="s">
        <v>11</v>
      </c>
      <c r="D16" s="17"/>
      <c r="E16" s="17"/>
      <c r="F16" s="17"/>
      <c r="G16" s="17"/>
      <c r="H16" s="17"/>
      <c r="I16" s="17"/>
      <c r="J16" s="90"/>
      <c r="K16" s="17"/>
      <c r="L16" s="26" t="s">
        <v>43</v>
      </c>
      <c r="M16" s="17"/>
      <c r="N16" s="17"/>
    </row>
    <row r="17" ht="60.0" customHeight="1">
      <c r="A17" s="95" t="s">
        <v>3223</v>
      </c>
      <c r="B17" s="28"/>
      <c r="C17" s="22" t="s">
        <v>11</v>
      </c>
      <c r="D17" s="28"/>
      <c r="E17" s="28"/>
      <c r="F17" s="28"/>
      <c r="G17" s="28"/>
      <c r="H17" s="28"/>
      <c r="I17" s="28"/>
      <c r="J17" s="91"/>
      <c r="K17" s="28"/>
      <c r="L17" s="26" t="s">
        <v>43</v>
      </c>
      <c r="M17" s="28"/>
      <c r="N17" s="28"/>
    </row>
    <row r="18" ht="60.0" customHeight="1">
      <c r="A18" s="95" t="s">
        <v>3224</v>
      </c>
      <c r="B18" s="17"/>
      <c r="C18" s="22" t="s">
        <v>11</v>
      </c>
      <c r="D18" s="17"/>
      <c r="E18" s="17"/>
      <c r="F18" s="17"/>
      <c r="G18" s="17"/>
      <c r="H18" s="17"/>
      <c r="I18" s="17"/>
      <c r="J18" s="90"/>
      <c r="K18" s="17"/>
      <c r="L18" s="26" t="s">
        <v>43</v>
      </c>
      <c r="M18" s="17"/>
      <c r="N18" s="17"/>
    </row>
    <row r="19" ht="60.0" customHeight="1">
      <c r="A19" s="95" t="s">
        <v>3225</v>
      </c>
      <c r="B19" s="28"/>
      <c r="C19" s="22" t="s">
        <v>11</v>
      </c>
      <c r="D19" s="28"/>
      <c r="E19" s="28"/>
      <c r="F19" s="28"/>
      <c r="G19" s="28"/>
      <c r="H19" s="28"/>
      <c r="I19" s="28"/>
      <c r="J19" s="91"/>
      <c r="K19" s="28"/>
      <c r="L19" s="26" t="s">
        <v>43</v>
      </c>
      <c r="M19" s="28"/>
      <c r="N19" s="28"/>
    </row>
    <row r="20" ht="19.5" customHeight="1">
      <c r="A20" s="63" t="s">
        <v>3122</v>
      </c>
      <c r="B20" s="3"/>
      <c r="C20" s="3"/>
      <c r="D20" s="3"/>
      <c r="E20" s="3"/>
      <c r="F20" s="3"/>
      <c r="G20" s="3"/>
      <c r="H20" s="3"/>
      <c r="I20" s="3"/>
      <c r="J20" s="3"/>
      <c r="K20" s="3"/>
      <c r="L20" s="3"/>
      <c r="M20" s="3"/>
      <c r="N20" s="4"/>
    </row>
    <row r="21" ht="60.0" customHeight="1">
      <c r="A21" s="95" t="s">
        <v>3227</v>
      </c>
      <c r="B21" s="17"/>
      <c r="C21" s="24" t="s">
        <v>12</v>
      </c>
      <c r="D21" s="17"/>
      <c r="E21" s="17"/>
      <c r="F21" s="17"/>
      <c r="G21" s="17"/>
      <c r="H21" s="17"/>
      <c r="I21" s="17"/>
      <c r="J21" s="90"/>
      <c r="K21" s="17"/>
      <c r="L21" s="26" t="s">
        <v>43</v>
      </c>
      <c r="M21" s="17"/>
      <c r="N21" s="17"/>
    </row>
    <row r="22" ht="60.0" customHeight="1">
      <c r="A22" s="95" t="s">
        <v>3229</v>
      </c>
      <c r="B22" s="28"/>
      <c r="C22" s="24" t="s">
        <v>12</v>
      </c>
      <c r="D22" s="28"/>
      <c r="E22" s="28"/>
      <c r="F22" s="28"/>
      <c r="G22" s="28"/>
      <c r="H22" s="28"/>
      <c r="I22" s="28"/>
      <c r="J22" s="91"/>
      <c r="K22" s="28"/>
      <c r="L22" s="26" t="s">
        <v>43</v>
      </c>
      <c r="M22" s="28"/>
      <c r="N22" s="28"/>
    </row>
    <row r="23" ht="60.0" customHeight="1">
      <c r="A23" s="95" t="s">
        <v>3231</v>
      </c>
      <c r="B23" s="17"/>
      <c r="C23" s="24" t="s">
        <v>12</v>
      </c>
      <c r="D23" s="17"/>
      <c r="E23" s="17"/>
      <c r="F23" s="17"/>
      <c r="G23" s="17"/>
      <c r="H23" s="17"/>
      <c r="I23" s="17"/>
      <c r="J23" s="90"/>
      <c r="K23" s="17"/>
      <c r="L23" s="26" t="s">
        <v>43</v>
      </c>
      <c r="M23" s="17"/>
      <c r="N23" s="17"/>
    </row>
    <row r="24" ht="60.0" customHeight="1">
      <c r="A24" s="95" t="s">
        <v>3233</v>
      </c>
      <c r="B24" s="28"/>
      <c r="C24" s="24" t="s">
        <v>12</v>
      </c>
      <c r="D24" s="28"/>
      <c r="E24" s="28"/>
      <c r="F24" s="28"/>
      <c r="G24" s="28"/>
      <c r="H24" s="28"/>
      <c r="I24" s="28"/>
      <c r="J24" s="91"/>
      <c r="K24" s="28"/>
      <c r="L24" s="26" t="s">
        <v>43</v>
      </c>
      <c r="M24" s="28"/>
      <c r="N24" s="28"/>
    </row>
    <row r="25" ht="60.0" customHeight="1">
      <c r="A25" s="95" t="s">
        <v>3234</v>
      </c>
      <c r="B25" s="17"/>
      <c r="C25" s="24" t="s">
        <v>12</v>
      </c>
      <c r="D25" s="17"/>
      <c r="E25" s="17"/>
      <c r="F25" s="17"/>
      <c r="G25" s="17"/>
      <c r="H25" s="17"/>
      <c r="I25" s="17"/>
      <c r="J25" s="90"/>
      <c r="K25" s="17"/>
      <c r="L25" s="26" t="s">
        <v>43</v>
      </c>
      <c r="M25" s="17"/>
      <c r="N25" s="17"/>
    </row>
    <row r="26" ht="60.0" customHeight="1">
      <c r="A26" s="95" t="s">
        <v>3236</v>
      </c>
      <c r="B26" s="28"/>
      <c r="C26" s="24" t="s">
        <v>12</v>
      </c>
      <c r="D26" s="28"/>
      <c r="E26" s="28"/>
      <c r="F26" s="28"/>
      <c r="G26" s="28"/>
      <c r="H26" s="28"/>
      <c r="I26" s="28"/>
      <c r="J26" s="91"/>
      <c r="K26" s="28"/>
      <c r="L26" s="26" t="s">
        <v>43</v>
      </c>
      <c r="M26" s="28"/>
      <c r="N26" s="28"/>
    </row>
    <row r="27" ht="25.5" customHeight="1">
      <c r="A27" s="55" t="s">
        <v>3238</v>
      </c>
      <c r="B27" s="57"/>
      <c r="C27" s="57"/>
      <c r="D27" s="57"/>
      <c r="E27" s="57"/>
      <c r="F27" s="57"/>
      <c r="G27" s="57"/>
      <c r="H27" s="57"/>
      <c r="I27" s="58"/>
      <c r="L27" s="97">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6" t="s">
        <v>3204</v>
      </c>
      <c r="B1" s="3"/>
      <c r="C1" s="3"/>
      <c r="D1" s="3"/>
      <c r="E1" s="3"/>
      <c r="F1" s="3"/>
      <c r="G1" s="3"/>
      <c r="H1" s="3"/>
      <c r="I1" s="3"/>
      <c r="J1" s="3"/>
      <c r="K1" s="3"/>
      <c r="L1" s="3"/>
      <c r="M1" s="3"/>
      <c r="N1" s="4"/>
    </row>
    <row r="2" ht="27.75" customHeight="1">
      <c r="A2" s="77" t="s">
        <v>3206</v>
      </c>
      <c r="B2" s="3"/>
      <c r="C2" s="3"/>
      <c r="D2" s="3"/>
      <c r="E2" s="3"/>
      <c r="F2" s="3"/>
      <c r="G2" s="3"/>
      <c r="H2" s="3"/>
      <c r="I2" s="3"/>
      <c r="J2" s="3"/>
      <c r="K2" s="3"/>
      <c r="L2" s="3"/>
      <c r="M2" s="3"/>
      <c r="N2" s="4"/>
    </row>
    <row r="3" ht="24.75" customHeight="1">
      <c r="A3" s="96" t="s">
        <v>8</v>
      </c>
      <c r="B3" s="96" t="s">
        <v>13</v>
      </c>
      <c r="C3" s="96" t="s">
        <v>15</v>
      </c>
      <c r="D3" s="96" t="s">
        <v>17</v>
      </c>
      <c r="E3" s="96" t="s">
        <v>18</v>
      </c>
      <c r="F3" s="96" t="s">
        <v>20</v>
      </c>
      <c r="G3" s="96" t="s">
        <v>21</v>
      </c>
      <c r="H3" s="96" t="s">
        <v>22</v>
      </c>
      <c r="I3" s="96" t="s">
        <v>23</v>
      </c>
      <c r="J3" s="96" t="s">
        <v>25</v>
      </c>
      <c r="K3" s="96" t="s">
        <v>26</v>
      </c>
      <c r="L3" s="96" t="s">
        <v>19</v>
      </c>
      <c r="M3" s="96" t="s">
        <v>27</v>
      </c>
      <c r="N3" s="96" t="s">
        <v>28</v>
      </c>
    </row>
    <row r="4" ht="19.5" customHeight="1">
      <c r="A4" s="13" t="s">
        <v>3028</v>
      </c>
      <c r="B4" s="3"/>
      <c r="C4" s="3"/>
      <c r="D4" s="3"/>
      <c r="E4" s="3"/>
      <c r="F4" s="3"/>
      <c r="G4" s="3"/>
      <c r="H4" s="3"/>
      <c r="I4" s="3"/>
      <c r="J4" s="3"/>
      <c r="K4" s="3"/>
      <c r="L4" s="3"/>
      <c r="M4" s="3"/>
      <c r="N4" s="4"/>
    </row>
    <row r="5" ht="60.0" customHeight="1">
      <c r="A5" s="78" t="s">
        <v>3211</v>
      </c>
      <c r="B5" s="17"/>
      <c r="C5" s="19" t="s">
        <v>9</v>
      </c>
      <c r="D5" s="17"/>
      <c r="E5" s="17"/>
      <c r="F5" s="17"/>
      <c r="G5" s="17"/>
      <c r="H5" s="17"/>
      <c r="I5" s="17"/>
      <c r="J5" s="90"/>
      <c r="K5" s="17"/>
      <c r="L5" s="26" t="s">
        <v>43</v>
      </c>
      <c r="M5" s="17"/>
      <c r="N5" s="17"/>
    </row>
    <row r="6" ht="60.0" customHeight="1">
      <c r="A6" s="78" t="s">
        <v>3213</v>
      </c>
      <c r="B6" s="28"/>
      <c r="C6" s="19" t="s">
        <v>9</v>
      </c>
      <c r="D6" s="28"/>
      <c r="E6" s="28"/>
      <c r="F6" s="28"/>
      <c r="G6" s="28"/>
      <c r="H6" s="28"/>
      <c r="I6" s="28"/>
      <c r="J6" s="91"/>
      <c r="K6" s="28"/>
      <c r="L6" s="26" t="s">
        <v>43</v>
      </c>
      <c r="M6" s="28"/>
      <c r="N6" s="28"/>
    </row>
    <row r="7" ht="60.0" customHeight="1">
      <c r="A7" s="78" t="s">
        <v>3216</v>
      </c>
      <c r="B7" s="17"/>
      <c r="C7" s="19" t="s">
        <v>9</v>
      </c>
      <c r="D7" s="17"/>
      <c r="E7" s="17"/>
      <c r="F7" s="17"/>
      <c r="G7" s="17"/>
      <c r="H7" s="17"/>
      <c r="I7" s="17"/>
      <c r="J7" s="90"/>
      <c r="K7" s="17"/>
      <c r="L7" s="26" t="s">
        <v>43</v>
      </c>
      <c r="M7" s="17"/>
      <c r="N7" s="17"/>
    </row>
    <row r="8" ht="60.0" customHeight="1">
      <c r="A8" s="78" t="s">
        <v>3218</v>
      </c>
      <c r="B8" s="28"/>
      <c r="C8" s="19" t="s">
        <v>9</v>
      </c>
      <c r="D8" s="28"/>
      <c r="E8" s="28"/>
      <c r="F8" s="28"/>
      <c r="G8" s="28"/>
      <c r="H8" s="28"/>
      <c r="I8" s="28"/>
      <c r="J8" s="91"/>
      <c r="K8" s="28"/>
      <c r="L8" s="26" t="s">
        <v>43</v>
      </c>
      <c r="M8" s="28"/>
      <c r="N8" s="28"/>
    </row>
    <row r="9" ht="60.0" customHeight="1">
      <c r="A9" s="78" t="s">
        <v>3220</v>
      </c>
      <c r="B9" s="17"/>
      <c r="C9" s="19" t="s">
        <v>9</v>
      </c>
      <c r="D9" s="17"/>
      <c r="E9" s="17"/>
      <c r="F9" s="17"/>
      <c r="G9" s="17"/>
      <c r="H9" s="17"/>
      <c r="I9" s="17"/>
      <c r="J9" s="90"/>
      <c r="K9" s="17"/>
      <c r="L9" s="26" t="s">
        <v>43</v>
      </c>
      <c r="M9" s="17"/>
      <c r="N9" s="17"/>
    </row>
    <row r="10" ht="60.0" customHeight="1">
      <c r="A10" s="78" t="s">
        <v>3222</v>
      </c>
      <c r="B10" s="28"/>
      <c r="C10" s="19" t="s">
        <v>9</v>
      </c>
      <c r="D10" s="28"/>
      <c r="E10" s="28"/>
      <c r="F10" s="28"/>
      <c r="G10" s="28"/>
      <c r="H10" s="28"/>
      <c r="I10" s="28"/>
      <c r="J10" s="91"/>
      <c r="K10" s="28"/>
      <c r="L10" s="26" t="s">
        <v>43</v>
      </c>
      <c r="M10" s="28"/>
      <c r="N10" s="28"/>
    </row>
    <row r="11" ht="19.5" customHeight="1">
      <c r="A11" s="46" t="s">
        <v>3075</v>
      </c>
      <c r="B11" s="3"/>
      <c r="C11" s="3"/>
      <c r="D11" s="3"/>
      <c r="E11" s="3"/>
      <c r="F11" s="3"/>
      <c r="G11" s="3"/>
      <c r="H11" s="3"/>
      <c r="I11" s="3"/>
      <c r="J11" s="3"/>
      <c r="K11" s="3"/>
      <c r="L11" s="3"/>
      <c r="M11" s="3"/>
      <c r="N11" s="4"/>
    </row>
    <row r="12" ht="60.0" customHeight="1">
      <c r="A12" s="78" t="s">
        <v>3226</v>
      </c>
      <c r="B12" s="17"/>
      <c r="C12" s="22" t="s">
        <v>11</v>
      </c>
      <c r="D12" s="17"/>
      <c r="E12" s="17"/>
      <c r="F12" s="17"/>
      <c r="G12" s="17"/>
      <c r="H12" s="17"/>
      <c r="I12" s="17"/>
      <c r="J12" s="90"/>
      <c r="K12" s="17"/>
      <c r="L12" s="26" t="s">
        <v>43</v>
      </c>
      <c r="M12" s="17"/>
      <c r="N12" s="17"/>
    </row>
    <row r="13" ht="60.0" customHeight="1">
      <c r="A13" s="78" t="s">
        <v>3228</v>
      </c>
      <c r="B13" s="28"/>
      <c r="C13" s="22" t="s">
        <v>11</v>
      </c>
      <c r="D13" s="28"/>
      <c r="E13" s="28"/>
      <c r="F13" s="28"/>
      <c r="G13" s="28"/>
      <c r="H13" s="28"/>
      <c r="I13" s="28"/>
      <c r="J13" s="91"/>
      <c r="K13" s="28"/>
      <c r="L13" s="26" t="s">
        <v>43</v>
      </c>
      <c r="M13" s="28"/>
      <c r="N13" s="28"/>
    </row>
    <row r="14" ht="60.0" customHeight="1">
      <c r="A14" s="78" t="s">
        <v>3230</v>
      </c>
      <c r="B14" s="17"/>
      <c r="C14" s="22" t="s">
        <v>11</v>
      </c>
      <c r="D14" s="17"/>
      <c r="E14" s="17"/>
      <c r="F14" s="17"/>
      <c r="G14" s="17"/>
      <c r="H14" s="17"/>
      <c r="I14" s="17"/>
      <c r="J14" s="90"/>
      <c r="K14" s="17"/>
      <c r="L14" s="26" t="s">
        <v>43</v>
      </c>
      <c r="M14" s="17"/>
      <c r="N14" s="17"/>
    </row>
    <row r="15" ht="60.0" customHeight="1">
      <c r="A15" s="78" t="s">
        <v>3232</v>
      </c>
      <c r="B15" s="28"/>
      <c r="C15" s="22" t="s">
        <v>11</v>
      </c>
      <c r="D15" s="28"/>
      <c r="E15" s="28"/>
      <c r="F15" s="28"/>
      <c r="G15" s="28"/>
      <c r="H15" s="28"/>
      <c r="I15" s="28"/>
      <c r="J15" s="91"/>
      <c r="K15" s="28"/>
      <c r="L15" s="26" t="s">
        <v>43</v>
      </c>
      <c r="M15" s="28"/>
      <c r="N15" s="28"/>
    </row>
    <row r="16" ht="60.0" customHeight="1">
      <c r="A16" s="78" t="s">
        <v>3235</v>
      </c>
      <c r="B16" s="17"/>
      <c r="C16" s="22" t="s">
        <v>11</v>
      </c>
      <c r="D16" s="17"/>
      <c r="E16" s="17"/>
      <c r="F16" s="17"/>
      <c r="G16" s="17"/>
      <c r="H16" s="17"/>
      <c r="I16" s="17"/>
      <c r="J16" s="90"/>
      <c r="K16" s="17"/>
      <c r="L16" s="26" t="s">
        <v>43</v>
      </c>
      <c r="M16" s="17"/>
      <c r="N16" s="17"/>
    </row>
    <row r="17" ht="60.0" customHeight="1">
      <c r="A17" s="78" t="s">
        <v>3237</v>
      </c>
      <c r="B17" s="28"/>
      <c r="C17" s="22" t="s">
        <v>11</v>
      </c>
      <c r="D17" s="28"/>
      <c r="E17" s="28"/>
      <c r="F17" s="28"/>
      <c r="G17" s="28"/>
      <c r="H17" s="28"/>
      <c r="I17" s="28"/>
      <c r="J17" s="91"/>
      <c r="K17" s="28"/>
      <c r="L17" s="26" t="s">
        <v>43</v>
      </c>
      <c r="M17" s="28"/>
      <c r="N17" s="28"/>
    </row>
    <row r="18" ht="60.0" customHeight="1">
      <c r="A18" s="78" t="s">
        <v>3239</v>
      </c>
      <c r="B18" s="17"/>
      <c r="C18" s="22" t="s">
        <v>11</v>
      </c>
      <c r="D18" s="17"/>
      <c r="E18" s="17"/>
      <c r="F18" s="17"/>
      <c r="G18" s="17"/>
      <c r="H18" s="17"/>
      <c r="I18" s="17"/>
      <c r="J18" s="90"/>
      <c r="K18" s="17"/>
      <c r="L18" s="26" t="s">
        <v>43</v>
      </c>
      <c r="M18" s="17"/>
      <c r="N18" s="17"/>
    </row>
    <row r="19" ht="60.0" customHeight="1">
      <c r="A19" s="78" t="s">
        <v>3240</v>
      </c>
      <c r="B19" s="28"/>
      <c r="C19" s="22" t="s">
        <v>11</v>
      </c>
      <c r="D19" s="28"/>
      <c r="E19" s="28"/>
      <c r="F19" s="28"/>
      <c r="G19" s="28"/>
      <c r="H19" s="28"/>
      <c r="I19" s="28"/>
      <c r="J19" s="91"/>
      <c r="K19" s="28"/>
      <c r="L19" s="26" t="s">
        <v>43</v>
      </c>
      <c r="M19" s="28"/>
      <c r="N19" s="28"/>
    </row>
    <row r="20" ht="19.5" customHeight="1">
      <c r="A20" s="63" t="s">
        <v>3122</v>
      </c>
      <c r="B20" s="3"/>
      <c r="C20" s="3"/>
      <c r="D20" s="3"/>
      <c r="E20" s="3"/>
      <c r="F20" s="3"/>
      <c r="G20" s="3"/>
      <c r="H20" s="3"/>
      <c r="I20" s="3"/>
      <c r="J20" s="3"/>
      <c r="K20" s="3"/>
      <c r="L20" s="3"/>
      <c r="M20" s="3"/>
      <c r="N20" s="4"/>
    </row>
    <row r="21" ht="60.0" customHeight="1">
      <c r="A21" s="78" t="s">
        <v>3241</v>
      </c>
      <c r="B21" s="17"/>
      <c r="C21" s="24" t="s">
        <v>12</v>
      </c>
      <c r="D21" s="17"/>
      <c r="E21" s="17"/>
      <c r="F21" s="17"/>
      <c r="G21" s="17"/>
      <c r="H21" s="17"/>
      <c r="I21" s="17"/>
      <c r="J21" s="90"/>
      <c r="K21" s="17"/>
      <c r="L21" s="26" t="s">
        <v>43</v>
      </c>
      <c r="M21" s="17"/>
      <c r="N21" s="17"/>
    </row>
    <row r="22" ht="60.0" customHeight="1">
      <c r="A22" s="78" t="s">
        <v>3242</v>
      </c>
      <c r="B22" s="28"/>
      <c r="C22" s="24" t="s">
        <v>12</v>
      </c>
      <c r="D22" s="28"/>
      <c r="E22" s="28"/>
      <c r="F22" s="28"/>
      <c r="G22" s="28"/>
      <c r="H22" s="28"/>
      <c r="I22" s="28"/>
      <c r="J22" s="91"/>
      <c r="K22" s="28"/>
      <c r="L22" s="26" t="s">
        <v>43</v>
      </c>
      <c r="M22" s="28"/>
      <c r="N22" s="28"/>
    </row>
    <row r="23" ht="60.0" customHeight="1">
      <c r="A23" s="78" t="s">
        <v>3243</v>
      </c>
      <c r="B23" s="17"/>
      <c r="C23" s="24" t="s">
        <v>12</v>
      </c>
      <c r="D23" s="17"/>
      <c r="E23" s="17"/>
      <c r="F23" s="17"/>
      <c r="G23" s="17"/>
      <c r="H23" s="17"/>
      <c r="I23" s="17"/>
      <c r="J23" s="90"/>
      <c r="K23" s="17"/>
      <c r="L23" s="26" t="s">
        <v>43</v>
      </c>
      <c r="M23" s="17"/>
      <c r="N23" s="17"/>
    </row>
    <row r="24" ht="60.0" customHeight="1">
      <c r="A24" s="78" t="s">
        <v>3244</v>
      </c>
      <c r="B24" s="28"/>
      <c r="C24" s="24" t="s">
        <v>12</v>
      </c>
      <c r="D24" s="28"/>
      <c r="E24" s="28"/>
      <c r="F24" s="28"/>
      <c r="G24" s="28"/>
      <c r="H24" s="28"/>
      <c r="I24" s="28"/>
      <c r="J24" s="91"/>
      <c r="K24" s="28"/>
      <c r="L24" s="26" t="s">
        <v>43</v>
      </c>
      <c r="M24" s="28"/>
      <c r="N24" s="28"/>
    </row>
    <row r="25" ht="60.0" customHeight="1">
      <c r="A25" s="78" t="s">
        <v>3245</v>
      </c>
      <c r="B25" s="17"/>
      <c r="C25" s="24" t="s">
        <v>12</v>
      </c>
      <c r="D25" s="17"/>
      <c r="E25" s="17"/>
      <c r="F25" s="17"/>
      <c r="G25" s="17"/>
      <c r="H25" s="17"/>
      <c r="I25" s="17"/>
      <c r="J25" s="90"/>
      <c r="K25" s="17"/>
      <c r="L25" s="26" t="s">
        <v>43</v>
      </c>
      <c r="M25" s="17"/>
      <c r="N25" s="17"/>
    </row>
    <row r="26" ht="60.0" customHeight="1">
      <c r="A26" s="78" t="s">
        <v>3246</v>
      </c>
      <c r="B26" s="28"/>
      <c r="C26" s="24" t="s">
        <v>12</v>
      </c>
      <c r="D26" s="28"/>
      <c r="E26" s="28"/>
      <c r="F26" s="28"/>
      <c r="G26" s="28"/>
      <c r="H26" s="28"/>
      <c r="I26" s="28"/>
      <c r="J26" s="91"/>
      <c r="K26" s="28"/>
      <c r="L26" s="26" t="s">
        <v>43</v>
      </c>
      <c r="M26" s="28"/>
      <c r="N26" s="28"/>
    </row>
    <row r="27" ht="25.5" customHeight="1">
      <c r="A27" s="55" t="s">
        <v>3247</v>
      </c>
      <c r="B27" s="57"/>
      <c r="C27" s="57"/>
      <c r="D27" s="57"/>
      <c r="E27" s="57"/>
      <c r="F27" s="57"/>
      <c r="G27" s="57"/>
      <c r="H27" s="57"/>
      <c r="I27" s="58"/>
      <c r="L27" s="79">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6" t="s">
        <v>2973</v>
      </c>
      <c r="B1" s="3"/>
      <c r="C1" s="3"/>
      <c r="D1" s="3"/>
      <c r="E1" s="3"/>
      <c r="F1" s="3"/>
      <c r="G1" s="3"/>
      <c r="H1" s="3"/>
      <c r="I1" s="3"/>
      <c r="J1" s="3"/>
      <c r="K1" s="3"/>
      <c r="L1" s="3"/>
      <c r="M1" s="3"/>
      <c r="N1" s="4"/>
    </row>
    <row r="2" ht="27.75" customHeight="1">
      <c r="A2" s="87" t="s">
        <v>2996</v>
      </c>
      <c r="B2" s="3"/>
      <c r="C2" s="3"/>
      <c r="D2" s="3"/>
      <c r="E2" s="3"/>
      <c r="F2" s="3"/>
      <c r="G2" s="3"/>
      <c r="H2" s="3"/>
      <c r="I2" s="3"/>
      <c r="J2" s="3"/>
      <c r="K2" s="3"/>
      <c r="L2" s="3"/>
      <c r="M2" s="3"/>
      <c r="N2" s="4"/>
    </row>
    <row r="3" ht="24.75" customHeight="1">
      <c r="A3" s="88" t="s">
        <v>8</v>
      </c>
      <c r="B3" s="88" t="s">
        <v>13</v>
      </c>
      <c r="C3" s="88" t="s">
        <v>15</v>
      </c>
      <c r="D3" s="88" t="s">
        <v>17</v>
      </c>
      <c r="E3" s="88" t="s">
        <v>18</v>
      </c>
      <c r="F3" s="88" t="s">
        <v>20</v>
      </c>
      <c r="G3" s="88" t="s">
        <v>21</v>
      </c>
      <c r="H3" s="88" t="s">
        <v>22</v>
      </c>
      <c r="I3" s="88" t="s">
        <v>23</v>
      </c>
      <c r="J3" s="88" t="s">
        <v>25</v>
      </c>
      <c r="K3" s="88" t="s">
        <v>26</v>
      </c>
      <c r="L3" s="88" t="s">
        <v>19</v>
      </c>
      <c r="M3" s="88" t="s">
        <v>27</v>
      </c>
      <c r="N3" s="88" t="s">
        <v>28</v>
      </c>
    </row>
    <row r="4" ht="19.5" customHeight="1">
      <c r="A4" s="13" t="s">
        <v>3028</v>
      </c>
      <c r="B4" s="3"/>
      <c r="C4" s="3"/>
      <c r="D4" s="3"/>
      <c r="E4" s="3"/>
      <c r="F4" s="3"/>
      <c r="G4" s="3"/>
      <c r="H4" s="3"/>
      <c r="I4" s="3"/>
      <c r="J4" s="3"/>
      <c r="K4" s="3"/>
      <c r="L4" s="3"/>
      <c r="M4" s="3"/>
      <c r="N4" s="4"/>
    </row>
    <row r="5" ht="60.0" customHeight="1">
      <c r="A5" s="89" t="s">
        <v>3038</v>
      </c>
      <c r="B5" s="17"/>
      <c r="C5" s="19" t="s">
        <v>9</v>
      </c>
      <c r="D5" s="17"/>
      <c r="E5" s="17"/>
      <c r="F5" s="17"/>
      <c r="G5" s="17"/>
      <c r="H5" s="17"/>
      <c r="I5" s="17"/>
      <c r="J5" s="90"/>
      <c r="K5" s="17"/>
      <c r="L5" s="26" t="s">
        <v>43</v>
      </c>
      <c r="M5" s="17"/>
      <c r="N5" s="17"/>
    </row>
    <row r="6" ht="60.0" customHeight="1">
      <c r="A6" s="89" t="s">
        <v>3053</v>
      </c>
      <c r="B6" s="28"/>
      <c r="C6" s="19" t="s">
        <v>9</v>
      </c>
      <c r="D6" s="28"/>
      <c r="E6" s="28"/>
      <c r="F6" s="28"/>
      <c r="G6" s="28"/>
      <c r="H6" s="28"/>
      <c r="I6" s="28"/>
      <c r="J6" s="91"/>
      <c r="K6" s="28"/>
      <c r="L6" s="26" t="s">
        <v>43</v>
      </c>
      <c r="M6" s="28"/>
      <c r="N6" s="28"/>
    </row>
    <row r="7" ht="60.0" customHeight="1">
      <c r="A7" s="89" t="s">
        <v>3061</v>
      </c>
      <c r="B7" s="17"/>
      <c r="C7" s="19" t="s">
        <v>9</v>
      </c>
      <c r="D7" s="17"/>
      <c r="E7" s="17"/>
      <c r="F7" s="17"/>
      <c r="G7" s="17"/>
      <c r="H7" s="17"/>
      <c r="I7" s="17"/>
      <c r="J7" s="90"/>
      <c r="K7" s="17"/>
      <c r="L7" s="26" t="s">
        <v>43</v>
      </c>
      <c r="M7" s="17"/>
      <c r="N7" s="17"/>
    </row>
    <row r="8" ht="60.0" customHeight="1">
      <c r="A8" s="89" t="s">
        <v>3065</v>
      </c>
      <c r="B8" s="28"/>
      <c r="C8" s="19" t="s">
        <v>9</v>
      </c>
      <c r="D8" s="28"/>
      <c r="E8" s="28"/>
      <c r="F8" s="28"/>
      <c r="G8" s="28"/>
      <c r="H8" s="28"/>
      <c r="I8" s="28"/>
      <c r="J8" s="91"/>
      <c r="K8" s="28"/>
      <c r="L8" s="26" t="s">
        <v>43</v>
      </c>
      <c r="M8" s="28"/>
      <c r="N8" s="28"/>
    </row>
    <row r="9" ht="60.0" customHeight="1">
      <c r="A9" s="89" t="s">
        <v>3069</v>
      </c>
      <c r="B9" s="17"/>
      <c r="C9" s="19" t="s">
        <v>9</v>
      </c>
      <c r="D9" s="17"/>
      <c r="E9" s="17"/>
      <c r="F9" s="17"/>
      <c r="G9" s="17"/>
      <c r="H9" s="17"/>
      <c r="I9" s="17"/>
      <c r="J9" s="90"/>
      <c r="K9" s="17"/>
      <c r="L9" s="26" t="s">
        <v>43</v>
      </c>
      <c r="M9" s="17"/>
      <c r="N9" s="17"/>
    </row>
    <row r="10" ht="60.0" customHeight="1">
      <c r="A10" s="89" t="s">
        <v>3070</v>
      </c>
      <c r="B10" s="28"/>
      <c r="C10" s="19" t="s">
        <v>9</v>
      </c>
      <c r="D10" s="28"/>
      <c r="E10" s="28"/>
      <c r="F10" s="28"/>
      <c r="G10" s="28"/>
      <c r="H10" s="28"/>
      <c r="I10" s="28"/>
      <c r="J10" s="91"/>
      <c r="K10" s="28"/>
      <c r="L10" s="26" t="s">
        <v>43</v>
      </c>
      <c r="M10" s="28"/>
      <c r="N10" s="28"/>
    </row>
    <row r="11" ht="19.5" customHeight="1">
      <c r="A11" s="46" t="s">
        <v>3075</v>
      </c>
      <c r="B11" s="3"/>
      <c r="C11" s="3"/>
      <c r="D11" s="3"/>
      <c r="E11" s="3"/>
      <c r="F11" s="3"/>
      <c r="G11" s="3"/>
      <c r="H11" s="3"/>
      <c r="I11" s="3"/>
      <c r="J11" s="3"/>
      <c r="K11" s="3"/>
      <c r="L11" s="3"/>
      <c r="M11" s="3"/>
      <c r="N11" s="4"/>
    </row>
    <row r="12" ht="60.0" customHeight="1">
      <c r="A12" s="89" t="s">
        <v>3084</v>
      </c>
      <c r="B12" s="17"/>
      <c r="C12" s="22" t="s">
        <v>11</v>
      </c>
      <c r="D12" s="17"/>
      <c r="E12" s="17"/>
      <c r="F12" s="17"/>
      <c r="G12" s="17"/>
      <c r="H12" s="17"/>
      <c r="I12" s="17"/>
      <c r="J12" s="90"/>
      <c r="K12" s="17"/>
      <c r="L12" s="26" t="s">
        <v>43</v>
      </c>
      <c r="M12" s="17"/>
      <c r="N12" s="17"/>
    </row>
    <row r="13" ht="60.0" customHeight="1">
      <c r="A13" s="89" t="s">
        <v>3090</v>
      </c>
      <c r="B13" s="28"/>
      <c r="C13" s="22" t="s">
        <v>11</v>
      </c>
      <c r="D13" s="28"/>
      <c r="E13" s="28"/>
      <c r="F13" s="28"/>
      <c r="G13" s="28"/>
      <c r="H13" s="28"/>
      <c r="I13" s="28"/>
      <c r="J13" s="91"/>
      <c r="K13" s="28"/>
      <c r="L13" s="26" t="s">
        <v>43</v>
      </c>
      <c r="M13" s="28"/>
      <c r="N13" s="28"/>
    </row>
    <row r="14" ht="60.0" customHeight="1">
      <c r="A14" s="89" t="s">
        <v>3095</v>
      </c>
      <c r="B14" s="17"/>
      <c r="C14" s="22" t="s">
        <v>11</v>
      </c>
      <c r="D14" s="17"/>
      <c r="E14" s="17"/>
      <c r="F14" s="17"/>
      <c r="G14" s="17"/>
      <c r="H14" s="17"/>
      <c r="I14" s="17"/>
      <c r="J14" s="90"/>
      <c r="K14" s="17"/>
      <c r="L14" s="26" t="s">
        <v>43</v>
      </c>
      <c r="M14" s="17"/>
      <c r="N14" s="17"/>
    </row>
    <row r="15" ht="60.0" customHeight="1">
      <c r="A15" s="89" t="s">
        <v>3099</v>
      </c>
      <c r="B15" s="28"/>
      <c r="C15" s="22" t="s">
        <v>11</v>
      </c>
      <c r="D15" s="28"/>
      <c r="E15" s="28"/>
      <c r="F15" s="28"/>
      <c r="G15" s="28"/>
      <c r="H15" s="28"/>
      <c r="I15" s="28"/>
      <c r="J15" s="91"/>
      <c r="K15" s="28"/>
      <c r="L15" s="26" t="s">
        <v>43</v>
      </c>
      <c r="M15" s="28"/>
      <c r="N15" s="28"/>
    </row>
    <row r="16" ht="60.0" customHeight="1">
      <c r="A16" s="89" t="s">
        <v>3103</v>
      </c>
      <c r="B16" s="17"/>
      <c r="C16" s="22" t="s">
        <v>11</v>
      </c>
      <c r="D16" s="17"/>
      <c r="E16" s="17"/>
      <c r="F16" s="17"/>
      <c r="G16" s="17"/>
      <c r="H16" s="17"/>
      <c r="I16" s="17"/>
      <c r="J16" s="90"/>
      <c r="K16" s="17"/>
      <c r="L16" s="26" t="s">
        <v>43</v>
      </c>
      <c r="M16" s="17"/>
      <c r="N16" s="17"/>
    </row>
    <row r="17" ht="60.0" customHeight="1">
      <c r="A17" s="89" t="s">
        <v>3110</v>
      </c>
      <c r="B17" s="28"/>
      <c r="C17" s="22" t="s">
        <v>11</v>
      </c>
      <c r="D17" s="28"/>
      <c r="E17" s="28"/>
      <c r="F17" s="28"/>
      <c r="G17" s="28"/>
      <c r="H17" s="28"/>
      <c r="I17" s="28"/>
      <c r="J17" s="91"/>
      <c r="K17" s="28"/>
      <c r="L17" s="26" t="s">
        <v>43</v>
      </c>
      <c r="M17" s="28"/>
      <c r="N17" s="28"/>
    </row>
    <row r="18" ht="60.0" customHeight="1">
      <c r="A18" s="89" t="s">
        <v>3114</v>
      </c>
      <c r="B18" s="17"/>
      <c r="C18" s="22" t="s">
        <v>11</v>
      </c>
      <c r="D18" s="17"/>
      <c r="E18" s="17"/>
      <c r="F18" s="17"/>
      <c r="G18" s="17"/>
      <c r="H18" s="17"/>
      <c r="I18" s="17"/>
      <c r="J18" s="90"/>
      <c r="K18" s="17"/>
      <c r="L18" s="26" t="s">
        <v>43</v>
      </c>
      <c r="M18" s="17"/>
      <c r="N18" s="17"/>
    </row>
    <row r="19" ht="60.0" customHeight="1">
      <c r="A19" s="89" t="s">
        <v>3118</v>
      </c>
      <c r="B19" s="28"/>
      <c r="C19" s="22" t="s">
        <v>11</v>
      </c>
      <c r="D19" s="28"/>
      <c r="E19" s="28"/>
      <c r="F19" s="28"/>
      <c r="G19" s="28"/>
      <c r="H19" s="28"/>
      <c r="I19" s="28"/>
      <c r="J19" s="91"/>
      <c r="K19" s="28"/>
      <c r="L19" s="26" t="s">
        <v>43</v>
      </c>
      <c r="M19" s="28"/>
      <c r="N19" s="28"/>
    </row>
    <row r="20" ht="19.5" customHeight="1">
      <c r="A20" s="63" t="s">
        <v>3122</v>
      </c>
      <c r="B20" s="3"/>
      <c r="C20" s="3"/>
      <c r="D20" s="3"/>
      <c r="E20" s="3"/>
      <c r="F20" s="3"/>
      <c r="G20" s="3"/>
      <c r="H20" s="3"/>
      <c r="I20" s="3"/>
      <c r="J20" s="3"/>
      <c r="K20" s="3"/>
      <c r="L20" s="3"/>
      <c r="M20" s="3"/>
      <c r="N20" s="4"/>
    </row>
    <row r="21" ht="60.0" customHeight="1">
      <c r="A21" s="89" t="s">
        <v>3127</v>
      </c>
      <c r="B21" s="17"/>
      <c r="C21" s="24" t="s">
        <v>12</v>
      </c>
      <c r="D21" s="17"/>
      <c r="E21" s="17"/>
      <c r="F21" s="17"/>
      <c r="G21" s="17"/>
      <c r="H21" s="17"/>
      <c r="I21" s="17"/>
      <c r="J21" s="90"/>
      <c r="K21" s="17"/>
      <c r="L21" s="26" t="s">
        <v>43</v>
      </c>
      <c r="M21" s="17"/>
      <c r="N21" s="17"/>
    </row>
    <row r="22" ht="60.0" customHeight="1">
      <c r="A22" s="89" t="s">
        <v>3133</v>
      </c>
      <c r="B22" s="28"/>
      <c r="C22" s="24" t="s">
        <v>12</v>
      </c>
      <c r="D22" s="28"/>
      <c r="E22" s="28"/>
      <c r="F22" s="28"/>
      <c r="G22" s="28"/>
      <c r="H22" s="28"/>
      <c r="I22" s="28"/>
      <c r="J22" s="91"/>
      <c r="K22" s="28"/>
      <c r="L22" s="26" t="s">
        <v>43</v>
      </c>
      <c r="M22" s="28"/>
      <c r="N22" s="28"/>
    </row>
    <row r="23" ht="60.0" customHeight="1">
      <c r="A23" s="89" t="s">
        <v>3140</v>
      </c>
      <c r="B23" s="17"/>
      <c r="C23" s="24" t="s">
        <v>12</v>
      </c>
      <c r="D23" s="17"/>
      <c r="E23" s="17"/>
      <c r="F23" s="17"/>
      <c r="G23" s="17"/>
      <c r="H23" s="17"/>
      <c r="I23" s="17"/>
      <c r="J23" s="90"/>
      <c r="K23" s="17"/>
      <c r="L23" s="26" t="s">
        <v>43</v>
      </c>
      <c r="M23" s="17"/>
      <c r="N23" s="17"/>
    </row>
    <row r="24" ht="60.0" customHeight="1">
      <c r="A24" s="89" t="s">
        <v>3144</v>
      </c>
      <c r="B24" s="28"/>
      <c r="C24" s="24" t="s">
        <v>12</v>
      </c>
      <c r="D24" s="28"/>
      <c r="E24" s="28"/>
      <c r="F24" s="28"/>
      <c r="G24" s="28"/>
      <c r="H24" s="28"/>
      <c r="I24" s="28"/>
      <c r="J24" s="91"/>
      <c r="K24" s="28"/>
      <c r="L24" s="26" t="s">
        <v>43</v>
      </c>
      <c r="M24" s="28"/>
      <c r="N24" s="28"/>
    </row>
    <row r="25" ht="60.0" customHeight="1">
      <c r="A25" s="89" t="s">
        <v>3149</v>
      </c>
      <c r="B25" s="17"/>
      <c r="C25" s="24" t="s">
        <v>12</v>
      </c>
      <c r="D25" s="17"/>
      <c r="E25" s="17"/>
      <c r="F25" s="17"/>
      <c r="G25" s="17"/>
      <c r="H25" s="17"/>
      <c r="I25" s="17"/>
      <c r="J25" s="90"/>
      <c r="K25" s="17"/>
      <c r="L25" s="26" t="s">
        <v>43</v>
      </c>
      <c r="M25" s="17"/>
      <c r="N25" s="17"/>
    </row>
    <row r="26" ht="60.0" customHeight="1">
      <c r="A26" s="89" t="s">
        <v>3153</v>
      </c>
      <c r="B26" s="28"/>
      <c r="C26" s="24" t="s">
        <v>12</v>
      </c>
      <c r="D26" s="28"/>
      <c r="E26" s="28"/>
      <c r="F26" s="28"/>
      <c r="G26" s="28"/>
      <c r="H26" s="28"/>
      <c r="I26" s="28"/>
      <c r="J26" s="91"/>
      <c r="K26" s="28"/>
      <c r="L26" s="26" t="s">
        <v>43</v>
      </c>
      <c r="M26" s="28"/>
      <c r="N26" s="28"/>
    </row>
    <row r="27" ht="25.5" customHeight="1">
      <c r="A27" s="55" t="s">
        <v>3159</v>
      </c>
      <c r="B27" s="57"/>
      <c r="C27" s="57"/>
      <c r="D27" s="57"/>
      <c r="E27" s="57"/>
      <c r="F27" s="57"/>
      <c r="G27" s="57"/>
      <c r="H27" s="57"/>
      <c r="I27" s="58"/>
      <c r="L27" s="93">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6" t="s">
        <v>3202</v>
      </c>
      <c r="B1" s="3"/>
      <c r="C1" s="3"/>
      <c r="D1" s="3"/>
      <c r="E1" s="3"/>
      <c r="F1" s="3"/>
      <c r="G1" s="3"/>
      <c r="H1" s="3"/>
      <c r="I1" s="3"/>
      <c r="J1" s="3"/>
      <c r="K1" s="3"/>
      <c r="L1" s="3"/>
      <c r="M1" s="3"/>
      <c r="N1" s="4"/>
    </row>
    <row r="2" ht="27.75" customHeight="1">
      <c r="A2" s="68" t="s">
        <v>3203</v>
      </c>
      <c r="B2" s="3"/>
      <c r="C2" s="3"/>
      <c r="D2" s="3"/>
      <c r="E2" s="3"/>
      <c r="F2" s="3"/>
      <c r="G2" s="3"/>
      <c r="H2" s="3"/>
      <c r="I2" s="3"/>
      <c r="J2" s="3"/>
      <c r="K2" s="3"/>
      <c r="L2" s="3"/>
      <c r="M2" s="3"/>
      <c r="N2" s="4"/>
    </row>
    <row r="3" ht="24.75" customHeight="1">
      <c r="A3" s="9" t="s">
        <v>8</v>
      </c>
      <c r="B3" s="9" t="s">
        <v>13</v>
      </c>
      <c r="C3" s="9" t="s">
        <v>15</v>
      </c>
      <c r="D3" s="9" t="s">
        <v>17</v>
      </c>
      <c r="E3" s="9" t="s">
        <v>18</v>
      </c>
      <c r="F3" s="9" t="s">
        <v>20</v>
      </c>
      <c r="G3" s="9" t="s">
        <v>21</v>
      </c>
      <c r="H3" s="9" t="s">
        <v>22</v>
      </c>
      <c r="I3" s="9" t="s">
        <v>23</v>
      </c>
      <c r="J3" s="9" t="s">
        <v>25</v>
      </c>
      <c r="K3" s="9" t="s">
        <v>26</v>
      </c>
      <c r="L3" s="9" t="s">
        <v>19</v>
      </c>
      <c r="M3" s="9" t="s">
        <v>27</v>
      </c>
      <c r="N3" s="9" t="s">
        <v>28</v>
      </c>
    </row>
    <row r="4" ht="19.5" customHeight="1">
      <c r="A4" s="13" t="s">
        <v>3028</v>
      </c>
      <c r="B4" s="3"/>
      <c r="C4" s="3"/>
      <c r="D4" s="3"/>
      <c r="E4" s="3"/>
      <c r="F4" s="3"/>
      <c r="G4" s="3"/>
      <c r="H4" s="3"/>
      <c r="I4" s="3"/>
      <c r="J4" s="3"/>
      <c r="K4" s="3"/>
      <c r="L4" s="3"/>
      <c r="M4" s="3"/>
      <c r="N4" s="4"/>
    </row>
    <row r="5" ht="60.0" customHeight="1">
      <c r="A5" s="95" t="s">
        <v>3205</v>
      </c>
      <c r="B5" s="17"/>
      <c r="C5" s="19" t="s">
        <v>9</v>
      </c>
      <c r="D5" s="17"/>
      <c r="E5" s="17"/>
      <c r="F5" s="17"/>
      <c r="G5" s="17"/>
      <c r="H5" s="17"/>
      <c r="I5" s="17"/>
      <c r="J5" s="90"/>
      <c r="K5" s="17"/>
      <c r="L5" s="26" t="s">
        <v>43</v>
      </c>
      <c r="M5" s="17"/>
      <c r="N5" s="17"/>
    </row>
    <row r="6" ht="60.0" customHeight="1">
      <c r="A6" s="95" t="s">
        <v>3207</v>
      </c>
      <c r="B6" s="28"/>
      <c r="C6" s="19" t="s">
        <v>9</v>
      </c>
      <c r="D6" s="28"/>
      <c r="E6" s="28"/>
      <c r="F6" s="28"/>
      <c r="G6" s="28"/>
      <c r="H6" s="28"/>
      <c r="I6" s="28"/>
      <c r="J6" s="91"/>
      <c r="K6" s="28"/>
      <c r="L6" s="26" t="s">
        <v>43</v>
      </c>
      <c r="M6" s="28"/>
      <c r="N6" s="28"/>
    </row>
    <row r="7" ht="60.0" customHeight="1">
      <c r="A7" s="95" t="s">
        <v>3208</v>
      </c>
      <c r="B7" s="17"/>
      <c r="C7" s="19" t="s">
        <v>9</v>
      </c>
      <c r="D7" s="17"/>
      <c r="E7" s="17"/>
      <c r="F7" s="17"/>
      <c r="G7" s="17"/>
      <c r="H7" s="17"/>
      <c r="I7" s="17"/>
      <c r="J7" s="90"/>
      <c r="K7" s="17"/>
      <c r="L7" s="26" t="s">
        <v>43</v>
      </c>
      <c r="M7" s="17"/>
      <c r="N7" s="17"/>
    </row>
    <row r="8" ht="60.0" customHeight="1">
      <c r="A8" s="95" t="s">
        <v>3209</v>
      </c>
      <c r="B8" s="28"/>
      <c r="C8" s="19" t="s">
        <v>9</v>
      </c>
      <c r="D8" s="28"/>
      <c r="E8" s="28"/>
      <c r="F8" s="28"/>
      <c r="G8" s="28"/>
      <c r="H8" s="28"/>
      <c r="I8" s="28"/>
      <c r="J8" s="91"/>
      <c r="K8" s="28"/>
      <c r="L8" s="26" t="s">
        <v>43</v>
      </c>
      <c r="M8" s="28"/>
      <c r="N8" s="28"/>
    </row>
    <row r="9" ht="60.0" customHeight="1">
      <c r="A9" s="95" t="s">
        <v>3210</v>
      </c>
      <c r="B9" s="17"/>
      <c r="C9" s="19" t="s">
        <v>9</v>
      </c>
      <c r="D9" s="17"/>
      <c r="E9" s="17"/>
      <c r="F9" s="17"/>
      <c r="G9" s="17"/>
      <c r="H9" s="17"/>
      <c r="I9" s="17"/>
      <c r="J9" s="90"/>
      <c r="K9" s="17"/>
      <c r="L9" s="26" t="s">
        <v>43</v>
      </c>
      <c r="M9" s="17"/>
      <c r="N9" s="17"/>
    </row>
    <row r="10" ht="60.0" customHeight="1">
      <c r="A10" s="95" t="s">
        <v>3212</v>
      </c>
      <c r="B10" s="28"/>
      <c r="C10" s="19" t="s">
        <v>9</v>
      </c>
      <c r="D10" s="28"/>
      <c r="E10" s="28"/>
      <c r="F10" s="28"/>
      <c r="G10" s="28"/>
      <c r="H10" s="28"/>
      <c r="I10" s="28"/>
      <c r="J10" s="91"/>
      <c r="K10" s="28"/>
      <c r="L10" s="26" t="s">
        <v>43</v>
      </c>
      <c r="M10" s="28"/>
      <c r="N10" s="28"/>
    </row>
    <row r="11" ht="19.5" customHeight="1">
      <c r="A11" s="46" t="s">
        <v>3075</v>
      </c>
      <c r="B11" s="3"/>
      <c r="C11" s="3"/>
      <c r="D11" s="3"/>
      <c r="E11" s="3"/>
      <c r="F11" s="3"/>
      <c r="G11" s="3"/>
      <c r="H11" s="3"/>
      <c r="I11" s="3"/>
      <c r="J11" s="3"/>
      <c r="K11" s="3"/>
      <c r="L11" s="3"/>
      <c r="M11" s="3"/>
      <c r="N11" s="4"/>
    </row>
    <row r="12" ht="60.0" customHeight="1">
      <c r="A12" s="95" t="s">
        <v>3214</v>
      </c>
      <c r="B12" s="17"/>
      <c r="C12" s="22" t="s">
        <v>11</v>
      </c>
      <c r="D12" s="17"/>
      <c r="E12" s="17"/>
      <c r="F12" s="17"/>
      <c r="G12" s="17"/>
      <c r="H12" s="17"/>
      <c r="I12" s="17"/>
      <c r="J12" s="90"/>
      <c r="K12" s="17"/>
      <c r="L12" s="26" t="s">
        <v>43</v>
      </c>
      <c r="M12" s="17"/>
      <c r="N12" s="17"/>
    </row>
    <row r="13" ht="60.0" customHeight="1">
      <c r="A13" s="95" t="s">
        <v>3215</v>
      </c>
      <c r="B13" s="28"/>
      <c r="C13" s="22" t="s">
        <v>11</v>
      </c>
      <c r="D13" s="28"/>
      <c r="E13" s="28"/>
      <c r="F13" s="28"/>
      <c r="G13" s="28"/>
      <c r="H13" s="28"/>
      <c r="I13" s="28"/>
      <c r="J13" s="91"/>
      <c r="K13" s="28"/>
      <c r="L13" s="26" t="s">
        <v>43</v>
      </c>
      <c r="M13" s="28"/>
      <c r="N13" s="28"/>
    </row>
    <row r="14" ht="60.0" customHeight="1">
      <c r="A14" s="95" t="s">
        <v>3217</v>
      </c>
      <c r="B14" s="17"/>
      <c r="C14" s="22" t="s">
        <v>11</v>
      </c>
      <c r="D14" s="17"/>
      <c r="E14" s="17"/>
      <c r="F14" s="17"/>
      <c r="G14" s="17"/>
      <c r="H14" s="17"/>
      <c r="I14" s="17"/>
      <c r="J14" s="90"/>
      <c r="K14" s="17"/>
      <c r="L14" s="26" t="s">
        <v>43</v>
      </c>
      <c r="M14" s="17"/>
      <c r="N14" s="17"/>
    </row>
    <row r="15" ht="60.0" customHeight="1">
      <c r="A15" s="95" t="s">
        <v>3219</v>
      </c>
      <c r="B15" s="28"/>
      <c r="C15" s="22" t="s">
        <v>11</v>
      </c>
      <c r="D15" s="28"/>
      <c r="E15" s="28"/>
      <c r="F15" s="28"/>
      <c r="G15" s="28"/>
      <c r="H15" s="28"/>
      <c r="I15" s="28"/>
      <c r="J15" s="91"/>
      <c r="K15" s="28"/>
      <c r="L15" s="26" t="s">
        <v>43</v>
      </c>
      <c r="M15" s="28"/>
      <c r="N15" s="28"/>
    </row>
    <row r="16" ht="60.0" customHeight="1">
      <c r="A16" s="95" t="s">
        <v>3221</v>
      </c>
      <c r="B16" s="17"/>
      <c r="C16" s="22" t="s">
        <v>11</v>
      </c>
      <c r="D16" s="17"/>
      <c r="E16" s="17"/>
      <c r="F16" s="17"/>
      <c r="G16" s="17"/>
      <c r="H16" s="17"/>
      <c r="I16" s="17"/>
      <c r="J16" s="90"/>
      <c r="K16" s="17"/>
      <c r="L16" s="26" t="s">
        <v>43</v>
      </c>
      <c r="M16" s="17"/>
      <c r="N16" s="17"/>
    </row>
    <row r="17" ht="60.0" customHeight="1">
      <c r="A17" s="95" t="s">
        <v>3223</v>
      </c>
      <c r="B17" s="28"/>
      <c r="C17" s="22" t="s">
        <v>11</v>
      </c>
      <c r="D17" s="28"/>
      <c r="E17" s="28"/>
      <c r="F17" s="28"/>
      <c r="G17" s="28"/>
      <c r="H17" s="28"/>
      <c r="I17" s="28"/>
      <c r="J17" s="91"/>
      <c r="K17" s="28"/>
      <c r="L17" s="26" t="s">
        <v>43</v>
      </c>
      <c r="M17" s="28"/>
      <c r="N17" s="28"/>
    </row>
    <row r="18" ht="60.0" customHeight="1">
      <c r="A18" s="95" t="s">
        <v>3224</v>
      </c>
      <c r="B18" s="17"/>
      <c r="C18" s="22" t="s">
        <v>11</v>
      </c>
      <c r="D18" s="17"/>
      <c r="E18" s="17"/>
      <c r="F18" s="17"/>
      <c r="G18" s="17"/>
      <c r="H18" s="17"/>
      <c r="I18" s="17"/>
      <c r="J18" s="90"/>
      <c r="K18" s="17"/>
      <c r="L18" s="26" t="s">
        <v>43</v>
      </c>
      <c r="M18" s="17"/>
      <c r="N18" s="17"/>
    </row>
    <row r="19" ht="60.0" customHeight="1">
      <c r="A19" s="95" t="s">
        <v>3225</v>
      </c>
      <c r="B19" s="28"/>
      <c r="C19" s="22" t="s">
        <v>11</v>
      </c>
      <c r="D19" s="28"/>
      <c r="E19" s="28"/>
      <c r="F19" s="28"/>
      <c r="G19" s="28"/>
      <c r="H19" s="28"/>
      <c r="I19" s="28"/>
      <c r="J19" s="91"/>
      <c r="K19" s="28"/>
      <c r="L19" s="26" t="s">
        <v>43</v>
      </c>
      <c r="M19" s="28"/>
      <c r="N19" s="28"/>
    </row>
    <row r="20" ht="19.5" customHeight="1">
      <c r="A20" s="63" t="s">
        <v>3122</v>
      </c>
      <c r="B20" s="3"/>
      <c r="C20" s="3"/>
      <c r="D20" s="3"/>
      <c r="E20" s="3"/>
      <c r="F20" s="3"/>
      <c r="G20" s="3"/>
      <c r="H20" s="3"/>
      <c r="I20" s="3"/>
      <c r="J20" s="3"/>
      <c r="K20" s="3"/>
      <c r="L20" s="3"/>
      <c r="M20" s="3"/>
      <c r="N20" s="4"/>
    </row>
    <row r="21" ht="60.0" customHeight="1">
      <c r="A21" s="95" t="s">
        <v>3227</v>
      </c>
      <c r="B21" s="17"/>
      <c r="C21" s="24" t="s">
        <v>12</v>
      </c>
      <c r="D21" s="17"/>
      <c r="E21" s="17"/>
      <c r="F21" s="17"/>
      <c r="G21" s="17"/>
      <c r="H21" s="17"/>
      <c r="I21" s="17"/>
      <c r="J21" s="90"/>
      <c r="K21" s="17"/>
      <c r="L21" s="26" t="s">
        <v>43</v>
      </c>
      <c r="M21" s="17"/>
      <c r="N21" s="17"/>
    </row>
    <row r="22" ht="60.0" customHeight="1">
      <c r="A22" s="95" t="s">
        <v>3229</v>
      </c>
      <c r="B22" s="28"/>
      <c r="C22" s="24" t="s">
        <v>12</v>
      </c>
      <c r="D22" s="28"/>
      <c r="E22" s="28"/>
      <c r="F22" s="28"/>
      <c r="G22" s="28"/>
      <c r="H22" s="28"/>
      <c r="I22" s="28"/>
      <c r="J22" s="91"/>
      <c r="K22" s="28"/>
      <c r="L22" s="26" t="s">
        <v>43</v>
      </c>
      <c r="M22" s="28"/>
      <c r="N22" s="28"/>
    </row>
    <row r="23" ht="60.0" customHeight="1">
      <c r="A23" s="95" t="s">
        <v>3231</v>
      </c>
      <c r="B23" s="17"/>
      <c r="C23" s="24" t="s">
        <v>12</v>
      </c>
      <c r="D23" s="17"/>
      <c r="E23" s="17"/>
      <c r="F23" s="17"/>
      <c r="G23" s="17"/>
      <c r="H23" s="17"/>
      <c r="I23" s="17"/>
      <c r="J23" s="90"/>
      <c r="K23" s="17"/>
      <c r="L23" s="26" t="s">
        <v>43</v>
      </c>
      <c r="M23" s="17"/>
      <c r="N23" s="17"/>
    </row>
    <row r="24" ht="60.0" customHeight="1">
      <c r="A24" s="95" t="s">
        <v>3233</v>
      </c>
      <c r="B24" s="28"/>
      <c r="C24" s="24" t="s">
        <v>12</v>
      </c>
      <c r="D24" s="28"/>
      <c r="E24" s="28"/>
      <c r="F24" s="28"/>
      <c r="G24" s="28"/>
      <c r="H24" s="28"/>
      <c r="I24" s="28"/>
      <c r="J24" s="91"/>
      <c r="K24" s="28"/>
      <c r="L24" s="26" t="s">
        <v>43</v>
      </c>
      <c r="M24" s="28"/>
      <c r="N24" s="28"/>
    </row>
    <row r="25" ht="60.0" customHeight="1">
      <c r="A25" s="95" t="s">
        <v>3234</v>
      </c>
      <c r="B25" s="17"/>
      <c r="C25" s="24" t="s">
        <v>12</v>
      </c>
      <c r="D25" s="17"/>
      <c r="E25" s="17"/>
      <c r="F25" s="17"/>
      <c r="G25" s="17"/>
      <c r="H25" s="17"/>
      <c r="I25" s="17"/>
      <c r="J25" s="90"/>
      <c r="K25" s="17"/>
      <c r="L25" s="26" t="s">
        <v>43</v>
      </c>
      <c r="M25" s="17"/>
      <c r="N25" s="17"/>
    </row>
    <row r="26" ht="60.0" customHeight="1">
      <c r="A26" s="95" t="s">
        <v>3236</v>
      </c>
      <c r="B26" s="28"/>
      <c r="C26" s="24" t="s">
        <v>12</v>
      </c>
      <c r="D26" s="28"/>
      <c r="E26" s="28"/>
      <c r="F26" s="28"/>
      <c r="G26" s="28"/>
      <c r="H26" s="28"/>
      <c r="I26" s="28"/>
      <c r="J26" s="91"/>
      <c r="K26" s="28"/>
      <c r="L26" s="26" t="s">
        <v>43</v>
      </c>
      <c r="M26" s="28"/>
      <c r="N26" s="28"/>
    </row>
    <row r="27" ht="25.5" customHeight="1">
      <c r="A27" s="55" t="s">
        <v>3238</v>
      </c>
      <c r="B27" s="57"/>
      <c r="C27" s="57"/>
      <c r="D27" s="57"/>
      <c r="E27" s="57"/>
      <c r="F27" s="57"/>
      <c r="G27" s="57"/>
      <c r="H27" s="57"/>
      <c r="I27" s="58"/>
      <c r="L27" s="97">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86" t="s">
        <v>3204</v>
      </c>
      <c r="B1" s="3"/>
      <c r="C1" s="3"/>
      <c r="D1" s="3"/>
      <c r="E1" s="3"/>
      <c r="F1" s="3"/>
      <c r="G1" s="3"/>
      <c r="H1" s="3"/>
      <c r="I1" s="3"/>
      <c r="J1" s="3"/>
      <c r="K1" s="3"/>
      <c r="L1" s="3"/>
      <c r="M1" s="3"/>
      <c r="N1" s="4"/>
    </row>
    <row r="2" ht="27.75" customHeight="1">
      <c r="A2" s="77" t="s">
        <v>3206</v>
      </c>
      <c r="B2" s="3"/>
      <c r="C2" s="3"/>
      <c r="D2" s="3"/>
      <c r="E2" s="3"/>
      <c r="F2" s="3"/>
      <c r="G2" s="3"/>
      <c r="H2" s="3"/>
      <c r="I2" s="3"/>
      <c r="J2" s="3"/>
      <c r="K2" s="3"/>
      <c r="L2" s="3"/>
      <c r="M2" s="3"/>
      <c r="N2" s="4"/>
    </row>
    <row r="3" ht="24.75" customHeight="1">
      <c r="A3" s="96" t="s">
        <v>8</v>
      </c>
      <c r="B3" s="96" t="s">
        <v>13</v>
      </c>
      <c r="C3" s="96" t="s">
        <v>15</v>
      </c>
      <c r="D3" s="96" t="s">
        <v>17</v>
      </c>
      <c r="E3" s="96" t="s">
        <v>18</v>
      </c>
      <c r="F3" s="96" t="s">
        <v>20</v>
      </c>
      <c r="G3" s="96" t="s">
        <v>21</v>
      </c>
      <c r="H3" s="96" t="s">
        <v>22</v>
      </c>
      <c r="I3" s="96" t="s">
        <v>23</v>
      </c>
      <c r="J3" s="96" t="s">
        <v>25</v>
      </c>
      <c r="K3" s="96" t="s">
        <v>26</v>
      </c>
      <c r="L3" s="96" t="s">
        <v>19</v>
      </c>
      <c r="M3" s="96" t="s">
        <v>27</v>
      </c>
      <c r="N3" s="96" t="s">
        <v>28</v>
      </c>
    </row>
    <row r="4" ht="19.5" customHeight="1">
      <c r="A4" s="13" t="s">
        <v>3028</v>
      </c>
      <c r="B4" s="3"/>
      <c r="C4" s="3"/>
      <c r="D4" s="3"/>
      <c r="E4" s="3"/>
      <c r="F4" s="3"/>
      <c r="G4" s="3"/>
      <c r="H4" s="3"/>
      <c r="I4" s="3"/>
      <c r="J4" s="3"/>
      <c r="K4" s="3"/>
      <c r="L4" s="3"/>
      <c r="M4" s="3"/>
      <c r="N4" s="4"/>
    </row>
    <row r="5" ht="60.0" customHeight="1">
      <c r="A5" s="78" t="s">
        <v>3211</v>
      </c>
      <c r="B5" s="17"/>
      <c r="C5" s="19" t="s">
        <v>9</v>
      </c>
      <c r="D5" s="17"/>
      <c r="E5" s="17"/>
      <c r="F5" s="17"/>
      <c r="G5" s="17"/>
      <c r="H5" s="17"/>
      <c r="I5" s="17"/>
      <c r="J5" s="90"/>
      <c r="K5" s="17"/>
      <c r="L5" s="26" t="s">
        <v>43</v>
      </c>
      <c r="M5" s="17"/>
      <c r="N5" s="17"/>
    </row>
    <row r="6" ht="60.0" customHeight="1">
      <c r="A6" s="78" t="s">
        <v>3213</v>
      </c>
      <c r="B6" s="28"/>
      <c r="C6" s="19" t="s">
        <v>9</v>
      </c>
      <c r="D6" s="28"/>
      <c r="E6" s="28"/>
      <c r="F6" s="28"/>
      <c r="G6" s="28"/>
      <c r="H6" s="28"/>
      <c r="I6" s="28"/>
      <c r="J6" s="91"/>
      <c r="K6" s="28"/>
      <c r="L6" s="26" t="s">
        <v>43</v>
      </c>
      <c r="M6" s="28"/>
      <c r="N6" s="28"/>
    </row>
    <row r="7" ht="60.0" customHeight="1">
      <c r="A7" s="78" t="s">
        <v>3216</v>
      </c>
      <c r="B7" s="17"/>
      <c r="C7" s="19" t="s">
        <v>9</v>
      </c>
      <c r="D7" s="17"/>
      <c r="E7" s="17"/>
      <c r="F7" s="17"/>
      <c r="G7" s="17"/>
      <c r="H7" s="17"/>
      <c r="I7" s="17"/>
      <c r="J7" s="90"/>
      <c r="K7" s="17"/>
      <c r="L7" s="26" t="s">
        <v>43</v>
      </c>
      <c r="M7" s="17"/>
      <c r="N7" s="17"/>
    </row>
    <row r="8" ht="60.0" customHeight="1">
      <c r="A8" s="78" t="s">
        <v>3218</v>
      </c>
      <c r="B8" s="28"/>
      <c r="C8" s="19" t="s">
        <v>9</v>
      </c>
      <c r="D8" s="28"/>
      <c r="E8" s="28"/>
      <c r="F8" s="28"/>
      <c r="G8" s="28"/>
      <c r="H8" s="28"/>
      <c r="I8" s="28"/>
      <c r="J8" s="91"/>
      <c r="K8" s="28"/>
      <c r="L8" s="26" t="s">
        <v>43</v>
      </c>
      <c r="M8" s="28"/>
      <c r="N8" s="28"/>
    </row>
    <row r="9" ht="60.0" customHeight="1">
      <c r="A9" s="78" t="s">
        <v>3220</v>
      </c>
      <c r="B9" s="17"/>
      <c r="C9" s="19" t="s">
        <v>9</v>
      </c>
      <c r="D9" s="17"/>
      <c r="E9" s="17"/>
      <c r="F9" s="17"/>
      <c r="G9" s="17"/>
      <c r="H9" s="17"/>
      <c r="I9" s="17"/>
      <c r="J9" s="90"/>
      <c r="K9" s="17"/>
      <c r="L9" s="26" t="s">
        <v>43</v>
      </c>
      <c r="M9" s="17"/>
      <c r="N9" s="17"/>
    </row>
    <row r="10" ht="60.0" customHeight="1">
      <c r="A10" s="78" t="s">
        <v>3222</v>
      </c>
      <c r="B10" s="28"/>
      <c r="C10" s="19" t="s">
        <v>9</v>
      </c>
      <c r="D10" s="28"/>
      <c r="E10" s="28"/>
      <c r="F10" s="28"/>
      <c r="G10" s="28"/>
      <c r="H10" s="28"/>
      <c r="I10" s="28"/>
      <c r="J10" s="91"/>
      <c r="K10" s="28"/>
      <c r="L10" s="26" t="s">
        <v>43</v>
      </c>
      <c r="M10" s="28"/>
      <c r="N10" s="28"/>
    </row>
    <row r="11" ht="19.5" customHeight="1">
      <c r="A11" s="46" t="s">
        <v>3075</v>
      </c>
      <c r="B11" s="3"/>
      <c r="C11" s="3"/>
      <c r="D11" s="3"/>
      <c r="E11" s="3"/>
      <c r="F11" s="3"/>
      <c r="G11" s="3"/>
      <c r="H11" s="3"/>
      <c r="I11" s="3"/>
      <c r="J11" s="3"/>
      <c r="K11" s="3"/>
      <c r="L11" s="3"/>
      <c r="M11" s="3"/>
      <c r="N11" s="4"/>
    </row>
    <row r="12" ht="60.0" customHeight="1">
      <c r="A12" s="78" t="s">
        <v>3226</v>
      </c>
      <c r="B12" s="17"/>
      <c r="C12" s="22" t="s">
        <v>11</v>
      </c>
      <c r="D12" s="17"/>
      <c r="E12" s="17"/>
      <c r="F12" s="17"/>
      <c r="G12" s="17"/>
      <c r="H12" s="17"/>
      <c r="I12" s="17"/>
      <c r="J12" s="90"/>
      <c r="K12" s="17"/>
      <c r="L12" s="26" t="s">
        <v>43</v>
      </c>
      <c r="M12" s="17"/>
      <c r="N12" s="17"/>
    </row>
    <row r="13" ht="60.0" customHeight="1">
      <c r="A13" s="78" t="s">
        <v>3228</v>
      </c>
      <c r="B13" s="28"/>
      <c r="C13" s="22" t="s">
        <v>11</v>
      </c>
      <c r="D13" s="28"/>
      <c r="E13" s="28"/>
      <c r="F13" s="28"/>
      <c r="G13" s="28"/>
      <c r="H13" s="28"/>
      <c r="I13" s="28"/>
      <c r="J13" s="91"/>
      <c r="K13" s="28"/>
      <c r="L13" s="26" t="s">
        <v>43</v>
      </c>
      <c r="M13" s="28"/>
      <c r="N13" s="28"/>
    </row>
    <row r="14" ht="60.0" customHeight="1">
      <c r="A14" s="78" t="s">
        <v>3230</v>
      </c>
      <c r="B14" s="17"/>
      <c r="C14" s="22" t="s">
        <v>11</v>
      </c>
      <c r="D14" s="17"/>
      <c r="E14" s="17"/>
      <c r="F14" s="17"/>
      <c r="G14" s="17"/>
      <c r="H14" s="17"/>
      <c r="I14" s="17"/>
      <c r="J14" s="90"/>
      <c r="K14" s="17"/>
      <c r="L14" s="26" t="s">
        <v>43</v>
      </c>
      <c r="M14" s="17"/>
      <c r="N14" s="17"/>
    </row>
    <row r="15" ht="60.0" customHeight="1">
      <c r="A15" s="78" t="s">
        <v>3232</v>
      </c>
      <c r="B15" s="28"/>
      <c r="C15" s="22" t="s">
        <v>11</v>
      </c>
      <c r="D15" s="28"/>
      <c r="E15" s="28"/>
      <c r="F15" s="28"/>
      <c r="G15" s="28"/>
      <c r="H15" s="28"/>
      <c r="I15" s="28"/>
      <c r="J15" s="91"/>
      <c r="K15" s="28"/>
      <c r="L15" s="26" t="s">
        <v>43</v>
      </c>
      <c r="M15" s="28"/>
      <c r="N15" s="28"/>
    </row>
    <row r="16" ht="60.0" customHeight="1">
      <c r="A16" s="78" t="s">
        <v>3235</v>
      </c>
      <c r="B16" s="17"/>
      <c r="C16" s="22" t="s">
        <v>11</v>
      </c>
      <c r="D16" s="17"/>
      <c r="E16" s="17"/>
      <c r="F16" s="17"/>
      <c r="G16" s="17"/>
      <c r="H16" s="17"/>
      <c r="I16" s="17"/>
      <c r="J16" s="90"/>
      <c r="K16" s="17"/>
      <c r="L16" s="26" t="s">
        <v>43</v>
      </c>
      <c r="M16" s="17"/>
      <c r="N16" s="17"/>
    </row>
    <row r="17" ht="60.0" customHeight="1">
      <c r="A17" s="78" t="s">
        <v>3237</v>
      </c>
      <c r="B17" s="28"/>
      <c r="C17" s="22" t="s">
        <v>11</v>
      </c>
      <c r="D17" s="28"/>
      <c r="E17" s="28"/>
      <c r="F17" s="28"/>
      <c r="G17" s="28"/>
      <c r="H17" s="28"/>
      <c r="I17" s="28"/>
      <c r="J17" s="91"/>
      <c r="K17" s="28"/>
      <c r="L17" s="26" t="s">
        <v>43</v>
      </c>
      <c r="M17" s="28"/>
      <c r="N17" s="28"/>
    </row>
    <row r="18" ht="60.0" customHeight="1">
      <c r="A18" s="78" t="s">
        <v>3239</v>
      </c>
      <c r="B18" s="17"/>
      <c r="C18" s="22" t="s">
        <v>11</v>
      </c>
      <c r="D18" s="17"/>
      <c r="E18" s="17"/>
      <c r="F18" s="17"/>
      <c r="G18" s="17"/>
      <c r="H18" s="17"/>
      <c r="I18" s="17"/>
      <c r="J18" s="90"/>
      <c r="K18" s="17"/>
      <c r="L18" s="26" t="s">
        <v>43</v>
      </c>
      <c r="M18" s="17"/>
      <c r="N18" s="17"/>
    </row>
    <row r="19" ht="60.0" customHeight="1">
      <c r="A19" s="78" t="s">
        <v>3240</v>
      </c>
      <c r="B19" s="28"/>
      <c r="C19" s="22" t="s">
        <v>11</v>
      </c>
      <c r="D19" s="28"/>
      <c r="E19" s="28"/>
      <c r="F19" s="28"/>
      <c r="G19" s="28"/>
      <c r="H19" s="28"/>
      <c r="I19" s="28"/>
      <c r="J19" s="91"/>
      <c r="K19" s="28"/>
      <c r="L19" s="26" t="s">
        <v>43</v>
      </c>
      <c r="M19" s="28"/>
      <c r="N19" s="28"/>
    </row>
    <row r="20" ht="19.5" customHeight="1">
      <c r="A20" s="63" t="s">
        <v>3122</v>
      </c>
      <c r="B20" s="3"/>
      <c r="C20" s="3"/>
      <c r="D20" s="3"/>
      <c r="E20" s="3"/>
      <c r="F20" s="3"/>
      <c r="G20" s="3"/>
      <c r="H20" s="3"/>
      <c r="I20" s="3"/>
      <c r="J20" s="3"/>
      <c r="K20" s="3"/>
      <c r="L20" s="3"/>
      <c r="M20" s="3"/>
      <c r="N20" s="4"/>
    </row>
    <row r="21" ht="60.0" customHeight="1">
      <c r="A21" s="78" t="s">
        <v>3241</v>
      </c>
      <c r="B21" s="17"/>
      <c r="C21" s="24" t="s">
        <v>12</v>
      </c>
      <c r="D21" s="17"/>
      <c r="E21" s="17"/>
      <c r="F21" s="17"/>
      <c r="G21" s="17"/>
      <c r="H21" s="17"/>
      <c r="I21" s="17"/>
      <c r="J21" s="90"/>
      <c r="K21" s="17"/>
      <c r="L21" s="26" t="s">
        <v>43</v>
      </c>
      <c r="M21" s="17"/>
      <c r="N21" s="17"/>
    </row>
    <row r="22" ht="60.0" customHeight="1">
      <c r="A22" s="78" t="s">
        <v>3242</v>
      </c>
      <c r="B22" s="28"/>
      <c r="C22" s="24" t="s">
        <v>12</v>
      </c>
      <c r="D22" s="28"/>
      <c r="E22" s="28"/>
      <c r="F22" s="28"/>
      <c r="G22" s="28"/>
      <c r="H22" s="28"/>
      <c r="I22" s="28"/>
      <c r="J22" s="91"/>
      <c r="K22" s="28"/>
      <c r="L22" s="26" t="s">
        <v>43</v>
      </c>
      <c r="M22" s="28"/>
      <c r="N22" s="28"/>
    </row>
    <row r="23" ht="60.0" customHeight="1">
      <c r="A23" s="78" t="s">
        <v>3243</v>
      </c>
      <c r="B23" s="17"/>
      <c r="C23" s="24" t="s">
        <v>12</v>
      </c>
      <c r="D23" s="17"/>
      <c r="E23" s="17"/>
      <c r="F23" s="17"/>
      <c r="G23" s="17"/>
      <c r="H23" s="17"/>
      <c r="I23" s="17"/>
      <c r="J23" s="90"/>
      <c r="K23" s="17"/>
      <c r="L23" s="26" t="s">
        <v>43</v>
      </c>
      <c r="M23" s="17"/>
      <c r="N23" s="17"/>
    </row>
    <row r="24" ht="60.0" customHeight="1">
      <c r="A24" s="78" t="s">
        <v>3244</v>
      </c>
      <c r="B24" s="28"/>
      <c r="C24" s="24" t="s">
        <v>12</v>
      </c>
      <c r="D24" s="28"/>
      <c r="E24" s="28"/>
      <c r="F24" s="28"/>
      <c r="G24" s="28"/>
      <c r="H24" s="28"/>
      <c r="I24" s="28"/>
      <c r="J24" s="91"/>
      <c r="K24" s="28"/>
      <c r="L24" s="26" t="s">
        <v>43</v>
      </c>
      <c r="M24" s="28"/>
      <c r="N24" s="28"/>
    </row>
    <row r="25" ht="60.0" customHeight="1">
      <c r="A25" s="78" t="s">
        <v>3245</v>
      </c>
      <c r="B25" s="17"/>
      <c r="C25" s="24" t="s">
        <v>12</v>
      </c>
      <c r="D25" s="17"/>
      <c r="E25" s="17"/>
      <c r="F25" s="17"/>
      <c r="G25" s="17"/>
      <c r="H25" s="17"/>
      <c r="I25" s="17"/>
      <c r="J25" s="90"/>
      <c r="K25" s="17"/>
      <c r="L25" s="26" t="s">
        <v>43</v>
      </c>
      <c r="M25" s="17"/>
      <c r="N25" s="17"/>
    </row>
    <row r="26" ht="60.0" customHeight="1">
      <c r="A26" s="78" t="s">
        <v>3246</v>
      </c>
      <c r="B26" s="28"/>
      <c r="C26" s="24" t="s">
        <v>12</v>
      </c>
      <c r="D26" s="28"/>
      <c r="E26" s="28"/>
      <c r="F26" s="28"/>
      <c r="G26" s="28"/>
      <c r="H26" s="28"/>
      <c r="I26" s="28"/>
      <c r="J26" s="91"/>
      <c r="K26" s="28"/>
      <c r="L26" s="26" t="s">
        <v>43</v>
      </c>
      <c r="M26" s="28"/>
      <c r="N26" s="28"/>
    </row>
    <row r="27" ht="25.5" customHeight="1">
      <c r="A27" s="55" t="s">
        <v>3247</v>
      </c>
      <c r="B27" s="57"/>
      <c r="C27" s="57"/>
      <c r="D27" s="57"/>
      <c r="E27" s="57"/>
      <c r="F27" s="57"/>
      <c r="G27" s="57"/>
      <c r="H27" s="57"/>
      <c r="I27" s="58"/>
      <c r="L27" s="79">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